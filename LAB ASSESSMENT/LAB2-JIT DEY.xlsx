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AB ASSESSMENT\"/>
    </mc:Choice>
  </mc:AlternateContent>
  <xr:revisionPtr revIDLastSave="0" documentId="8_{CB3B2B4A-A206-44EF-A236-535661F6EC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B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6" i="1" l="1"/>
  <c r="L16" i="1"/>
  <c r="K16" i="1"/>
  <c r="J16" i="1"/>
  <c r="I16" i="1"/>
  <c r="H16" i="1"/>
  <c r="G16" i="1"/>
  <c r="F16" i="1"/>
  <c r="F17" i="1"/>
  <c r="F18" i="1"/>
  <c r="F19" i="1"/>
  <c r="F20" i="1"/>
  <c r="F21" i="1"/>
  <c r="H17" i="1"/>
  <c r="H18" i="1"/>
  <c r="H19" i="1"/>
  <c r="H20" i="1"/>
  <c r="H21" i="1"/>
  <c r="G20" i="1"/>
  <c r="I17" i="1"/>
  <c r="J18" i="1"/>
  <c r="K17" i="1"/>
  <c r="M17" i="1"/>
  <c r="M18" i="1"/>
  <c r="M19" i="1"/>
  <c r="M20" i="1"/>
  <c r="M21" i="1"/>
  <c r="L17" i="1" l="1"/>
  <c r="L18" i="1"/>
  <c r="L19" i="1"/>
  <c r="L20" i="1"/>
  <c r="L21" i="1"/>
  <c r="K18" i="1"/>
  <c r="K19" i="1"/>
  <c r="K20" i="1"/>
  <c r="K21" i="1"/>
  <c r="J17" i="1"/>
  <c r="J19" i="1"/>
  <c r="J20" i="1"/>
  <c r="J21" i="1"/>
  <c r="G17" i="1"/>
  <c r="G18" i="1"/>
  <c r="G19" i="1"/>
  <c r="G21" i="1"/>
  <c r="I18" i="1"/>
  <c r="I19" i="1"/>
  <c r="I20" i="1"/>
  <c r="I21" i="1"/>
</calcChain>
</file>

<file path=xl/sharedStrings.xml><?xml version="1.0" encoding="utf-8"?>
<sst xmlns="http://schemas.openxmlformats.org/spreadsheetml/2006/main" count="73" uniqueCount="46">
  <si>
    <t>Sales Data Analytics Report</t>
  </si>
  <si>
    <t>Business Questions</t>
  </si>
  <si>
    <t>ProductID</t>
  </si>
  <si>
    <t>Product</t>
  </si>
  <si>
    <t>Sales</t>
  </si>
  <si>
    <t>Target</t>
  </si>
  <si>
    <t>Region</t>
  </si>
  <si>
    <t>1. Use the IF function to evaluate whether each product met its sales target.</t>
  </si>
  <si>
    <t>Product A</t>
  </si>
  <si>
    <t>North</t>
  </si>
  <si>
    <t>2. Use the IF function to determine if a product is eligible for a regional bonus. Products in the 'North' region with sales over 200 are eligible.</t>
  </si>
  <si>
    <t>Product B</t>
  </si>
  <si>
    <t>South</t>
  </si>
  <si>
    <t>3. Use nested IF functions to assign a commission rate based on sales. Sales &gt;= 200 get a 10% commission, sales &gt;= 150 get a 7% commission, and others get a 5% commission.</t>
  </si>
  <si>
    <t>Product C</t>
  </si>
  <si>
    <t>East</t>
  </si>
  <si>
    <t>4. Use the IF function to calculate a bonus amount. If sales met or exceeded the target, the bonus is 10% of the sales; otherwise, it's 5%.</t>
  </si>
  <si>
    <t>Product D</t>
  </si>
  <si>
    <t>West</t>
  </si>
  <si>
    <t>5. Use the IF function to categorize sales performance as 'Excellent' (&gt;=200), 'Good' (&gt;=150), or 'Needs Improvement' (&lt;150).</t>
  </si>
  <si>
    <t>Product E</t>
  </si>
  <si>
    <t>6. Use the IF function to assign a price tier based on the sales value. 'High' for sales &gt; 200, 'Medium' for sales between 100 and 200, and 'Low' for sales &lt; 100.</t>
  </si>
  <si>
    <t>Product F</t>
  </si>
  <si>
    <t>7. Use the IF function to calculate the year-end bonus. If sales &gt;= 150 and region is 'North', the bonus is $500, otherwise, it's $300.</t>
  </si>
  <si>
    <t>8. Use the IF function to mark high performers. A product is a high performer if its sales are in the top 25% of all sales.</t>
  </si>
  <si>
    <t>Analytical Output (Answers)</t>
  </si>
  <si>
    <t>Met Target</t>
  </si>
  <si>
    <t>Bonus Eligible</t>
  </si>
  <si>
    <t>Performance</t>
  </si>
  <si>
    <t>Price Tier</t>
  </si>
  <si>
    <t>Year Bonus</t>
  </si>
  <si>
    <t>High Performer</t>
  </si>
  <si>
    <t>Bonus Amount</t>
  </si>
  <si>
    <t>Commission Rate</t>
  </si>
  <si>
    <t>Analytical Output Formulas</t>
  </si>
  <si>
    <t>Topic</t>
  </si>
  <si>
    <t>Formula</t>
  </si>
  <si>
    <t>=IF(C16&gt;=D16,"Yes","No")</t>
  </si>
  <si>
    <t>=IF(AND(E16="North",C16&gt;200),"Yes","No")</t>
  </si>
  <si>
    <t>=IF(C16&gt;=200,10%,IF(C16&gt;=150,7%,5%))</t>
  </si>
  <si>
    <t>=IF(C16&gt;=D16,C16*10%,C16*5%)</t>
  </si>
  <si>
    <t>=IF(C16&gt;=200,"Excellent",IF(C16&gt;=150,"Good","Needs Improvement"))</t>
  </si>
  <si>
    <t>=IF(C16&gt;200,"High",IF(C16&gt;=100,"Medium","Low"))</t>
  </si>
  <si>
    <t>=IF(AND(C16&gt;=150,E16="North"),500,300)</t>
  </si>
  <si>
    <t>=IF(C16&gt;=PERCENTILE($C$16:$C$21,0.75),"Yes","No")</t>
  </si>
  <si>
    <t>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</si>
</sst>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0" fillId="5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10" borderId="1" xfId="0" applyFill="1" applyBorder="1" applyAlignment="1"/>
    <xf numFmtId="0" fontId="0" fillId="10" borderId="1" xfId="0" quotePrefix="1" applyFill="1" applyBorder="1" applyAlignment="1"/>
    <xf numFmtId="0" fontId="3" fillId="11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indent="1"/>
    </xf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zoomScale="70" zoomScaleNormal="70" workbookViewId="0">
      <selection activeCell="E24" sqref="E24"/>
    </sheetView>
  </sheetViews>
  <sheetFormatPr defaultRowHeight="15" x14ac:dyDescent="0.25"/>
  <cols>
    <col min="1" max="1" width="11" style="2" bestFit="1" customWidth="1"/>
    <col min="2" max="2" width="10.7109375" style="2" bestFit="1" customWidth="1"/>
    <col min="3" max="3" width="6" style="2" bestFit="1" customWidth="1"/>
    <col min="4" max="4" width="7.28515625" style="2" bestFit="1" customWidth="1"/>
    <col min="5" max="5" width="7.85546875" style="2" bestFit="1" customWidth="1"/>
    <col min="6" max="6" width="11.85546875" style="2" bestFit="1" customWidth="1"/>
    <col min="7" max="7" width="14.7109375" style="2" bestFit="1" customWidth="1"/>
    <col min="8" max="8" width="17.85546875" style="2" bestFit="1" customWidth="1"/>
    <col min="9" max="9" width="15.7109375" style="2" bestFit="1" customWidth="1"/>
    <col min="10" max="10" width="20.140625" style="2" bestFit="1" customWidth="1"/>
    <col min="11" max="11" width="10.28515625" style="2" bestFit="1" customWidth="1"/>
    <col min="12" max="12" width="11.85546875" style="2" bestFit="1" customWidth="1"/>
    <col min="13" max="13" width="16.140625" style="2" bestFit="1" customWidth="1"/>
    <col min="14" max="15" width="9.140625" style="2"/>
    <col min="16" max="16" width="10.42578125" style="2" customWidth="1"/>
    <col min="17" max="17" width="7.42578125" style="2" customWidth="1"/>
    <col min="18" max="18" width="21" style="2" customWidth="1"/>
    <col min="19" max="19" width="20.140625" style="2" customWidth="1"/>
    <col min="20" max="20" width="28" style="2" customWidth="1"/>
    <col min="21" max="21" width="13.42578125" style="2" customWidth="1"/>
    <col min="22" max="16384" width="9.140625" style="2"/>
  </cols>
  <sheetData>
    <row r="1" spans="1:21" ht="2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3" spans="1:21" ht="18.75" x14ac:dyDescent="0.3">
      <c r="A3" s="16" t="s">
        <v>45</v>
      </c>
      <c r="B3" s="16"/>
      <c r="C3" s="16"/>
      <c r="D3" s="16"/>
      <c r="E3" s="16"/>
      <c r="F3" s="1"/>
      <c r="G3" s="14" t="s">
        <v>1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"/>
    </row>
    <row r="4" spans="1:21" ht="15.75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1"/>
      <c r="G4" s="15" t="s">
        <v>7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</row>
    <row r="5" spans="1:21" x14ac:dyDescent="0.25">
      <c r="A5" s="3">
        <v>101</v>
      </c>
      <c r="B5" s="3" t="s">
        <v>8</v>
      </c>
      <c r="C5" s="3">
        <v>120</v>
      </c>
      <c r="D5" s="3">
        <v>150</v>
      </c>
      <c r="E5" s="3" t="s">
        <v>9</v>
      </c>
      <c r="F5" s="1"/>
      <c r="G5" s="15" t="s">
        <v>10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</row>
    <row r="6" spans="1:21" x14ac:dyDescent="0.25">
      <c r="A6" s="3">
        <v>102</v>
      </c>
      <c r="B6" s="3" t="s">
        <v>11</v>
      </c>
      <c r="C6" s="3">
        <v>150</v>
      </c>
      <c r="D6" s="3">
        <v>140</v>
      </c>
      <c r="E6" s="3" t="s">
        <v>12</v>
      </c>
      <c r="F6" s="1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</row>
    <row r="7" spans="1:21" x14ac:dyDescent="0.25">
      <c r="A7" s="3">
        <v>103</v>
      </c>
      <c r="B7" s="3" t="s">
        <v>14</v>
      </c>
      <c r="C7" s="3">
        <v>200</v>
      </c>
      <c r="D7" s="3">
        <v>200</v>
      </c>
      <c r="E7" s="3" t="s">
        <v>15</v>
      </c>
      <c r="F7" s="1"/>
      <c r="G7" s="15" t="s">
        <v>16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</row>
    <row r="8" spans="1:21" x14ac:dyDescent="0.25">
      <c r="A8" s="3">
        <v>104</v>
      </c>
      <c r="B8" s="3" t="s">
        <v>17</v>
      </c>
      <c r="C8" s="3">
        <v>90</v>
      </c>
      <c r="D8" s="3">
        <v>100</v>
      </c>
      <c r="E8" s="3" t="s">
        <v>18</v>
      </c>
      <c r="F8" s="1"/>
      <c r="G8" s="15" t="s">
        <v>19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</row>
    <row r="9" spans="1:21" x14ac:dyDescent="0.25">
      <c r="A9" s="3">
        <v>105</v>
      </c>
      <c r="B9" s="3" t="s">
        <v>20</v>
      </c>
      <c r="C9" s="3">
        <v>220</v>
      </c>
      <c r="D9" s="3">
        <v>210</v>
      </c>
      <c r="E9" s="3" t="s">
        <v>9</v>
      </c>
      <c r="F9" s="1"/>
      <c r="G9" s="15" t="s">
        <v>21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</row>
    <row r="10" spans="1:21" x14ac:dyDescent="0.25">
      <c r="A10" s="3">
        <v>106</v>
      </c>
      <c r="B10" s="3" t="s">
        <v>22</v>
      </c>
      <c r="C10" s="3">
        <v>130</v>
      </c>
      <c r="D10" s="3">
        <v>160</v>
      </c>
      <c r="E10" s="3" t="s">
        <v>12</v>
      </c>
      <c r="F10" s="1"/>
      <c r="G10" s="15" t="s">
        <v>23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</row>
    <row r="11" spans="1:21" x14ac:dyDescent="0.25">
      <c r="F11" s="1"/>
      <c r="G11" s="15" t="s">
        <v>24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</row>
    <row r="14" spans="1:21" ht="18.75" x14ac:dyDescent="0.3">
      <c r="A14" s="11" t="s">
        <v>25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P14" s="17" t="s">
        <v>34</v>
      </c>
      <c r="Q14" s="17"/>
      <c r="R14" s="17"/>
      <c r="S14" s="17"/>
      <c r="T14" s="17"/>
    </row>
    <row r="15" spans="1:21" ht="15.75" x14ac:dyDescent="0.25">
      <c r="A15" s="7" t="s">
        <v>2</v>
      </c>
      <c r="B15" s="7" t="s">
        <v>3</v>
      </c>
      <c r="C15" s="7" t="s">
        <v>4</v>
      </c>
      <c r="D15" s="7" t="s">
        <v>5</v>
      </c>
      <c r="E15" s="7" t="s">
        <v>6</v>
      </c>
      <c r="F15" s="7" t="s">
        <v>26</v>
      </c>
      <c r="G15" s="7" t="s">
        <v>27</v>
      </c>
      <c r="H15" s="7" t="s">
        <v>33</v>
      </c>
      <c r="I15" s="7" t="s">
        <v>32</v>
      </c>
      <c r="J15" s="7" t="s">
        <v>28</v>
      </c>
      <c r="K15" s="7" t="s">
        <v>29</v>
      </c>
      <c r="L15" s="7" t="s">
        <v>30</v>
      </c>
      <c r="M15" s="7" t="s">
        <v>31</v>
      </c>
      <c r="P15" s="10" t="s">
        <v>35</v>
      </c>
      <c r="Q15" s="10"/>
      <c r="R15" s="10" t="s">
        <v>36</v>
      </c>
      <c r="S15" s="10"/>
      <c r="T15" s="10"/>
    </row>
    <row r="16" spans="1:21" x14ac:dyDescent="0.25">
      <c r="A16" s="4">
        <v>101</v>
      </c>
      <c r="B16" s="4" t="s">
        <v>8</v>
      </c>
      <c r="C16" s="4">
        <v>120</v>
      </c>
      <c r="D16" s="4">
        <v>150</v>
      </c>
      <c r="E16" s="4" t="s">
        <v>9</v>
      </c>
      <c r="F16" s="4" t="str">
        <f>IF(C16&gt;=D16,"Yes","No")</f>
        <v>No</v>
      </c>
      <c r="G16" s="4" t="str">
        <f>IF(AND(E16="North",C16&gt;200),"Yes","No")</f>
        <v>No</v>
      </c>
      <c r="H16" s="5">
        <f>IF(C16&gt;=200,10%,IF(C16&gt;=150,7%,5%))</f>
        <v>0.05</v>
      </c>
      <c r="I16" s="4">
        <f>IF(C16&gt;=D16,C16*10%,C16*5%)</f>
        <v>6</v>
      </c>
      <c r="J16" s="4" t="str">
        <f>IF(C16&gt;=200,"Excellent",IF(C16&gt;=150,"Good","Needs Improvement"))</f>
        <v>Needs Improvement</v>
      </c>
      <c r="K16" s="4" t="str">
        <f>IF(C16&gt;200,"High",IF(C16&gt;=100,"Medium","Low"))</f>
        <v>Medium</v>
      </c>
      <c r="L16" s="4">
        <f>IF(AND(C16&gt;=150,E16="North"),500,300)</f>
        <v>300</v>
      </c>
      <c r="M16" s="4" t="str">
        <f>IF(C16&gt;=PERCENTILE($C$16:$C$21,0.75),"Yes","No")</f>
        <v>No</v>
      </c>
      <c r="P16" s="8" t="s">
        <v>26</v>
      </c>
      <c r="Q16" s="8"/>
      <c r="R16" s="9" t="s">
        <v>37</v>
      </c>
      <c r="S16" s="8"/>
      <c r="T16" s="8"/>
    </row>
    <row r="17" spans="1:20" x14ac:dyDescent="0.25">
      <c r="A17" s="4">
        <v>102</v>
      </c>
      <c r="B17" s="4" t="s">
        <v>11</v>
      </c>
      <c r="C17" s="4">
        <v>150</v>
      </c>
      <c r="D17" s="4">
        <v>140</v>
      </c>
      <c r="E17" s="4" t="s">
        <v>12</v>
      </c>
      <c r="F17" s="4" t="str">
        <f t="shared" ref="F17:F21" si="0">IF(C17&gt;=D17,"Yes","No")</f>
        <v>Yes</v>
      </c>
      <c r="G17" s="4" t="str">
        <f t="shared" ref="G17:G21" si="1">IF(AND(E17="North",C17&gt;200),"Yes","No")</f>
        <v>No</v>
      </c>
      <c r="H17" s="5">
        <f t="shared" ref="H17:H21" si="2">IF(C17&gt;=200,10%,IF(C17&gt;=150,7%,5%))</f>
        <v>7.0000000000000007E-2</v>
      </c>
      <c r="I17" s="4">
        <f>IF(C17&gt;=D17,C17*10%,C17*5%)</f>
        <v>15</v>
      </c>
      <c r="J17" s="4" t="str">
        <f t="shared" ref="J17:J21" si="3">IF(C17&gt;=200,"Excellent",IF(C17&gt;=150,"Good","Needs Improvement"))</f>
        <v>Good</v>
      </c>
      <c r="K17" s="4" t="str">
        <f>IF(C17&gt;200,"High",IF(C17&gt;=100,"Medium","Low"))</f>
        <v>Medium</v>
      </c>
      <c r="L17" s="4">
        <f t="shared" ref="L17:L21" si="4">IF(AND(C17&gt;=150,E17="North"),500,300)</f>
        <v>300</v>
      </c>
      <c r="M17" s="4" t="str">
        <f t="shared" ref="M17:M21" si="5">IF(C17&gt;=PERCENTILE($C$16:$C$21,0.75),"Yes","No")</f>
        <v>No</v>
      </c>
      <c r="P17" s="8" t="s">
        <v>27</v>
      </c>
      <c r="Q17" s="8"/>
      <c r="R17" s="9" t="s">
        <v>38</v>
      </c>
      <c r="S17" s="8"/>
      <c r="T17" s="8"/>
    </row>
    <row r="18" spans="1:20" x14ac:dyDescent="0.25">
      <c r="A18" s="4">
        <v>103</v>
      </c>
      <c r="B18" s="4" t="s">
        <v>14</v>
      </c>
      <c r="C18" s="4">
        <v>200</v>
      </c>
      <c r="D18" s="4">
        <v>200</v>
      </c>
      <c r="E18" s="4" t="s">
        <v>15</v>
      </c>
      <c r="F18" s="4" t="str">
        <f t="shared" si="0"/>
        <v>Yes</v>
      </c>
      <c r="G18" s="4" t="str">
        <f t="shared" si="1"/>
        <v>No</v>
      </c>
      <c r="H18" s="5">
        <f t="shared" si="2"/>
        <v>0.1</v>
      </c>
      <c r="I18" s="4">
        <f t="shared" ref="I18:I21" si="6">IF(C18&gt;=D18,C18*10%,C18*5%)</f>
        <v>20</v>
      </c>
      <c r="J18" s="4" t="str">
        <f>IF(C18&gt;=200,"Excellent",IF(C18&gt;=150,"Good","Needs Improvement"))</f>
        <v>Excellent</v>
      </c>
      <c r="K18" s="4" t="str">
        <f t="shared" ref="K18:K21" si="7">IF(C18&gt;200,"High",IF(C18&gt;=100,"Medium","Low"))</f>
        <v>Medium</v>
      </c>
      <c r="L18" s="4">
        <f t="shared" si="4"/>
        <v>300</v>
      </c>
      <c r="M18" s="4" t="str">
        <f t="shared" si="5"/>
        <v>Yes</v>
      </c>
      <c r="P18" s="8" t="s">
        <v>33</v>
      </c>
      <c r="Q18" s="8"/>
      <c r="R18" s="9" t="s">
        <v>39</v>
      </c>
      <c r="S18" s="8"/>
      <c r="T18" s="8"/>
    </row>
    <row r="19" spans="1:20" x14ac:dyDescent="0.25">
      <c r="A19" s="4">
        <v>104</v>
      </c>
      <c r="B19" s="4" t="s">
        <v>17</v>
      </c>
      <c r="C19" s="4">
        <v>90</v>
      </c>
      <c r="D19" s="4">
        <v>100</v>
      </c>
      <c r="E19" s="4" t="s">
        <v>18</v>
      </c>
      <c r="F19" s="4" t="str">
        <f t="shared" si="0"/>
        <v>No</v>
      </c>
      <c r="G19" s="4" t="str">
        <f t="shared" si="1"/>
        <v>No</v>
      </c>
      <c r="H19" s="5">
        <f t="shared" si="2"/>
        <v>0.05</v>
      </c>
      <c r="I19" s="4">
        <f t="shared" si="6"/>
        <v>4.5</v>
      </c>
      <c r="J19" s="4" t="str">
        <f t="shared" si="3"/>
        <v>Needs Improvement</v>
      </c>
      <c r="K19" s="4" t="str">
        <f t="shared" si="7"/>
        <v>Low</v>
      </c>
      <c r="L19" s="4">
        <f t="shared" si="4"/>
        <v>300</v>
      </c>
      <c r="M19" s="4" t="str">
        <f t="shared" si="5"/>
        <v>No</v>
      </c>
      <c r="P19" s="8" t="s">
        <v>32</v>
      </c>
      <c r="Q19" s="8"/>
      <c r="R19" s="9" t="s">
        <v>40</v>
      </c>
      <c r="S19" s="8"/>
      <c r="T19" s="8"/>
    </row>
    <row r="20" spans="1:20" x14ac:dyDescent="0.25">
      <c r="A20" s="4">
        <v>105</v>
      </c>
      <c r="B20" s="4" t="s">
        <v>20</v>
      </c>
      <c r="C20" s="4">
        <v>220</v>
      </c>
      <c r="D20" s="4">
        <v>210</v>
      </c>
      <c r="E20" s="4" t="s">
        <v>9</v>
      </c>
      <c r="F20" s="4" t="str">
        <f t="shared" si="0"/>
        <v>Yes</v>
      </c>
      <c r="G20" s="4" t="str">
        <f>IF(AND(E20="North",C20&gt;200),"Yes","No")</f>
        <v>Yes</v>
      </c>
      <c r="H20" s="5">
        <f t="shared" si="2"/>
        <v>0.1</v>
      </c>
      <c r="I20" s="4">
        <f t="shared" si="6"/>
        <v>22</v>
      </c>
      <c r="J20" s="4" t="str">
        <f t="shared" si="3"/>
        <v>Excellent</v>
      </c>
      <c r="K20" s="4" t="str">
        <f t="shared" si="7"/>
        <v>High</v>
      </c>
      <c r="L20" s="4">
        <f t="shared" si="4"/>
        <v>500</v>
      </c>
      <c r="M20" s="4" t="str">
        <f t="shared" si="5"/>
        <v>Yes</v>
      </c>
      <c r="P20" s="8" t="s">
        <v>28</v>
      </c>
      <c r="Q20" s="8"/>
      <c r="R20" s="9" t="s">
        <v>41</v>
      </c>
      <c r="S20" s="8"/>
      <c r="T20" s="8"/>
    </row>
    <row r="21" spans="1:20" x14ac:dyDescent="0.25">
      <c r="A21" s="4">
        <v>106</v>
      </c>
      <c r="B21" s="4" t="s">
        <v>22</v>
      </c>
      <c r="C21" s="4">
        <v>130</v>
      </c>
      <c r="D21" s="4">
        <v>160</v>
      </c>
      <c r="E21" s="4" t="s">
        <v>12</v>
      </c>
      <c r="F21" s="4" t="str">
        <f t="shared" si="0"/>
        <v>No</v>
      </c>
      <c r="G21" s="4" t="str">
        <f t="shared" si="1"/>
        <v>No</v>
      </c>
      <c r="H21" s="5">
        <f t="shared" si="2"/>
        <v>0.05</v>
      </c>
      <c r="I21" s="4">
        <f t="shared" si="6"/>
        <v>6.5</v>
      </c>
      <c r="J21" s="4" t="str">
        <f t="shared" si="3"/>
        <v>Needs Improvement</v>
      </c>
      <c r="K21" s="4" t="str">
        <f t="shared" si="7"/>
        <v>Medium</v>
      </c>
      <c r="L21" s="4">
        <f t="shared" si="4"/>
        <v>300</v>
      </c>
      <c r="M21" s="4" t="str">
        <f t="shared" si="5"/>
        <v>No</v>
      </c>
      <c r="P21" s="8" t="s">
        <v>29</v>
      </c>
      <c r="Q21" s="8"/>
      <c r="R21" s="9" t="s">
        <v>42</v>
      </c>
      <c r="S21" s="8"/>
      <c r="T21" s="8"/>
    </row>
    <row r="22" spans="1:20" x14ac:dyDescent="0.25">
      <c r="P22" s="8" t="s">
        <v>30</v>
      </c>
      <c r="Q22" s="8"/>
      <c r="R22" s="9" t="s">
        <v>43</v>
      </c>
      <c r="S22" s="8"/>
      <c r="T22" s="8"/>
    </row>
    <row r="23" spans="1:20" x14ac:dyDescent="0.25">
      <c r="P23" s="8" t="s">
        <v>31</v>
      </c>
      <c r="Q23" s="8"/>
      <c r="R23" s="9" t="s">
        <v>44</v>
      </c>
      <c r="S23" s="8"/>
      <c r="T23" s="8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31">
    <mergeCell ref="A14:M14"/>
    <mergeCell ref="A1:T1"/>
    <mergeCell ref="G3:T3"/>
    <mergeCell ref="G7:T7"/>
    <mergeCell ref="G8:T8"/>
    <mergeCell ref="G9:T9"/>
    <mergeCell ref="G4:T4"/>
    <mergeCell ref="A3:E3"/>
    <mergeCell ref="G10:T10"/>
    <mergeCell ref="G11:T11"/>
    <mergeCell ref="G6:T6"/>
    <mergeCell ref="G5:T5"/>
    <mergeCell ref="P14:T14"/>
    <mergeCell ref="P15:Q15"/>
    <mergeCell ref="R15:T15"/>
    <mergeCell ref="P16:Q16"/>
    <mergeCell ref="R16:T16"/>
    <mergeCell ref="P17:Q17"/>
    <mergeCell ref="R17:T17"/>
    <mergeCell ref="P18:Q18"/>
    <mergeCell ref="R18:T18"/>
    <mergeCell ref="P19:Q19"/>
    <mergeCell ref="R19:T19"/>
    <mergeCell ref="P20:Q20"/>
    <mergeCell ref="R20:T20"/>
    <mergeCell ref="P21:Q21"/>
    <mergeCell ref="R21:T21"/>
    <mergeCell ref="P22:Q22"/>
    <mergeCell ref="R22:T22"/>
    <mergeCell ref="P23:Q23"/>
    <mergeCell ref="R23:T23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</cp:lastModifiedBy>
  <dcterms:created xsi:type="dcterms:W3CDTF">2026-02-24T17:11:43Z</dcterms:created>
  <dcterms:modified xsi:type="dcterms:W3CDTF">2026-02-26T15:23:03Z</dcterms:modified>
</cp:coreProperties>
</file>