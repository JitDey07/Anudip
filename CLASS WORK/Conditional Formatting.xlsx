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WORK\"/>
    </mc:Choice>
  </mc:AlternateContent>
  <xr:revisionPtr revIDLastSave="0" documentId="8_{6D445C19-F247-4DD4-87C0-914FCFD57329}" xr6:coauthVersionLast="47" xr6:coauthVersionMax="47" xr10:uidLastSave="{00000000-0000-0000-0000-000000000000}"/>
  <bookViews>
    <workbookView xWindow="-120" yWindow="-120" windowWidth="20730" windowHeight="11160" activeTab="1" xr2:uid="{2CE48592-67DA-4AFC-90C2-FAB71330BA3E}"/>
  </bookViews>
  <sheets>
    <sheet name="26.06.2026" sheetId="1" r:id="rId1"/>
    <sheet name="26.06.26" sheetId="2" r:id="rId2"/>
  </sheets>
  <definedNames>
    <definedName name="_xlnm._FilterDatabase" localSheetId="0" hidden="1">'26.06.2026'!$B$1:$B$501</definedName>
    <definedName name="S">'26.06.2026'!$O$1:$Q$6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73" i="2" l="1"/>
  <c r="Q373" i="2"/>
  <c r="Q373" i="2" a="1"/>
  <c r="P373" i="2"/>
  <c r="O373" i="2"/>
  <c r="R372" i="2"/>
  <c r="Q372" i="2" a="1"/>
  <c r="Q372" i="2" s="1"/>
  <c r="O372" i="2"/>
  <c r="P372" i="2" s="1"/>
  <c r="R371" i="2"/>
  <c r="Q371" i="2"/>
  <c r="Q371" i="2" a="1"/>
  <c r="P371" i="2"/>
  <c r="O371" i="2"/>
  <c r="R370" i="2"/>
  <c r="Q370" i="2" a="1"/>
  <c r="Q370" i="2" s="1"/>
  <c r="O370" i="2"/>
  <c r="P370" i="2" s="1"/>
  <c r="R369" i="2"/>
  <c r="Q369" i="2"/>
  <c r="Q369" i="2" a="1"/>
  <c r="P369" i="2"/>
  <c r="O369" i="2"/>
  <c r="R368" i="2"/>
  <c r="Q368" i="2" a="1"/>
  <c r="Q368" i="2" s="1"/>
  <c r="O368" i="2"/>
  <c r="P368" i="2" s="1"/>
  <c r="R367" i="2"/>
  <c r="Q367" i="2"/>
  <c r="Q367" i="2" a="1"/>
  <c r="P367" i="2"/>
  <c r="O367" i="2"/>
  <c r="R366" i="2"/>
  <c r="Q366" i="2" a="1"/>
  <c r="Q366" i="2" s="1"/>
  <c r="O366" i="2"/>
  <c r="P366" i="2" s="1"/>
  <c r="R365" i="2"/>
  <c r="Q365" i="2"/>
  <c r="Q365" i="2" a="1"/>
  <c r="P365" i="2"/>
  <c r="O365" i="2"/>
  <c r="R364" i="2"/>
  <c r="Q364" i="2" a="1"/>
  <c r="Q364" i="2" s="1"/>
  <c r="O364" i="2"/>
  <c r="P364" i="2" s="1"/>
  <c r="R363" i="2"/>
  <c r="Q363" i="2"/>
  <c r="Q363" i="2" a="1"/>
  <c r="P363" i="2"/>
  <c r="O363" i="2"/>
  <c r="R362" i="2"/>
  <c r="Q362" i="2" a="1"/>
  <c r="Q362" i="2" s="1"/>
  <c r="O362" i="2"/>
  <c r="P362" i="2" s="1"/>
  <c r="R361" i="2"/>
  <c r="Q361" i="2"/>
  <c r="Q361" i="2" a="1"/>
  <c r="P361" i="2"/>
  <c r="O361" i="2"/>
  <c r="R360" i="2"/>
  <c r="Q360" i="2" a="1"/>
  <c r="Q360" i="2" s="1"/>
  <c r="O360" i="2"/>
  <c r="P360" i="2" s="1"/>
  <c r="R359" i="2"/>
  <c r="Q359" i="2"/>
  <c r="Q359" i="2" a="1"/>
  <c r="P359" i="2"/>
  <c r="O359" i="2"/>
  <c r="R358" i="2"/>
  <c r="Q358" i="2" a="1"/>
  <c r="Q358" i="2" s="1"/>
  <c r="O358" i="2"/>
  <c r="P358" i="2" s="1"/>
  <c r="R357" i="2"/>
  <c r="Q357" i="2"/>
  <c r="Q357" i="2" a="1"/>
  <c r="P357" i="2"/>
  <c r="O357" i="2"/>
  <c r="R356" i="2"/>
  <c r="Q356" i="2" a="1"/>
  <c r="Q356" i="2" s="1"/>
  <c r="O356" i="2"/>
  <c r="P356" i="2" s="1"/>
  <c r="R355" i="2"/>
  <c r="Q355" i="2"/>
  <c r="Q355" i="2" a="1"/>
  <c r="P355" i="2"/>
  <c r="O355" i="2"/>
  <c r="R354" i="2"/>
  <c r="Q354" i="2" a="1"/>
  <c r="Q354" i="2" s="1"/>
  <c r="O354" i="2"/>
  <c r="P354" i="2" s="1"/>
  <c r="R353" i="2"/>
  <c r="Q353" i="2"/>
  <c r="Q353" i="2" a="1"/>
  <c r="P353" i="2"/>
  <c r="O353" i="2"/>
  <c r="R352" i="2"/>
  <c r="Q352" i="2" a="1"/>
  <c r="Q352" i="2" s="1"/>
  <c r="O352" i="2"/>
  <c r="P352" i="2" s="1"/>
  <c r="R351" i="2"/>
  <c r="Q351" i="2"/>
  <c r="Q351" i="2" a="1"/>
  <c r="P351" i="2"/>
  <c r="O351" i="2"/>
  <c r="R350" i="2"/>
  <c r="Q350" i="2" a="1"/>
  <c r="Q350" i="2" s="1"/>
  <c r="O350" i="2"/>
  <c r="P350" i="2" s="1"/>
  <c r="R349" i="2"/>
  <c r="Q349" i="2"/>
  <c r="Q349" i="2" a="1"/>
  <c r="P349" i="2"/>
  <c r="O349" i="2"/>
  <c r="R348" i="2"/>
  <c r="Q348" i="2" a="1"/>
  <c r="Q348" i="2" s="1"/>
  <c r="O348" i="2"/>
  <c r="P348" i="2" s="1"/>
  <c r="R347" i="2"/>
  <c r="Q347" i="2"/>
  <c r="Q347" i="2" a="1"/>
  <c r="P347" i="2"/>
  <c r="O347" i="2"/>
  <c r="R346" i="2"/>
  <c r="Q346" i="2" a="1"/>
  <c r="Q346" i="2" s="1"/>
  <c r="O346" i="2"/>
  <c r="P346" i="2" s="1"/>
  <c r="R345" i="2"/>
  <c r="Q345" i="2"/>
  <c r="Q345" i="2" a="1"/>
  <c r="P345" i="2"/>
  <c r="O345" i="2"/>
  <c r="R344" i="2"/>
  <c r="Q344" i="2" a="1"/>
  <c r="Q344" i="2" s="1"/>
  <c r="O344" i="2"/>
  <c r="P344" i="2" s="1"/>
  <c r="R343" i="2"/>
  <c r="Q343" i="2"/>
  <c r="Q343" i="2" a="1"/>
  <c r="P343" i="2"/>
  <c r="O343" i="2"/>
  <c r="R342" i="2"/>
  <c r="Q342" i="2" a="1"/>
  <c r="Q342" i="2" s="1"/>
  <c r="O342" i="2"/>
  <c r="P342" i="2" s="1"/>
  <c r="R341" i="2"/>
  <c r="Q341" i="2"/>
  <c r="Q341" i="2" a="1"/>
  <c r="P341" i="2"/>
  <c r="O341" i="2"/>
  <c r="R340" i="2"/>
  <c r="Q340" i="2" a="1"/>
  <c r="Q340" i="2" s="1"/>
  <c r="O340" i="2"/>
  <c r="P340" i="2" s="1"/>
  <c r="R339" i="2"/>
  <c r="Q339" i="2"/>
  <c r="Q339" i="2" a="1"/>
  <c r="P339" i="2"/>
  <c r="O339" i="2"/>
  <c r="R338" i="2"/>
  <c r="Q338" i="2" a="1"/>
  <c r="Q338" i="2" s="1"/>
  <c r="O338" i="2"/>
  <c r="P338" i="2" s="1"/>
  <c r="R337" i="2"/>
  <c r="Q337" i="2"/>
  <c r="Q337" i="2" a="1"/>
  <c r="P337" i="2"/>
  <c r="O337" i="2"/>
  <c r="R336" i="2"/>
  <c r="Q336" i="2" a="1"/>
  <c r="Q336" i="2" s="1"/>
  <c r="O336" i="2"/>
  <c r="P336" i="2" s="1"/>
  <c r="R335" i="2"/>
  <c r="Q335" i="2"/>
  <c r="Q335" i="2" a="1"/>
  <c r="P335" i="2"/>
  <c r="O335" i="2"/>
  <c r="R334" i="2"/>
  <c r="Q334" i="2" a="1"/>
  <c r="Q334" i="2" s="1"/>
  <c r="O334" i="2"/>
  <c r="P334" i="2" s="1"/>
  <c r="R333" i="2"/>
  <c r="Q333" i="2"/>
  <c r="Q333" i="2" a="1"/>
  <c r="P333" i="2"/>
  <c r="O333" i="2"/>
  <c r="R332" i="2"/>
  <c r="Q332" i="2" a="1"/>
  <c r="Q332" i="2" s="1"/>
  <c r="O332" i="2"/>
  <c r="P332" i="2" s="1"/>
  <c r="R331" i="2"/>
  <c r="Q331" i="2"/>
  <c r="Q331" i="2" a="1"/>
  <c r="P331" i="2"/>
  <c r="O331" i="2"/>
  <c r="R330" i="2"/>
  <c r="Q330" i="2" a="1"/>
  <c r="Q330" i="2" s="1"/>
  <c r="O330" i="2"/>
  <c r="P330" i="2" s="1"/>
  <c r="R329" i="2"/>
  <c r="Q329" i="2"/>
  <c r="Q329" i="2" a="1"/>
  <c r="P329" i="2"/>
  <c r="O329" i="2"/>
  <c r="R328" i="2"/>
  <c r="Q328" i="2" a="1"/>
  <c r="Q328" i="2" s="1"/>
  <c r="O328" i="2"/>
  <c r="P328" i="2" s="1"/>
  <c r="R327" i="2"/>
  <c r="Q327" i="2"/>
  <c r="Q327" i="2" a="1"/>
  <c r="P327" i="2"/>
  <c r="O327" i="2"/>
  <c r="R326" i="2"/>
  <c r="Q326" i="2" a="1"/>
  <c r="Q326" i="2" s="1"/>
  <c r="O326" i="2"/>
  <c r="P326" i="2" s="1"/>
  <c r="R325" i="2"/>
  <c r="Q325" i="2"/>
  <c r="Q325" i="2" a="1"/>
  <c r="P325" i="2"/>
  <c r="O325" i="2"/>
  <c r="R324" i="2"/>
  <c r="Q324" i="2" a="1"/>
  <c r="Q324" i="2" s="1"/>
  <c r="O324" i="2"/>
  <c r="P324" i="2" s="1"/>
  <c r="R323" i="2"/>
  <c r="Q323" i="2"/>
  <c r="Q323" i="2" a="1"/>
  <c r="P323" i="2"/>
  <c r="O323" i="2"/>
  <c r="R322" i="2"/>
  <c r="Q322" i="2" a="1"/>
  <c r="Q322" i="2" s="1"/>
  <c r="O322" i="2"/>
  <c r="P322" i="2" s="1"/>
  <c r="R321" i="2"/>
  <c r="Q321" i="2"/>
  <c r="Q321" i="2" a="1"/>
  <c r="P321" i="2"/>
  <c r="O321" i="2"/>
  <c r="R320" i="2"/>
  <c r="Q320" i="2" a="1"/>
  <c r="Q320" i="2" s="1"/>
  <c r="O320" i="2"/>
  <c r="P320" i="2" s="1"/>
  <c r="R319" i="2"/>
  <c r="Q319" i="2"/>
  <c r="Q319" i="2" a="1"/>
  <c r="P319" i="2"/>
  <c r="O319" i="2"/>
  <c r="R318" i="2"/>
  <c r="Q318" i="2" a="1"/>
  <c r="Q318" i="2" s="1"/>
  <c r="O318" i="2"/>
  <c r="P318" i="2" s="1"/>
  <c r="R317" i="2"/>
  <c r="Q317" i="2"/>
  <c r="Q317" i="2" a="1"/>
  <c r="P317" i="2"/>
  <c r="O317" i="2"/>
  <c r="R316" i="2"/>
  <c r="Q316" i="2" a="1"/>
  <c r="Q316" i="2" s="1"/>
  <c r="O316" i="2"/>
  <c r="P316" i="2" s="1"/>
  <c r="R315" i="2"/>
  <c r="Q315" i="2"/>
  <c r="Q315" i="2" a="1"/>
  <c r="P315" i="2"/>
  <c r="O315" i="2"/>
  <c r="R314" i="2"/>
  <c r="Q314" i="2" a="1"/>
  <c r="Q314" i="2" s="1"/>
  <c r="O314" i="2"/>
  <c r="P314" i="2" s="1"/>
  <c r="R313" i="2"/>
  <c r="Q313" i="2"/>
  <c r="Q313" i="2" a="1"/>
  <c r="P313" i="2"/>
  <c r="O313" i="2"/>
  <c r="R312" i="2"/>
  <c r="Q312" i="2" a="1"/>
  <c r="Q312" i="2" s="1"/>
  <c r="O312" i="2"/>
  <c r="P312" i="2" s="1"/>
  <c r="R311" i="2"/>
  <c r="Q311" i="2"/>
  <c r="Q311" i="2" a="1"/>
  <c r="P311" i="2"/>
  <c r="O311" i="2"/>
  <c r="R310" i="2"/>
  <c r="Q310" i="2" a="1"/>
  <c r="Q310" i="2" s="1"/>
  <c r="O310" i="2"/>
  <c r="P310" i="2" s="1"/>
  <c r="R309" i="2"/>
  <c r="Q309" i="2"/>
  <c r="Q309" i="2" a="1"/>
  <c r="P309" i="2"/>
  <c r="O309" i="2"/>
  <c r="R308" i="2"/>
  <c r="Q308" i="2" a="1"/>
  <c r="Q308" i="2" s="1"/>
  <c r="O308" i="2"/>
  <c r="P308" i="2" s="1"/>
  <c r="R307" i="2"/>
  <c r="Q307" i="2"/>
  <c r="Q307" i="2" a="1"/>
  <c r="P307" i="2"/>
  <c r="O307" i="2"/>
  <c r="R306" i="2"/>
  <c r="Q306" i="2" a="1"/>
  <c r="Q306" i="2" s="1"/>
  <c r="O306" i="2"/>
  <c r="P306" i="2" s="1"/>
  <c r="R305" i="2"/>
  <c r="Q305" i="2"/>
  <c r="Q305" i="2" a="1"/>
  <c r="P305" i="2"/>
  <c r="O305" i="2"/>
  <c r="R304" i="2"/>
  <c r="Q304" i="2" a="1"/>
  <c r="Q304" i="2" s="1"/>
  <c r="O304" i="2"/>
  <c r="P304" i="2" s="1"/>
  <c r="R303" i="2"/>
  <c r="Q303" i="2"/>
  <c r="Q303" i="2" a="1"/>
  <c r="P303" i="2"/>
  <c r="O303" i="2"/>
  <c r="R302" i="2"/>
  <c r="Q302" i="2" a="1"/>
  <c r="Q302" i="2" s="1"/>
  <c r="O302" i="2"/>
  <c r="P302" i="2" s="1"/>
  <c r="R301" i="2"/>
  <c r="Q301" i="2"/>
  <c r="Q301" i="2" a="1"/>
  <c r="P301" i="2"/>
  <c r="O301" i="2"/>
  <c r="R300" i="2"/>
  <c r="Q300" i="2" a="1"/>
  <c r="Q300" i="2" s="1"/>
  <c r="O300" i="2"/>
  <c r="P300" i="2" s="1"/>
  <c r="R299" i="2"/>
  <c r="Q299" i="2"/>
  <c r="Q299" i="2" a="1"/>
  <c r="P299" i="2"/>
  <c r="O299" i="2"/>
  <c r="R298" i="2"/>
  <c r="Q298" i="2" a="1"/>
  <c r="Q298" i="2" s="1"/>
  <c r="O298" i="2"/>
  <c r="P298" i="2" s="1"/>
  <c r="R297" i="2"/>
  <c r="Q297" i="2"/>
  <c r="Q297" i="2" a="1"/>
  <c r="P297" i="2"/>
  <c r="O297" i="2"/>
  <c r="R296" i="2"/>
  <c r="Q296" i="2" a="1"/>
  <c r="Q296" i="2" s="1"/>
  <c r="O296" i="2"/>
  <c r="P296" i="2" s="1"/>
  <c r="R295" i="2"/>
  <c r="Q295" i="2"/>
  <c r="Q295" i="2" a="1"/>
  <c r="P295" i="2"/>
  <c r="O295" i="2"/>
  <c r="R294" i="2"/>
  <c r="Q294" i="2" a="1"/>
  <c r="Q294" i="2" s="1"/>
  <c r="O294" i="2"/>
  <c r="P294" i="2" s="1"/>
  <c r="R293" i="2"/>
  <c r="Q293" i="2"/>
  <c r="Q293" i="2" a="1"/>
  <c r="P293" i="2"/>
  <c r="O293" i="2"/>
  <c r="R292" i="2"/>
  <c r="Q292" i="2" a="1"/>
  <c r="Q292" i="2" s="1"/>
  <c r="O292" i="2"/>
  <c r="P292" i="2" s="1"/>
  <c r="R291" i="2"/>
  <c r="Q291" i="2"/>
  <c r="Q291" i="2" a="1"/>
  <c r="P291" i="2"/>
  <c r="O291" i="2"/>
  <c r="R290" i="2"/>
  <c r="Q290" i="2" a="1"/>
  <c r="Q290" i="2" s="1"/>
  <c r="O290" i="2"/>
  <c r="P290" i="2" s="1"/>
  <c r="R289" i="2"/>
  <c r="Q289" i="2"/>
  <c r="Q289" i="2" a="1"/>
  <c r="P289" i="2"/>
  <c r="O289" i="2"/>
  <c r="R288" i="2"/>
  <c r="Q288" i="2" a="1"/>
  <c r="Q288" i="2" s="1"/>
  <c r="O288" i="2"/>
  <c r="P288" i="2" s="1"/>
  <c r="R287" i="2"/>
  <c r="Q287" i="2"/>
  <c r="Q287" i="2" a="1"/>
  <c r="P287" i="2"/>
  <c r="O287" i="2"/>
  <c r="R286" i="2"/>
  <c r="Q286" i="2" a="1"/>
  <c r="Q286" i="2" s="1"/>
  <c r="O286" i="2"/>
  <c r="P286" i="2" s="1"/>
  <c r="R285" i="2"/>
  <c r="Q285" i="2"/>
  <c r="Q285" i="2" a="1"/>
  <c r="P285" i="2"/>
  <c r="O285" i="2"/>
  <c r="R284" i="2"/>
  <c r="Q284" i="2" a="1"/>
  <c r="Q284" i="2" s="1"/>
  <c r="O284" i="2"/>
  <c r="P284" i="2" s="1"/>
  <c r="R283" i="2"/>
  <c r="Q283" i="2"/>
  <c r="Q283" i="2" a="1"/>
  <c r="P283" i="2"/>
  <c r="O283" i="2"/>
  <c r="R282" i="2"/>
  <c r="Q282" i="2" a="1"/>
  <c r="Q282" i="2" s="1"/>
  <c r="O282" i="2"/>
  <c r="P282" i="2" s="1"/>
  <c r="R281" i="2"/>
  <c r="Q281" i="2"/>
  <c r="Q281" i="2" a="1"/>
  <c r="P281" i="2"/>
  <c r="O281" i="2"/>
  <c r="R280" i="2"/>
  <c r="Q280" i="2" a="1"/>
  <c r="Q280" i="2" s="1"/>
  <c r="O280" i="2"/>
  <c r="P280" i="2" s="1"/>
  <c r="R279" i="2"/>
  <c r="Q279" i="2"/>
  <c r="Q279" i="2" a="1"/>
  <c r="P279" i="2"/>
  <c r="O279" i="2"/>
  <c r="R278" i="2"/>
  <c r="Q278" i="2" a="1"/>
  <c r="Q278" i="2" s="1"/>
  <c r="O278" i="2"/>
  <c r="P278" i="2" s="1"/>
  <c r="R277" i="2"/>
  <c r="Q277" i="2"/>
  <c r="Q277" i="2" a="1"/>
  <c r="P277" i="2"/>
  <c r="O277" i="2"/>
  <c r="R276" i="2"/>
  <c r="Q276" i="2" a="1"/>
  <c r="Q276" i="2" s="1"/>
  <c r="O276" i="2"/>
  <c r="P276" i="2" s="1"/>
  <c r="R275" i="2"/>
  <c r="Q275" i="2"/>
  <c r="Q275" i="2" a="1"/>
  <c r="P275" i="2"/>
  <c r="O275" i="2"/>
  <c r="R274" i="2"/>
  <c r="Q274" i="2" a="1"/>
  <c r="Q274" i="2" s="1"/>
  <c r="O274" i="2"/>
  <c r="P274" i="2" s="1"/>
  <c r="R273" i="2"/>
  <c r="Q273" i="2"/>
  <c r="Q273" i="2" a="1"/>
  <c r="P273" i="2"/>
  <c r="O273" i="2"/>
  <c r="R272" i="2"/>
  <c r="Q272" i="2" a="1"/>
  <c r="Q272" i="2" s="1"/>
  <c r="O272" i="2"/>
  <c r="P272" i="2" s="1"/>
  <c r="R271" i="2"/>
  <c r="Q271" i="2"/>
  <c r="Q271" i="2" a="1"/>
  <c r="P271" i="2"/>
  <c r="O271" i="2"/>
  <c r="R270" i="2"/>
  <c r="Q270" i="2" a="1"/>
  <c r="Q270" i="2" s="1"/>
  <c r="O270" i="2"/>
  <c r="P270" i="2" s="1"/>
  <c r="R269" i="2"/>
  <c r="Q269" i="2"/>
  <c r="Q269" i="2" a="1"/>
  <c r="P269" i="2"/>
  <c r="O269" i="2"/>
  <c r="R268" i="2"/>
  <c r="Q268" i="2" a="1"/>
  <c r="Q268" i="2" s="1"/>
  <c r="O268" i="2"/>
  <c r="P268" i="2" s="1"/>
  <c r="R267" i="2"/>
  <c r="Q267" i="2"/>
  <c r="Q267" i="2" a="1"/>
  <c r="P267" i="2"/>
  <c r="O267" i="2"/>
  <c r="R266" i="2"/>
  <c r="Q266" i="2" a="1"/>
  <c r="Q266" i="2" s="1"/>
  <c r="O266" i="2"/>
  <c r="P266" i="2" s="1"/>
  <c r="R265" i="2"/>
  <c r="Q265" i="2"/>
  <c r="Q265" i="2" a="1"/>
  <c r="P265" i="2"/>
  <c r="O265" i="2"/>
  <c r="R264" i="2"/>
  <c r="Q264" i="2" a="1"/>
  <c r="Q264" i="2" s="1"/>
  <c r="O264" i="2"/>
  <c r="P264" i="2" s="1"/>
  <c r="R263" i="2"/>
  <c r="Q263" i="2"/>
  <c r="Q263" i="2" a="1"/>
  <c r="P263" i="2"/>
  <c r="O263" i="2"/>
  <c r="R262" i="2"/>
  <c r="Q262" i="2" a="1"/>
  <c r="Q262" i="2" s="1"/>
  <c r="O262" i="2"/>
  <c r="P262" i="2" s="1"/>
  <c r="R261" i="2"/>
  <c r="Q261" i="2"/>
  <c r="Q261" i="2" a="1"/>
  <c r="P261" i="2"/>
  <c r="O261" i="2"/>
  <c r="R260" i="2"/>
  <c r="Q260" i="2" a="1"/>
  <c r="Q260" i="2" s="1"/>
  <c r="O260" i="2"/>
  <c r="P260" i="2" s="1"/>
  <c r="R259" i="2"/>
  <c r="Q259" i="2"/>
  <c r="Q259" i="2" a="1"/>
  <c r="P259" i="2"/>
  <c r="O259" i="2"/>
  <c r="R258" i="2"/>
  <c r="Q258" i="2" a="1"/>
  <c r="Q258" i="2" s="1"/>
  <c r="O258" i="2"/>
  <c r="P258" i="2" s="1"/>
  <c r="R257" i="2"/>
  <c r="Q257" i="2"/>
  <c r="Q257" i="2" a="1"/>
  <c r="P257" i="2"/>
  <c r="O257" i="2"/>
  <c r="R256" i="2"/>
  <c r="Q256" i="2" a="1"/>
  <c r="Q256" i="2" s="1"/>
  <c r="O256" i="2"/>
  <c r="P256" i="2" s="1"/>
  <c r="R255" i="2"/>
  <c r="Q255" i="2"/>
  <c r="Q255" i="2" a="1"/>
  <c r="P255" i="2"/>
  <c r="O255" i="2"/>
  <c r="R254" i="2"/>
  <c r="Q254" i="2" a="1"/>
  <c r="Q254" i="2" s="1"/>
  <c r="O254" i="2"/>
  <c r="P254" i="2" s="1"/>
  <c r="R253" i="2"/>
  <c r="Q253" i="2"/>
  <c r="Q253" i="2" a="1"/>
  <c r="P253" i="2"/>
  <c r="O253" i="2"/>
  <c r="R252" i="2"/>
  <c r="Q252" i="2" a="1"/>
  <c r="Q252" i="2" s="1"/>
  <c r="O252" i="2"/>
  <c r="P252" i="2" s="1"/>
  <c r="R251" i="2"/>
  <c r="Q251" i="2"/>
  <c r="Q251" i="2" a="1"/>
  <c r="P251" i="2"/>
  <c r="O251" i="2"/>
  <c r="R250" i="2"/>
  <c r="Q250" i="2" a="1"/>
  <c r="Q250" i="2" s="1"/>
  <c r="O250" i="2"/>
  <c r="P250" i="2" s="1"/>
  <c r="R249" i="2"/>
  <c r="Q249" i="2"/>
  <c r="Q249" i="2" a="1"/>
  <c r="P249" i="2"/>
  <c r="O249" i="2"/>
  <c r="R248" i="2"/>
  <c r="Q248" i="2" a="1"/>
  <c r="Q248" i="2" s="1"/>
  <c r="O248" i="2"/>
  <c r="P248" i="2" s="1"/>
  <c r="R247" i="2"/>
  <c r="Q247" i="2"/>
  <c r="Q247" i="2" a="1"/>
  <c r="P247" i="2"/>
  <c r="O247" i="2"/>
  <c r="R246" i="2"/>
  <c r="Q246" i="2" a="1"/>
  <c r="Q246" i="2" s="1"/>
  <c r="O246" i="2"/>
  <c r="P246" i="2" s="1"/>
  <c r="R245" i="2"/>
  <c r="Q245" i="2"/>
  <c r="Q245" i="2" a="1"/>
  <c r="P245" i="2"/>
  <c r="O245" i="2"/>
  <c r="R244" i="2"/>
  <c r="Q244" i="2" a="1"/>
  <c r="Q244" i="2" s="1"/>
  <c r="O244" i="2"/>
  <c r="P244" i="2" s="1"/>
  <c r="R243" i="2"/>
  <c r="Q243" i="2"/>
  <c r="Q243" i="2" a="1"/>
  <c r="P243" i="2"/>
  <c r="O243" i="2"/>
  <c r="R242" i="2"/>
  <c r="Q242" i="2" a="1"/>
  <c r="Q242" i="2" s="1"/>
  <c r="O242" i="2"/>
  <c r="P242" i="2" s="1"/>
  <c r="R241" i="2"/>
  <c r="Q241" i="2"/>
  <c r="Q241" i="2" a="1"/>
  <c r="P241" i="2"/>
  <c r="O241" i="2"/>
  <c r="R240" i="2"/>
  <c r="Q240" i="2" a="1"/>
  <c r="Q240" i="2" s="1"/>
  <c r="O240" i="2"/>
  <c r="P240" i="2" s="1"/>
  <c r="R239" i="2"/>
  <c r="Q239" i="2"/>
  <c r="Q239" i="2" a="1"/>
  <c r="P239" i="2"/>
  <c r="O239" i="2"/>
  <c r="R238" i="2"/>
  <c r="Q238" i="2" a="1"/>
  <c r="Q238" i="2" s="1"/>
  <c r="O238" i="2"/>
  <c r="P238" i="2" s="1"/>
  <c r="R237" i="2"/>
  <c r="Q237" i="2"/>
  <c r="Q237" i="2" a="1"/>
  <c r="P237" i="2"/>
  <c r="O237" i="2"/>
  <c r="R236" i="2"/>
  <c r="Q236" i="2" a="1"/>
  <c r="Q236" i="2" s="1"/>
  <c r="O236" i="2"/>
  <c r="P236" i="2" s="1"/>
  <c r="R235" i="2"/>
  <c r="Q235" i="2"/>
  <c r="Q235" i="2" a="1"/>
  <c r="P235" i="2"/>
  <c r="O235" i="2"/>
  <c r="R234" i="2"/>
  <c r="Q234" i="2" a="1"/>
  <c r="Q234" i="2" s="1"/>
  <c r="O234" i="2"/>
  <c r="P234" i="2" s="1"/>
  <c r="R233" i="2"/>
  <c r="Q233" i="2"/>
  <c r="Q233" i="2" a="1"/>
  <c r="P233" i="2"/>
  <c r="O233" i="2"/>
  <c r="R232" i="2"/>
  <c r="Q232" i="2" a="1"/>
  <c r="Q232" i="2" s="1"/>
  <c r="O232" i="2"/>
  <c r="P232" i="2" s="1"/>
  <c r="R231" i="2"/>
  <c r="Q231" i="2"/>
  <c r="Q231" i="2" a="1"/>
  <c r="P231" i="2"/>
  <c r="O231" i="2"/>
  <c r="R230" i="2"/>
  <c r="Q230" i="2" a="1"/>
  <c r="Q230" i="2" s="1"/>
  <c r="O230" i="2"/>
  <c r="P230" i="2" s="1"/>
  <c r="R229" i="2"/>
  <c r="Q229" i="2"/>
  <c r="Q229" i="2" a="1"/>
  <c r="P229" i="2"/>
  <c r="O229" i="2"/>
  <c r="R228" i="2"/>
  <c r="Q228" i="2" a="1"/>
  <c r="Q228" i="2" s="1"/>
  <c r="O228" i="2"/>
  <c r="P228" i="2" s="1"/>
  <c r="R227" i="2"/>
  <c r="Q227" i="2"/>
  <c r="Q227" i="2" a="1"/>
  <c r="P227" i="2"/>
  <c r="O227" i="2"/>
  <c r="R226" i="2"/>
  <c r="Q226" i="2" a="1"/>
  <c r="Q226" i="2" s="1"/>
  <c r="O226" i="2"/>
  <c r="P226" i="2" s="1"/>
  <c r="R225" i="2"/>
  <c r="Q225" i="2"/>
  <c r="Q225" i="2" a="1"/>
  <c r="P225" i="2"/>
  <c r="O225" i="2"/>
  <c r="R224" i="2"/>
  <c r="Q224" i="2" a="1"/>
  <c r="Q224" i="2" s="1"/>
  <c r="O224" i="2"/>
  <c r="P224" i="2" s="1"/>
  <c r="R223" i="2"/>
  <c r="Q223" i="2"/>
  <c r="Q223" i="2" a="1"/>
  <c r="P223" i="2"/>
  <c r="O223" i="2"/>
  <c r="R222" i="2"/>
  <c r="Q222" i="2" a="1"/>
  <c r="Q222" i="2" s="1"/>
  <c r="O222" i="2"/>
  <c r="P222" i="2" s="1"/>
  <c r="R221" i="2"/>
  <c r="Q221" i="2"/>
  <c r="Q221" i="2" a="1"/>
  <c r="P221" i="2"/>
  <c r="O221" i="2"/>
  <c r="R220" i="2"/>
  <c r="Q220" i="2" a="1"/>
  <c r="Q220" i="2" s="1"/>
  <c r="O220" i="2"/>
  <c r="P220" i="2" s="1"/>
  <c r="R219" i="2"/>
  <c r="Q219" i="2"/>
  <c r="Q219" i="2" a="1"/>
  <c r="P219" i="2"/>
  <c r="O219" i="2"/>
  <c r="R218" i="2"/>
  <c r="Q218" i="2" a="1"/>
  <c r="Q218" i="2" s="1"/>
  <c r="O218" i="2"/>
  <c r="P218" i="2" s="1"/>
  <c r="R217" i="2"/>
  <c r="Q217" i="2"/>
  <c r="Q217" i="2" a="1"/>
  <c r="P217" i="2"/>
  <c r="O217" i="2"/>
  <c r="R216" i="2"/>
  <c r="Q216" i="2" a="1"/>
  <c r="Q216" i="2" s="1"/>
  <c r="O216" i="2"/>
  <c r="P216" i="2" s="1"/>
  <c r="R215" i="2"/>
  <c r="Q215" i="2"/>
  <c r="Q215" i="2" a="1"/>
  <c r="P215" i="2"/>
  <c r="O215" i="2"/>
  <c r="R214" i="2"/>
  <c r="Q214" i="2" a="1"/>
  <c r="Q214" i="2" s="1"/>
  <c r="O214" i="2"/>
  <c r="P214" i="2" s="1"/>
  <c r="R213" i="2"/>
  <c r="Q213" i="2"/>
  <c r="Q213" i="2" a="1"/>
  <c r="P213" i="2"/>
  <c r="O213" i="2"/>
  <c r="R212" i="2"/>
  <c r="Q212" i="2" a="1"/>
  <c r="Q212" i="2" s="1"/>
  <c r="O212" i="2"/>
  <c r="P212" i="2" s="1"/>
  <c r="R211" i="2"/>
  <c r="Q211" i="2"/>
  <c r="Q211" i="2" a="1"/>
  <c r="P211" i="2"/>
  <c r="O211" i="2"/>
  <c r="R210" i="2"/>
  <c r="Q210" i="2" a="1"/>
  <c r="Q210" i="2" s="1"/>
  <c r="O210" i="2"/>
  <c r="P210" i="2" s="1"/>
  <c r="R209" i="2"/>
  <c r="Q209" i="2"/>
  <c r="Q209" i="2" a="1"/>
  <c r="P209" i="2"/>
  <c r="O209" i="2"/>
  <c r="R208" i="2"/>
  <c r="Q208" i="2" a="1"/>
  <c r="Q208" i="2" s="1"/>
  <c r="O208" i="2"/>
  <c r="P208" i="2" s="1"/>
  <c r="R207" i="2"/>
  <c r="Q207" i="2"/>
  <c r="Q207" i="2" a="1"/>
  <c r="P207" i="2"/>
  <c r="O207" i="2"/>
  <c r="R206" i="2"/>
  <c r="Q206" i="2" a="1"/>
  <c r="Q206" i="2" s="1"/>
  <c r="O206" i="2"/>
  <c r="P206" i="2" s="1"/>
  <c r="R205" i="2"/>
  <c r="Q205" i="2"/>
  <c r="Q205" i="2" a="1"/>
  <c r="P205" i="2"/>
  <c r="O205" i="2"/>
  <c r="R204" i="2"/>
  <c r="Q204" i="2" a="1"/>
  <c r="Q204" i="2" s="1"/>
  <c r="P204" i="2"/>
  <c r="O204" i="2"/>
  <c r="R203" i="2"/>
  <c r="Q203" i="2" a="1"/>
  <c r="Q203" i="2" s="1"/>
  <c r="O203" i="2"/>
  <c r="P203" i="2" s="1"/>
  <c r="R202" i="2"/>
  <c r="Q202" i="2"/>
  <c r="Q202" i="2" a="1"/>
  <c r="O202" i="2"/>
  <c r="P202" i="2" s="1"/>
  <c r="R201" i="2"/>
  <c r="Q201" i="2" a="1"/>
  <c r="Q201" i="2" s="1"/>
  <c r="P201" i="2"/>
  <c r="O201" i="2"/>
  <c r="R200" i="2"/>
  <c r="Q200" i="2" a="1"/>
  <c r="Q200" i="2" s="1"/>
  <c r="P200" i="2"/>
  <c r="O200" i="2"/>
  <c r="R199" i="2"/>
  <c r="Q199" i="2" a="1"/>
  <c r="Q199" i="2" s="1"/>
  <c r="O199" i="2"/>
  <c r="P199" i="2" s="1"/>
  <c r="R198" i="2"/>
  <c r="Q198" i="2"/>
  <c r="Q198" i="2" a="1"/>
  <c r="O198" i="2"/>
  <c r="P198" i="2" s="1"/>
  <c r="R197" i="2"/>
  <c r="Q197" i="2" a="1"/>
  <c r="Q197" i="2" s="1"/>
  <c r="P197" i="2"/>
  <c r="O197" i="2"/>
  <c r="R196" i="2"/>
  <c r="Q196" i="2" a="1"/>
  <c r="Q196" i="2" s="1"/>
  <c r="P196" i="2"/>
  <c r="O196" i="2"/>
  <c r="R195" i="2"/>
  <c r="Q195" i="2" a="1"/>
  <c r="Q195" i="2" s="1"/>
  <c r="O195" i="2"/>
  <c r="P195" i="2" s="1"/>
  <c r="R194" i="2"/>
  <c r="Q194" i="2"/>
  <c r="Q194" i="2" a="1"/>
  <c r="O194" i="2"/>
  <c r="P194" i="2" s="1"/>
  <c r="R193" i="2"/>
  <c r="Q193" i="2" a="1"/>
  <c r="Q193" i="2" s="1"/>
  <c r="P193" i="2"/>
  <c r="O193" i="2"/>
  <c r="R192" i="2"/>
  <c r="Q192" i="2" a="1"/>
  <c r="Q192" i="2" s="1"/>
  <c r="P192" i="2"/>
  <c r="O192" i="2"/>
  <c r="R191" i="2"/>
  <c r="Q191" i="2" a="1"/>
  <c r="Q191" i="2" s="1"/>
  <c r="O191" i="2"/>
  <c r="P191" i="2" s="1"/>
  <c r="R190" i="2"/>
  <c r="Q190" i="2"/>
  <c r="Q190" i="2" a="1"/>
  <c r="O190" i="2"/>
  <c r="P190" i="2" s="1"/>
  <c r="R189" i="2"/>
  <c r="Q189" i="2" a="1"/>
  <c r="Q189" i="2" s="1"/>
  <c r="P189" i="2"/>
  <c r="O189" i="2"/>
  <c r="R188" i="2"/>
  <c r="Q188" i="2" a="1"/>
  <c r="Q188" i="2" s="1"/>
  <c r="P188" i="2"/>
  <c r="O188" i="2"/>
  <c r="R187" i="2"/>
  <c r="Q187" i="2" a="1"/>
  <c r="Q187" i="2" s="1"/>
  <c r="O187" i="2"/>
  <c r="P187" i="2" s="1"/>
  <c r="R186" i="2"/>
  <c r="Q186" i="2"/>
  <c r="Q186" i="2" a="1"/>
  <c r="O186" i="2"/>
  <c r="P186" i="2" s="1"/>
  <c r="R185" i="2"/>
  <c r="Q185" i="2" a="1"/>
  <c r="Q185" i="2" s="1"/>
  <c r="P185" i="2"/>
  <c r="O185" i="2"/>
  <c r="R184" i="2"/>
  <c r="Q184" i="2" a="1"/>
  <c r="Q184" i="2" s="1"/>
  <c r="P184" i="2"/>
  <c r="O184" i="2"/>
  <c r="R183" i="2"/>
  <c r="Q183" i="2" a="1"/>
  <c r="Q183" i="2" s="1"/>
  <c r="O183" i="2"/>
  <c r="P183" i="2" s="1"/>
  <c r="R182" i="2"/>
  <c r="Q182" i="2"/>
  <c r="Q182" i="2" a="1"/>
  <c r="O182" i="2"/>
  <c r="P182" i="2" s="1"/>
  <c r="R181" i="2"/>
  <c r="Q181" i="2" a="1"/>
  <c r="Q181" i="2" s="1"/>
  <c r="P181" i="2"/>
  <c r="O181" i="2"/>
  <c r="R180" i="2"/>
  <c r="Q180" i="2" a="1"/>
  <c r="Q180" i="2" s="1"/>
  <c r="P180" i="2"/>
  <c r="O180" i="2"/>
  <c r="R179" i="2"/>
  <c r="Q179" i="2" a="1"/>
  <c r="Q179" i="2" s="1"/>
  <c r="O179" i="2"/>
  <c r="P179" i="2" s="1"/>
  <c r="R178" i="2"/>
  <c r="Q178" i="2"/>
  <c r="Q178" i="2" a="1"/>
  <c r="O178" i="2"/>
  <c r="P178" i="2" s="1"/>
  <c r="R177" i="2"/>
  <c r="Q177" i="2" a="1"/>
  <c r="Q177" i="2" s="1"/>
  <c r="P177" i="2"/>
  <c r="O177" i="2"/>
  <c r="R176" i="2"/>
  <c r="Q176" i="2" a="1"/>
  <c r="Q176" i="2" s="1"/>
  <c r="P176" i="2"/>
  <c r="O176" i="2"/>
  <c r="R175" i="2"/>
  <c r="Q175" i="2" a="1"/>
  <c r="Q175" i="2" s="1"/>
  <c r="O175" i="2"/>
  <c r="P175" i="2" s="1"/>
  <c r="R174" i="2"/>
  <c r="Q174" i="2"/>
  <c r="Q174" i="2" a="1"/>
  <c r="O174" i="2"/>
  <c r="P174" i="2" s="1"/>
  <c r="R173" i="2"/>
  <c r="Q173" i="2" a="1"/>
  <c r="Q173" i="2" s="1"/>
  <c r="P173" i="2"/>
  <c r="O173" i="2"/>
  <c r="R172" i="2"/>
  <c r="Q172" i="2" a="1"/>
  <c r="Q172" i="2" s="1"/>
  <c r="P172" i="2"/>
  <c r="O172" i="2"/>
  <c r="R171" i="2"/>
  <c r="Q171" i="2" a="1"/>
  <c r="Q171" i="2" s="1"/>
  <c r="O171" i="2"/>
  <c r="P171" i="2" s="1"/>
  <c r="R170" i="2"/>
  <c r="Q170" i="2"/>
  <c r="Q170" i="2" a="1"/>
  <c r="O170" i="2"/>
  <c r="P170" i="2" s="1"/>
  <c r="R169" i="2"/>
  <c r="Q169" i="2" a="1"/>
  <c r="Q169" i="2" s="1"/>
  <c r="P169" i="2"/>
  <c r="O169" i="2"/>
  <c r="R168" i="2"/>
  <c r="Q168" i="2" a="1"/>
  <c r="Q168" i="2" s="1"/>
  <c r="P168" i="2"/>
  <c r="O168" i="2"/>
  <c r="R167" i="2"/>
  <c r="Q167" i="2" a="1"/>
  <c r="Q167" i="2" s="1"/>
  <c r="O167" i="2"/>
  <c r="P167" i="2" s="1"/>
  <c r="R166" i="2"/>
  <c r="Q166" i="2"/>
  <c r="Q166" i="2" a="1"/>
  <c r="O166" i="2"/>
  <c r="P166" i="2" s="1"/>
  <c r="R165" i="2"/>
  <c r="Q165" i="2" a="1"/>
  <c r="Q165" i="2" s="1"/>
  <c r="P165" i="2"/>
  <c r="O165" i="2"/>
  <c r="R164" i="2"/>
  <c r="Q164" i="2" a="1"/>
  <c r="Q164" i="2" s="1"/>
  <c r="P164" i="2"/>
  <c r="O164" i="2"/>
  <c r="R163" i="2"/>
  <c r="Q163" i="2" a="1"/>
  <c r="Q163" i="2" s="1"/>
  <c r="O163" i="2"/>
  <c r="P163" i="2" s="1"/>
  <c r="R162" i="2"/>
  <c r="Q162" i="2"/>
  <c r="Q162" i="2" a="1"/>
  <c r="O162" i="2"/>
  <c r="P162" i="2" s="1"/>
  <c r="R161" i="2"/>
  <c r="Q161" i="2" a="1"/>
  <c r="Q161" i="2" s="1"/>
  <c r="P161" i="2"/>
  <c r="O161" i="2"/>
  <c r="R160" i="2"/>
  <c r="Q160" i="2" a="1"/>
  <c r="Q160" i="2" s="1"/>
  <c r="P160" i="2"/>
  <c r="O160" i="2"/>
  <c r="R159" i="2"/>
  <c r="Q159" i="2" a="1"/>
  <c r="Q159" i="2" s="1"/>
  <c r="O159" i="2"/>
  <c r="P159" i="2" s="1"/>
  <c r="R158" i="2"/>
  <c r="Q158" i="2"/>
  <c r="Q158" i="2" a="1"/>
  <c r="O158" i="2"/>
  <c r="P158" i="2" s="1"/>
  <c r="R157" i="2"/>
  <c r="Q157" i="2" a="1"/>
  <c r="Q157" i="2" s="1"/>
  <c r="P157" i="2"/>
  <c r="O157" i="2"/>
  <c r="R156" i="2"/>
  <c r="Q156" i="2" a="1"/>
  <c r="Q156" i="2" s="1"/>
  <c r="P156" i="2"/>
  <c r="O156" i="2"/>
  <c r="R155" i="2"/>
  <c r="Q155" i="2" a="1"/>
  <c r="Q155" i="2" s="1"/>
  <c r="O155" i="2"/>
  <c r="P155" i="2" s="1"/>
  <c r="R154" i="2"/>
  <c r="Q154" i="2"/>
  <c r="Q154" i="2" a="1"/>
  <c r="O154" i="2"/>
  <c r="P154" i="2" s="1"/>
  <c r="R153" i="2"/>
  <c r="Q153" i="2" a="1"/>
  <c r="Q153" i="2" s="1"/>
  <c r="P153" i="2"/>
  <c r="O153" i="2"/>
  <c r="R152" i="2"/>
  <c r="Q152" i="2" a="1"/>
  <c r="Q152" i="2" s="1"/>
  <c r="P152" i="2"/>
  <c r="O152" i="2"/>
  <c r="R151" i="2"/>
  <c r="Q151" i="2" a="1"/>
  <c r="Q151" i="2" s="1"/>
  <c r="O151" i="2"/>
  <c r="P151" i="2" s="1"/>
  <c r="R150" i="2"/>
  <c r="Q150" i="2"/>
  <c r="Q150" i="2" a="1"/>
  <c r="O150" i="2"/>
  <c r="P150" i="2" s="1"/>
  <c r="R149" i="2"/>
  <c r="Q149" i="2" a="1"/>
  <c r="Q149" i="2" s="1"/>
  <c r="P149" i="2"/>
  <c r="O149" i="2"/>
  <c r="R148" i="2"/>
  <c r="Q148" i="2" a="1"/>
  <c r="Q148" i="2" s="1"/>
  <c r="P148" i="2"/>
  <c r="O148" i="2"/>
  <c r="R147" i="2"/>
  <c r="Q147" i="2" a="1"/>
  <c r="Q147" i="2" s="1"/>
  <c r="O147" i="2"/>
  <c r="P147" i="2" s="1"/>
  <c r="R146" i="2"/>
  <c r="Q146" i="2"/>
  <c r="Q146" i="2" a="1"/>
  <c r="O146" i="2"/>
  <c r="P146" i="2" s="1"/>
  <c r="R145" i="2"/>
  <c r="Q145" i="2" a="1"/>
  <c r="Q145" i="2" s="1"/>
  <c r="P145" i="2"/>
  <c r="O145" i="2"/>
  <c r="R144" i="2"/>
  <c r="Q144" i="2" a="1"/>
  <c r="Q144" i="2" s="1"/>
  <c r="P144" i="2"/>
  <c r="O144" i="2"/>
  <c r="R143" i="2"/>
  <c r="Q143" i="2" a="1"/>
  <c r="Q143" i="2" s="1"/>
  <c r="O143" i="2"/>
  <c r="P143" i="2" s="1"/>
  <c r="R142" i="2"/>
  <c r="Q142" i="2"/>
  <c r="Q142" i="2" a="1"/>
  <c r="O142" i="2"/>
  <c r="P142" i="2" s="1"/>
  <c r="R141" i="2"/>
  <c r="Q141" i="2" a="1"/>
  <c r="Q141" i="2" s="1"/>
  <c r="P141" i="2"/>
  <c r="O141" i="2"/>
  <c r="R140" i="2"/>
  <c r="Q140" i="2" a="1"/>
  <c r="Q140" i="2" s="1"/>
  <c r="P140" i="2"/>
  <c r="O140" i="2"/>
  <c r="R139" i="2"/>
  <c r="Q139" i="2" a="1"/>
  <c r="Q139" i="2" s="1"/>
  <c r="O139" i="2"/>
  <c r="P139" i="2" s="1"/>
  <c r="R138" i="2"/>
  <c r="Q138" i="2"/>
  <c r="Q138" i="2" a="1"/>
  <c r="O138" i="2"/>
  <c r="P138" i="2" s="1"/>
  <c r="R137" i="2"/>
  <c r="Q137" i="2" a="1"/>
  <c r="Q137" i="2" s="1"/>
  <c r="P137" i="2"/>
  <c r="O137" i="2"/>
  <c r="R136" i="2"/>
  <c r="Q136" i="2" a="1"/>
  <c r="Q136" i="2" s="1"/>
  <c r="P136" i="2"/>
  <c r="O136" i="2"/>
  <c r="R135" i="2"/>
  <c r="Q135" i="2" a="1"/>
  <c r="Q135" i="2" s="1"/>
  <c r="O135" i="2"/>
  <c r="P135" i="2" s="1"/>
  <c r="R134" i="2"/>
  <c r="Q134" i="2"/>
  <c r="Q134" i="2" a="1"/>
  <c r="O134" i="2"/>
  <c r="P134" i="2" s="1"/>
  <c r="R133" i="2"/>
  <c r="Q133" i="2" a="1"/>
  <c r="Q133" i="2" s="1"/>
  <c r="P133" i="2"/>
  <c r="O133" i="2"/>
  <c r="R132" i="2"/>
  <c r="Q132" i="2" a="1"/>
  <c r="Q132" i="2" s="1"/>
  <c r="P132" i="2"/>
  <c r="O132" i="2"/>
  <c r="R131" i="2"/>
  <c r="Q131" i="2" a="1"/>
  <c r="Q131" i="2" s="1"/>
  <c r="O131" i="2"/>
  <c r="P131" i="2" s="1"/>
  <c r="R130" i="2"/>
  <c r="Q130" i="2"/>
  <c r="Q130" i="2" a="1"/>
  <c r="O130" i="2"/>
  <c r="P130" i="2" s="1"/>
  <c r="R129" i="2"/>
  <c r="Q129" i="2" a="1"/>
  <c r="Q129" i="2" s="1"/>
  <c r="P129" i="2"/>
  <c r="O129" i="2"/>
  <c r="R128" i="2"/>
  <c r="Q128" i="2" a="1"/>
  <c r="Q128" i="2" s="1"/>
  <c r="P128" i="2"/>
  <c r="O128" i="2"/>
  <c r="R127" i="2"/>
  <c r="Q127" i="2" a="1"/>
  <c r="Q127" i="2" s="1"/>
  <c r="O127" i="2"/>
  <c r="P127" i="2" s="1"/>
  <c r="R126" i="2"/>
  <c r="Q126" i="2"/>
  <c r="Q126" i="2" a="1"/>
  <c r="O126" i="2"/>
  <c r="P126" i="2" s="1"/>
  <c r="R125" i="2"/>
  <c r="Q125" i="2" a="1"/>
  <c r="Q125" i="2" s="1"/>
  <c r="P125" i="2"/>
  <c r="O125" i="2"/>
  <c r="R124" i="2"/>
  <c r="Q124" i="2" a="1"/>
  <c r="Q124" i="2" s="1"/>
  <c r="P124" i="2"/>
  <c r="O124" i="2"/>
  <c r="R123" i="2"/>
  <c r="Q123" i="2" a="1"/>
  <c r="Q123" i="2" s="1"/>
  <c r="O123" i="2"/>
  <c r="P123" i="2" s="1"/>
  <c r="R122" i="2"/>
  <c r="Q122" i="2"/>
  <c r="Q122" i="2" a="1"/>
  <c r="O122" i="2"/>
  <c r="P122" i="2" s="1"/>
  <c r="R121" i="2"/>
  <c r="Q121" i="2" a="1"/>
  <c r="Q121" i="2" s="1"/>
  <c r="P121" i="2"/>
  <c r="O121" i="2"/>
  <c r="R120" i="2"/>
  <c r="Q120" i="2" a="1"/>
  <c r="Q120" i="2" s="1"/>
  <c r="P120" i="2"/>
  <c r="O120" i="2"/>
  <c r="R119" i="2"/>
  <c r="Q119" i="2" a="1"/>
  <c r="Q119" i="2" s="1"/>
  <c r="O119" i="2"/>
  <c r="P119" i="2" s="1"/>
  <c r="R118" i="2"/>
  <c r="Q118" i="2"/>
  <c r="Q118" i="2" a="1"/>
  <c r="O118" i="2"/>
  <c r="P118" i="2" s="1"/>
  <c r="R117" i="2"/>
  <c r="Q117" i="2" a="1"/>
  <c r="Q117" i="2" s="1"/>
  <c r="P117" i="2"/>
  <c r="O117" i="2"/>
  <c r="R116" i="2"/>
  <c r="Q116" i="2" a="1"/>
  <c r="Q116" i="2" s="1"/>
  <c r="P116" i="2"/>
  <c r="O116" i="2"/>
  <c r="R115" i="2"/>
  <c r="Q115" i="2" a="1"/>
  <c r="Q115" i="2" s="1"/>
  <c r="O115" i="2"/>
  <c r="P115" i="2" s="1"/>
  <c r="R114" i="2"/>
  <c r="Q114" i="2"/>
  <c r="Q114" i="2" a="1"/>
  <c r="O114" i="2"/>
  <c r="P114" i="2" s="1"/>
  <c r="R113" i="2"/>
  <c r="Q113" i="2" a="1"/>
  <c r="Q113" i="2" s="1"/>
  <c r="P113" i="2"/>
  <c r="O113" i="2"/>
  <c r="R112" i="2"/>
  <c r="Q112" i="2" a="1"/>
  <c r="Q112" i="2" s="1"/>
  <c r="P112" i="2"/>
  <c r="O112" i="2"/>
  <c r="R111" i="2"/>
  <c r="Q111" i="2"/>
  <c r="Q111" i="2" a="1"/>
  <c r="O111" i="2"/>
  <c r="P111" i="2" s="1"/>
  <c r="R110" i="2"/>
  <c r="Q110" i="2"/>
  <c r="Q110" i="2" a="1"/>
  <c r="O110" i="2"/>
  <c r="P110" i="2" s="1"/>
  <c r="R109" i="2"/>
  <c r="Q109" i="2" a="1"/>
  <c r="Q109" i="2" s="1"/>
  <c r="O109" i="2"/>
  <c r="P109" i="2" s="1"/>
  <c r="R108" i="2"/>
  <c r="Q108" i="2"/>
  <c r="Q108" i="2" a="1"/>
  <c r="P108" i="2"/>
  <c r="O108" i="2"/>
  <c r="R107" i="2"/>
  <c r="Q107" i="2" a="1"/>
  <c r="Q107" i="2" s="1"/>
  <c r="O107" i="2"/>
  <c r="P107" i="2" s="1"/>
  <c r="R106" i="2"/>
  <c r="Q106" i="2"/>
  <c r="Q106" i="2" a="1"/>
  <c r="P106" i="2"/>
  <c r="O106" i="2"/>
  <c r="R105" i="2"/>
  <c r="Q105" i="2" a="1"/>
  <c r="Q105" i="2" s="1"/>
  <c r="P105" i="2"/>
  <c r="O105" i="2"/>
  <c r="R104" i="2"/>
  <c r="Q104" i="2" a="1"/>
  <c r="Q104" i="2" s="1"/>
  <c r="P104" i="2"/>
  <c r="O104" i="2"/>
  <c r="R103" i="2"/>
  <c r="Q103" i="2"/>
  <c r="Q103" i="2" a="1"/>
  <c r="O103" i="2"/>
  <c r="P103" i="2" s="1"/>
  <c r="R102" i="2"/>
  <c r="Q102" i="2"/>
  <c r="Q102" i="2" a="1"/>
  <c r="O102" i="2"/>
  <c r="P102" i="2" s="1"/>
  <c r="R101" i="2"/>
  <c r="Q101" i="2" a="1"/>
  <c r="Q101" i="2" s="1"/>
  <c r="O101" i="2"/>
  <c r="P101" i="2" s="1"/>
  <c r="R100" i="2"/>
  <c r="Q100" i="2"/>
  <c r="Q100" i="2" a="1"/>
  <c r="P100" i="2"/>
  <c r="O100" i="2"/>
  <c r="R99" i="2"/>
  <c r="Q99" i="2" a="1"/>
  <c r="Q99" i="2" s="1"/>
  <c r="O99" i="2"/>
  <c r="P99" i="2" s="1"/>
  <c r="R98" i="2"/>
  <c r="Q98" i="2"/>
  <c r="Q98" i="2" a="1"/>
  <c r="P98" i="2"/>
  <c r="O98" i="2"/>
  <c r="R97" i="2"/>
  <c r="Q97" i="2" a="1"/>
  <c r="Q97" i="2" s="1"/>
  <c r="P97" i="2"/>
  <c r="O97" i="2"/>
  <c r="R96" i="2"/>
  <c r="Q96" i="2" a="1"/>
  <c r="Q96" i="2" s="1"/>
  <c r="P96" i="2"/>
  <c r="O96" i="2"/>
  <c r="R95" i="2"/>
  <c r="Q95" i="2"/>
  <c r="Q95" i="2" a="1"/>
  <c r="O95" i="2"/>
  <c r="P95" i="2" s="1"/>
  <c r="R94" i="2"/>
  <c r="Q94" i="2"/>
  <c r="Q94" i="2" a="1"/>
  <c r="O94" i="2"/>
  <c r="P94" i="2" s="1"/>
  <c r="R93" i="2"/>
  <c r="Q93" i="2" a="1"/>
  <c r="Q93" i="2" s="1"/>
  <c r="O93" i="2"/>
  <c r="P93" i="2" s="1"/>
  <c r="R92" i="2"/>
  <c r="Q92" i="2"/>
  <c r="Q92" i="2" a="1"/>
  <c r="P92" i="2"/>
  <c r="O92" i="2"/>
  <c r="R91" i="2"/>
  <c r="Q91" i="2" a="1"/>
  <c r="Q91" i="2" s="1"/>
  <c r="O91" i="2"/>
  <c r="P91" i="2" s="1"/>
  <c r="R90" i="2"/>
  <c r="Q90" i="2"/>
  <c r="Q90" i="2" a="1"/>
  <c r="P90" i="2"/>
  <c r="O90" i="2"/>
  <c r="R89" i="2"/>
  <c r="Q89" i="2" a="1"/>
  <c r="Q89" i="2" s="1"/>
  <c r="P89" i="2"/>
  <c r="O89" i="2"/>
  <c r="R88" i="2"/>
  <c r="Q88" i="2" a="1"/>
  <c r="Q88" i="2" s="1"/>
  <c r="P88" i="2"/>
  <c r="O88" i="2"/>
  <c r="R87" i="2"/>
  <c r="Q87" i="2"/>
  <c r="Q87" i="2" a="1"/>
  <c r="O87" i="2"/>
  <c r="P87" i="2" s="1"/>
  <c r="R86" i="2"/>
  <c r="Q86" i="2"/>
  <c r="Q86" i="2" a="1"/>
  <c r="O86" i="2"/>
  <c r="P86" i="2" s="1"/>
  <c r="R85" i="2"/>
  <c r="Q85" i="2" a="1"/>
  <c r="Q85" i="2" s="1"/>
  <c r="O85" i="2"/>
  <c r="P85" i="2" s="1"/>
  <c r="R84" i="2"/>
  <c r="Q84" i="2"/>
  <c r="Q84" i="2" a="1"/>
  <c r="P84" i="2"/>
  <c r="O84" i="2"/>
  <c r="R83" i="2"/>
  <c r="Q83" i="2" a="1"/>
  <c r="Q83" i="2" s="1"/>
  <c r="O83" i="2"/>
  <c r="P83" i="2" s="1"/>
  <c r="R82" i="2"/>
  <c r="Q82" i="2"/>
  <c r="Q82" i="2" a="1"/>
  <c r="P82" i="2"/>
  <c r="O82" i="2"/>
  <c r="R81" i="2"/>
  <c r="Q81" i="2" a="1"/>
  <c r="Q81" i="2" s="1"/>
  <c r="P81" i="2"/>
  <c r="O81" i="2"/>
  <c r="R80" i="2"/>
  <c r="Q80" i="2" a="1"/>
  <c r="Q80" i="2" s="1"/>
  <c r="P80" i="2"/>
  <c r="O80" i="2"/>
  <c r="R79" i="2"/>
  <c r="Q79" i="2"/>
  <c r="Q79" i="2" a="1"/>
  <c r="O79" i="2"/>
  <c r="P79" i="2" s="1"/>
  <c r="R78" i="2"/>
  <c r="Q78" i="2"/>
  <c r="Q78" i="2" a="1"/>
  <c r="O78" i="2"/>
  <c r="P78" i="2" s="1"/>
  <c r="R77" i="2"/>
  <c r="Q77" i="2" a="1"/>
  <c r="Q77" i="2" s="1"/>
  <c r="O77" i="2"/>
  <c r="P77" i="2" s="1"/>
  <c r="R76" i="2"/>
  <c r="Q76" i="2"/>
  <c r="Q76" i="2" a="1"/>
  <c r="P76" i="2"/>
  <c r="O76" i="2"/>
  <c r="R75" i="2"/>
  <c r="Q75" i="2" a="1"/>
  <c r="Q75" i="2" s="1"/>
  <c r="O75" i="2"/>
  <c r="P75" i="2" s="1"/>
  <c r="R74" i="2"/>
  <c r="Q74" i="2"/>
  <c r="Q74" i="2" a="1"/>
  <c r="P74" i="2"/>
  <c r="O74" i="2"/>
  <c r="R73" i="2"/>
  <c r="Q73" i="2" a="1"/>
  <c r="Q73" i="2" s="1"/>
  <c r="P73" i="2"/>
  <c r="O73" i="2"/>
  <c r="R72" i="2"/>
  <c r="Q72" i="2" a="1"/>
  <c r="Q72" i="2" s="1"/>
  <c r="P72" i="2"/>
  <c r="O72" i="2"/>
  <c r="R71" i="2"/>
  <c r="Q71" i="2"/>
  <c r="Q71" i="2" a="1"/>
  <c r="O71" i="2"/>
  <c r="P71" i="2" s="1"/>
  <c r="R70" i="2"/>
  <c r="Q70" i="2"/>
  <c r="Q70" i="2" a="1"/>
  <c r="O70" i="2"/>
  <c r="P70" i="2" s="1"/>
  <c r="R69" i="2"/>
  <c r="Q69" i="2" a="1"/>
  <c r="Q69" i="2" s="1"/>
  <c r="O69" i="2"/>
  <c r="P69" i="2" s="1"/>
  <c r="R68" i="2"/>
  <c r="Q68" i="2"/>
  <c r="Q68" i="2" a="1"/>
  <c r="P68" i="2"/>
  <c r="O68" i="2"/>
  <c r="R67" i="2"/>
  <c r="Q67" i="2" a="1"/>
  <c r="Q67" i="2" s="1"/>
  <c r="O67" i="2"/>
  <c r="P67" i="2" s="1"/>
  <c r="R66" i="2"/>
  <c r="Q66" i="2"/>
  <c r="Q66" i="2" a="1"/>
  <c r="P66" i="2"/>
  <c r="O66" i="2"/>
  <c r="R65" i="2"/>
  <c r="Q65" i="2" a="1"/>
  <c r="Q65" i="2" s="1"/>
  <c r="P65" i="2"/>
  <c r="O65" i="2"/>
  <c r="R64" i="2"/>
  <c r="Q64" i="2" a="1"/>
  <c r="Q64" i="2" s="1"/>
  <c r="P64" i="2"/>
  <c r="O64" i="2"/>
  <c r="R63" i="2"/>
  <c r="Q63" i="2"/>
  <c r="Q63" i="2" a="1"/>
  <c r="O63" i="2"/>
  <c r="P63" i="2" s="1"/>
  <c r="R62" i="2"/>
  <c r="Q62" i="2"/>
  <c r="Q62" i="2" a="1"/>
  <c r="O62" i="2"/>
  <c r="P62" i="2" s="1"/>
  <c r="R61" i="2"/>
  <c r="Q61" i="2" a="1"/>
  <c r="Q61" i="2" s="1"/>
  <c r="O61" i="2"/>
  <c r="P61" i="2" s="1"/>
  <c r="R60" i="2"/>
  <c r="Q60" i="2"/>
  <c r="Q60" i="2" a="1"/>
  <c r="P60" i="2"/>
  <c r="O60" i="2"/>
  <c r="R59" i="2"/>
  <c r="Q59" i="2" a="1"/>
  <c r="Q59" i="2" s="1"/>
  <c r="O59" i="2"/>
  <c r="P59" i="2" s="1"/>
  <c r="R58" i="2"/>
  <c r="Q58" i="2"/>
  <c r="Q58" i="2" a="1"/>
  <c r="P58" i="2"/>
  <c r="O58" i="2"/>
  <c r="R57" i="2"/>
  <c r="Q57" i="2" a="1"/>
  <c r="Q57" i="2" s="1"/>
  <c r="P57" i="2"/>
  <c r="O57" i="2"/>
  <c r="R56" i="2"/>
  <c r="Q56" i="2" a="1"/>
  <c r="Q56" i="2" s="1"/>
  <c r="P56" i="2"/>
  <c r="O56" i="2"/>
  <c r="R55" i="2"/>
  <c r="Q55" i="2"/>
  <c r="Q55" i="2" a="1"/>
  <c r="O55" i="2"/>
  <c r="P55" i="2" s="1"/>
  <c r="R54" i="2"/>
  <c r="Q54" i="2"/>
  <c r="Q54" i="2" a="1"/>
  <c r="O54" i="2"/>
  <c r="P54" i="2" s="1"/>
  <c r="R53" i="2"/>
  <c r="Q53" i="2" a="1"/>
  <c r="Q53" i="2" s="1"/>
  <c r="O53" i="2"/>
  <c r="P53" i="2" s="1"/>
  <c r="R52" i="2"/>
  <c r="Q52" i="2"/>
  <c r="Q52" i="2" a="1"/>
  <c r="P52" i="2"/>
  <c r="O52" i="2"/>
  <c r="R51" i="2"/>
  <c r="Q51" i="2" a="1"/>
  <c r="Q51" i="2" s="1"/>
  <c r="O51" i="2"/>
  <c r="P51" i="2" s="1"/>
  <c r="R50" i="2"/>
  <c r="Q50" i="2"/>
  <c r="Q50" i="2" a="1"/>
  <c r="P50" i="2"/>
  <c r="O50" i="2"/>
  <c r="R49" i="2"/>
  <c r="Q49" i="2" a="1"/>
  <c r="Q49" i="2" s="1"/>
  <c r="P49" i="2"/>
  <c r="O49" i="2"/>
  <c r="R48" i="2"/>
  <c r="Q48" i="2" a="1"/>
  <c r="Q48" i="2" s="1"/>
  <c r="P48" i="2"/>
  <c r="O48" i="2"/>
  <c r="R47" i="2"/>
  <c r="Q47" i="2"/>
  <c r="Q47" i="2" a="1"/>
  <c r="O47" i="2"/>
  <c r="P47" i="2" s="1"/>
  <c r="R46" i="2"/>
  <c r="Q46" i="2"/>
  <c r="Q46" i="2" a="1"/>
  <c r="O46" i="2"/>
  <c r="P46" i="2" s="1"/>
  <c r="R45" i="2"/>
  <c r="Q45" i="2" a="1"/>
  <c r="Q45" i="2" s="1"/>
  <c r="O45" i="2"/>
  <c r="P45" i="2" s="1"/>
  <c r="R44" i="2"/>
  <c r="Q44" i="2"/>
  <c r="Q44" i="2" a="1"/>
  <c r="P44" i="2"/>
  <c r="O44" i="2"/>
  <c r="R43" i="2"/>
  <c r="Q43" i="2" a="1"/>
  <c r="Q43" i="2" s="1"/>
  <c r="O43" i="2"/>
  <c r="P43" i="2" s="1"/>
  <c r="R42" i="2"/>
  <c r="Q42" i="2"/>
  <c r="Q42" i="2" a="1"/>
  <c r="P42" i="2"/>
  <c r="O42" i="2"/>
  <c r="R41" i="2"/>
  <c r="Q41" i="2" a="1"/>
  <c r="Q41" i="2" s="1"/>
  <c r="P41" i="2"/>
  <c r="O41" i="2"/>
  <c r="R40" i="2"/>
  <c r="Q40" i="2" a="1"/>
  <c r="Q40" i="2" s="1"/>
  <c r="P40" i="2"/>
  <c r="O40" i="2"/>
  <c r="R39" i="2"/>
  <c r="Q39" i="2"/>
  <c r="Q39" i="2" a="1"/>
  <c r="O39" i="2"/>
  <c r="P39" i="2" s="1"/>
  <c r="R38" i="2"/>
  <c r="Q38" i="2"/>
  <c r="Q38" i="2" a="1"/>
  <c r="O38" i="2"/>
  <c r="P38" i="2" s="1"/>
  <c r="R37" i="2"/>
  <c r="Q37" i="2" a="1"/>
  <c r="Q37" i="2" s="1"/>
  <c r="O37" i="2"/>
  <c r="P37" i="2" s="1"/>
  <c r="R36" i="2"/>
  <c r="Q36" i="2"/>
  <c r="Q36" i="2" a="1"/>
  <c r="P36" i="2"/>
  <c r="O36" i="2"/>
  <c r="R35" i="2"/>
  <c r="Q35" i="2" a="1"/>
  <c r="Q35" i="2" s="1"/>
  <c r="O35" i="2"/>
  <c r="P35" i="2" s="1"/>
  <c r="R34" i="2"/>
  <c r="Q34" i="2" a="1"/>
  <c r="Q34" i="2" s="1"/>
  <c r="P34" i="2"/>
  <c r="O34" i="2"/>
  <c r="R33" i="2"/>
  <c r="Q33" i="2" a="1"/>
  <c r="Q33" i="2" s="1"/>
  <c r="P33" i="2"/>
  <c r="O33" i="2"/>
  <c r="R32" i="2"/>
  <c r="Q32" i="2"/>
  <c r="Q32" i="2" a="1"/>
  <c r="O32" i="2"/>
  <c r="P32" i="2" s="1"/>
  <c r="R31" i="2"/>
  <c r="Q31" i="2"/>
  <c r="Q31" i="2" a="1"/>
  <c r="O31" i="2"/>
  <c r="P31" i="2" s="1"/>
  <c r="R30" i="2"/>
  <c r="Q30" i="2" a="1"/>
  <c r="Q30" i="2" s="1"/>
  <c r="P30" i="2"/>
  <c r="O30" i="2"/>
  <c r="R29" i="2"/>
  <c r="Q29" i="2" a="1"/>
  <c r="Q29" i="2" s="1"/>
  <c r="P29" i="2"/>
  <c r="O29" i="2"/>
  <c r="R28" i="2"/>
  <c r="Q28" i="2"/>
  <c r="Q28" i="2" a="1"/>
  <c r="O28" i="2"/>
  <c r="P28" i="2" s="1"/>
  <c r="R27" i="2"/>
  <c r="Q27" i="2"/>
  <c r="Q27" i="2" a="1"/>
  <c r="O27" i="2"/>
  <c r="P27" i="2" s="1"/>
  <c r="R26" i="2"/>
  <c r="Q26" i="2" a="1"/>
  <c r="Q26" i="2" s="1"/>
  <c r="P26" i="2"/>
  <c r="O26" i="2"/>
  <c r="R25" i="2"/>
  <c r="Q25" i="2" a="1"/>
  <c r="Q25" i="2" s="1"/>
  <c r="P25" i="2"/>
  <c r="O25" i="2"/>
  <c r="R24" i="2"/>
  <c r="Q24" i="2"/>
  <c r="Q24" i="2" a="1"/>
  <c r="O24" i="2"/>
  <c r="P24" i="2" s="1"/>
  <c r="R23" i="2"/>
  <c r="Q23" i="2"/>
  <c r="Q23" i="2" a="1"/>
  <c r="O23" i="2"/>
  <c r="P23" i="2" s="1"/>
  <c r="R22" i="2"/>
  <c r="Q22" i="2" a="1"/>
  <c r="Q22" i="2" s="1"/>
  <c r="P22" i="2"/>
  <c r="O22" i="2"/>
  <c r="R21" i="2"/>
  <c r="Q21" i="2" a="1"/>
  <c r="Q21" i="2" s="1"/>
  <c r="P21" i="2"/>
  <c r="O21" i="2"/>
  <c r="R20" i="2"/>
  <c r="Q20" i="2"/>
  <c r="Q20" i="2" a="1"/>
  <c r="O20" i="2"/>
  <c r="P20" i="2" s="1"/>
  <c r="R19" i="2"/>
  <c r="Q19" i="2"/>
  <c r="Q19" i="2" a="1"/>
  <c r="O19" i="2"/>
  <c r="P19" i="2" s="1"/>
  <c r="R18" i="2"/>
  <c r="Q18" i="2" a="1"/>
  <c r="Q18" i="2" s="1"/>
  <c r="P18" i="2"/>
  <c r="O18" i="2"/>
  <c r="R17" i="2"/>
  <c r="Q17" i="2" a="1"/>
  <c r="Q17" i="2" s="1"/>
  <c r="P17" i="2"/>
  <c r="O17" i="2"/>
  <c r="R16" i="2"/>
  <c r="Q16" i="2"/>
  <c r="Q16" i="2" a="1"/>
  <c r="O16" i="2"/>
  <c r="P16" i="2" s="1"/>
  <c r="R15" i="2"/>
  <c r="Q15" i="2"/>
  <c r="Q15" i="2" a="1"/>
  <c r="O15" i="2"/>
  <c r="P15" i="2" s="1"/>
  <c r="R14" i="2"/>
  <c r="Q14" i="2" a="1"/>
  <c r="Q14" i="2" s="1"/>
  <c r="P14" i="2"/>
  <c r="O14" i="2"/>
  <c r="R13" i="2"/>
  <c r="Q13" i="2" a="1"/>
  <c r="Q13" i="2" s="1"/>
  <c r="P13" i="2"/>
  <c r="O13" i="2"/>
  <c r="R12" i="2"/>
  <c r="Q12" i="2"/>
  <c r="Q12" i="2" a="1"/>
  <c r="O12" i="2"/>
  <c r="P12" i="2" s="1"/>
  <c r="R11" i="2"/>
  <c r="Q11" i="2"/>
  <c r="Q11" i="2" a="1"/>
  <c r="O11" i="2"/>
  <c r="P11" i="2" s="1"/>
  <c r="R10" i="2"/>
  <c r="Q10" i="2" a="1"/>
  <c r="Q10" i="2" s="1"/>
  <c r="P10" i="2"/>
  <c r="O10" i="2"/>
  <c r="R9" i="2"/>
  <c r="Q9" i="2" a="1"/>
  <c r="Q9" i="2" s="1"/>
  <c r="P9" i="2"/>
  <c r="O9" i="2"/>
  <c r="R8" i="2"/>
  <c r="Q8" i="2"/>
  <c r="Q8" i="2" a="1"/>
  <c r="O8" i="2"/>
  <c r="P8" i="2" s="1"/>
  <c r="R7" i="2"/>
  <c r="Q7" i="2"/>
  <c r="Q7" i="2" a="1"/>
  <c r="O7" i="2"/>
  <c r="P7" i="2" s="1"/>
  <c r="R6" i="2"/>
  <c r="Q6" i="2" a="1"/>
  <c r="Q6" i="2" s="1"/>
  <c r="P6" i="2"/>
  <c r="O6" i="2"/>
  <c r="R5" i="2"/>
  <c r="Q5" i="2" a="1"/>
  <c r="Q5" i="2" s="1"/>
  <c r="P5" i="2"/>
  <c r="O5" i="2"/>
  <c r="R4" i="2"/>
  <c r="Q4" i="2"/>
  <c r="Q4" i="2" a="1"/>
  <c r="O4" i="2"/>
  <c r="P4" i="2" s="1"/>
  <c r="R3" i="2"/>
  <c r="Q3" i="2"/>
  <c r="Q3" i="2" a="1"/>
  <c r="O3" i="2"/>
  <c r="P3" i="2" s="1"/>
  <c r="R2" i="2"/>
  <c r="Q2" i="2" a="1"/>
  <c r="Q2" i="2" s="1"/>
  <c r="P2" i="2"/>
  <c r="O2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2" i="1"/>
  <c r="Q3" i="1" a="1"/>
  <c r="Q3" i="1" s="1"/>
  <c r="Q4" i="1" a="1"/>
  <c r="Q4" i="1" s="1"/>
  <c r="Q5" i="1" a="1"/>
  <c r="Q5" i="1" s="1"/>
  <c r="Q6" i="1" a="1"/>
  <c r="Q6" i="1" s="1"/>
  <c r="Q7" i="1" a="1"/>
  <c r="Q7" i="1" s="1"/>
  <c r="Q8" i="1" a="1"/>
  <c r="Q8" i="1" s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 s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 s="1"/>
  <c r="Q27" i="1" a="1"/>
  <c r="Q27" i="1" s="1"/>
  <c r="Q28" i="1" a="1"/>
  <c r="Q28" i="1" s="1"/>
  <c r="Q29" i="1" a="1"/>
  <c r="Q29" i="1" s="1"/>
  <c r="Q30" i="1" a="1"/>
  <c r="Q30" i="1" s="1"/>
  <c r="Q31" i="1" a="1"/>
  <c r="Q31" i="1" s="1"/>
  <c r="Q32" i="1" a="1"/>
  <c r="Q32" i="1" s="1"/>
  <c r="Q33" i="1" a="1"/>
  <c r="Q33" i="1" s="1"/>
  <c r="Q34" i="1" a="1"/>
  <c r="Q34" i="1" s="1"/>
  <c r="Q35" i="1" a="1"/>
  <c r="Q35" i="1" s="1"/>
  <c r="Q36" i="1" a="1"/>
  <c r="Q36" i="1" s="1"/>
  <c r="Q37" i="1" a="1"/>
  <c r="Q37" i="1" s="1"/>
  <c r="Q38" i="1" a="1"/>
  <c r="Q38" i="1" s="1"/>
  <c r="Q39" i="1" a="1"/>
  <c r="Q39" i="1" s="1"/>
  <c r="Q40" i="1" a="1"/>
  <c r="Q40" i="1" s="1"/>
  <c r="Q41" i="1" a="1"/>
  <c r="Q41" i="1" s="1"/>
  <c r="Q42" i="1" a="1"/>
  <c r="Q42" i="1" s="1"/>
  <c r="Q43" i="1" a="1"/>
  <c r="Q43" i="1" s="1"/>
  <c r="Q44" i="1" a="1"/>
  <c r="Q44" i="1" s="1"/>
  <c r="Q45" i="1" a="1"/>
  <c r="Q45" i="1" s="1"/>
  <c r="Q46" i="1" a="1"/>
  <c r="Q46" i="1" s="1"/>
  <c r="Q47" i="1" a="1"/>
  <c r="Q47" i="1" s="1"/>
  <c r="Q48" i="1" a="1"/>
  <c r="Q48" i="1" s="1"/>
  <c r="Q49" i="1" a="1"/>
  <c r="Q49" i="1" s="1"/>
  <c r="Q50" i="1" a="1"/>
  <c r="Q50" i="1" s="1"/>
  <c r="Q51" i="1" a="1"/>
  <c r="Q51" i="1" s="1"/>
  <c r="Q52" i="1" a="1"/>
  <c r="Q52" i="1" s="1"/>
  <c r="Q53" i="1" a="1"/>
  <c r="Q53" i="1" s="1"/>
  <c r="Q54" i="1" a="1"/>
  <c r="Q54" i="1" s="1"/>
  <c r="Q55" i="1" a="1"/>
  <c r="Q55" i="1" s="1"/>
  <c r="Q56" i="1" a="1"/>
  <c r="Q56" i="1" s="1"/>
  <c r="Q57" i="1" a="1"/>
  <c r="Q57" i="1" s="1"/>
  <c r="Q58" i="1" a="1"/>
  <c r="Q58" i="1" s="1"/>
  <c r="Q59" i="1" a="1"/>
  <c r="Q59" i="1" s="1"/>
  <c r="Q60" i="1" a="1"/>
  <c r="Q60" i="1" s="1"/>
  <c r="Q61" i="1" a="1"/>
  <c r="Q61" i="1" s="1"/>
  <c r="Q62" i="1" a="1"/>
  <c r="Q62" i="1" s="1"/>
  <c r="Q63" i="1" a="1"/>
  <c r="Q63" i="1" s="1"/>
  <c r="Q64" i="1" a="1"/>
  <c r="Q64" i="1" s="1"/>
  <c r="Q65" i="1" a="1"/>
  <c r="Q65" i="1" s="1"/>
  <c r="Q66" i="1" a="1"/>
  <c r="Q66" i="1" s="1"/>
  <c r="Q67" i="1" a="1"/>
  <c r="Q67" i="1" s="1"/>
  <c r="Q68" i="1" a="1"/>
  <c r="Q68" i="1" s="1"/>
  <c r="Q69" i="1" a="1"/>
  <c r="Q69" i="1" s="1"/>
  <c r="Q70" i="1" a="1"/>
  <c r="Q70" i="1" s="1"/>
  <c r="Q71" i="1" a="1"/>
  <c r="Q71" i="1" s="1"/>
  <c r="Q72" i="1" a="1"/>
  <c r="Q72" i="1" s="1"/>
  <c r="Q73" i="1" a="1"/>
  <c r="Q73" i="1" s="1"/>
  <c r="Q74" i="1" a="1"/>
  <c r="Q74" i="1" s="1"/>
  <c r="Q75" i="1" a="1"/>
  <c r="Q75" i="1" s="1"/>
  <c r="Q76" i="1" a="1"/>
  <c r="Q76" i="1" s="1"/>
  <c r="Q77" i="1" a="1"/>
  <c r="Q77" i="1" s="1"/>
  <c r="Q78" i="1" a="1"/>
  <c r="Q78" i="1" s="1"/>
  <c r="Q79" i="1" a="1"/>
  <c r="Q79" i="1" s="1"/>
  <c r="Q80" i="1" a="1"/>
  <c r="Q80" i="1" s="1"/>
  <c r="Q81" i="1" a="1"/>
  <c r="Q81" i="1" s="1"/>
  <c r="Q82" i="1" a="1"/>
  <c r="Q82" i="1" s="1"/>
  <c r="Q83" i="1" a="1"/>
  <c r="Q83" i="1" s="1"/>
  <c r="Q84" i="1" a="1"/>
  <c r="Q84" i="1" s="1"/>
  <c r="Q85" i="1" a="1"/>
  <c r="Q85" i="1" s="1"/>
  <c r="Q86" i="1" a="1"/>
  <c r="Q86" i="1" s="1"/>
  <c r="Q87" i="1" a="1"/>
  <c r="Q87" i="1" s="1"/>
  <c r="Q88" i="1" a="1"/>
  <c r="Q88" i="1" s="1"/>
  <c r="Q89" i="1" a="1"/>
  <c r="Q89" i="1" s="1"/>
  <c r="Q90" i="1" a="1"/>
  <c r="Q90" i="1" s="1"/>
  <c r="Q91" i="1" a="1"/>
  <c r="Q91" i="1" s="1"/>
  <c r="Q92" i="1" a="1"/>
  <c r="Q92" i="1" s="1"/>
  <c r="Q93" i="1" a="1"/>
  <c r="Q93" i="1" s="1"/>
  <c r="Q94" i="1" a="1"/>
  <c r="Q94" i="1" s="1"/>
  <c r="Q95" i="1" a="1"/>
  <c r="Q95" i="1" s="1"/>
  <c r="Q96" i="1" a="1"/>
  <c r="Q96" i="1" s="1"/>
  <c r="Q97" i="1" a="1"/>
  <c r="Q97" i="1" s="1"/>
  <c r="Q98" i="1" a="1"/>
  <c r="Q98" i="1" s="1"/>
  <c r="Q99" i="1" a="1"/>
  <c r="Q99" i="1" s="1"/>
  <c r="Q100" i="1" a="1"/>
  <c r="Q100" i="1" s="1"/>
  <c r="Q101" i="1" a="1"/>
  <c r="Q101" i="1" s="1"/>
  <c r="Q102" i="1" a="1"/>
  <c r="Q102" i="1" s="1"/>
  <c r="Q103" i="1" a="1"/>
  <c r="Q103" i="1" s="1"/>
  <c r="Q104" i="1" a="1"/>
  <c r="Q104" i="1" s="1"/>
  <c r="Q105" i="1" a="1"/>
  <c r="Q105" i="1" s="1"/>
  <c r="Q106" i="1" a="1"/>
  <c r="Q106" i="1" s="1"/>
  <c r="Q107" i="1" a="1"/>
  <c r="Q107" i="1" s="1"/>
  <c r="Q108" i="1" a="1"/>
  <c r="Q108" i="1" s="1"/>
  <c r="Q109" i="1" a="1"/>
  <c r="Q109" i="1" s="1"/>
  <c r="Q110" i="1" a="1"/>
  <c r="Q110" i="1" s="1"/>
  <c r="Q111" i="1" a="1"/>
  <c r="Q111" i="1" s="1"/>
  <c r="Q112" i="1" a="1"/>
  <c r="Q112" i="1" s="1"/>
  <c r="Q113" i="1" a="1"/>
  <c r="Q113" i="1" s="1"/>
  <c r="Q114" i="1" a="1"/>
  <c r="Q114" i="1" s="1"/>
  <c r="Q115" i="1" a="1"/>
  <c r="Q115" i="1" s="1"/>
  <c r="Q116" i="1" a="1"/>
  <c r="Q116" i="1" s="1"/>
  <c r="Q117" i="1" a="1"/>
  <c r="Q117" i="1" s="1"/>
  <c r="Q118" i="1" a="1"/>
  <c r="Q118" i="1" s="1"/>
  <c r="Q119" i="1" a="1"/>
  <c r="Q119" i="1" s="1"/>
  <c r="Q120" i="1" a="1"/>
  <c r="Q120" i="1" s="1"/>
  <c r="Q121" i="1" a="1"/>
  <c r="Q121" i="1" s="1"/>
  <c r="Q122" i="1" a="1"/>
  <c r="Q122" i="1" s="1"/>
  <c r="Q123" i="1" a="1"/>
  <c r="Q123" i="1" s="1"/>
  <c r="Q124" i="1" a="1"/>
  <c r="Q124" i="1" s="1"/>
  <c r="Q125" i="1" a="1"/>
  <c r="Q125" i="1" s="1"/>
  <c r="Q126" i="1" a="1"/>
  <c r="Q126" i="1" s="1"/>
  <c r="Q127" i="1" a="1"/>
  <c r="Q127" i="1" s="1"/>
  <c r="Q128" i="1" a="1"/>
  <c r="Q128" i="1" s="1"/>
  <c r="Q129" i="1" a="1"/>
  <c r="Q129" i="1" s="1"/>
  <c r="Q130" i="1" a="1"/>
  <c r="Q130" i="1" s="1"/>
  <c r="Q131" i="1" a="1"/>
  <c r="Q131" i="1" s="1"/>
  <c r="Q132" i="1" a="1"/>
  <c r="Q132" i="1" s="1"/>
  <c r="Q133" i="1" a="1"/>
  <c r="Q133" i="1" s="1"/>
  <c r="Q134" i="1" a="1"/>
  <c r="Q134" i="1" s="1"/>
  <c r="Q135" i="1" a="1"/>
  <c r="Q135" i="1" s="1"/>
  <c r="Q136" i="1" a="1"/>
  <c r="Q136" i="1" s="1"/>
  <c r="Q137" i="1" a="1"/>
  <c r="Q137" i="1" s="1"/>
  <c r="Q138" i="1" a="1"/>
  <c r="Q138" i="1" s="1"/>
  <c r="Q139" i="1" a="1"/>
  <c r="Q139" i="1" s="1"/>
  <c r="Q140" i="1" a="1"/>
  <c r="Q140" i="1" s="1"/>
  <c r="Q141" i="1" a="1"/>
  <c r="Q141" i="1" s="1"/>
  <c r="Q142" i="1" a="1"/>
  <c r="Q142" i="1" s="1"/>
  <c r="Q143" i="1" a="1"/>
  <c r="Q143" i="1" s="1"/>
  <c r="Q144" i="1" a="1"/>
  <c r="Q144" i="1" s="1"/>
  <c r="Q145" i="1" a="1"/>
  <c r="Q145" i="1" s="1"/>
  <c r="Q146" i="1" a="1"/>
  <c r="Q146" i="1" s="1"/>
  <c r="Q147" i="1" a="1"/>
  <c r="Q147" i="1" s="1"/>
  <c r="Q148" i="1" a="1"/>
  <c r="Q148" i="1" s="1"/>
  <c r="Q149" i="1" a="1"/>
  <c r="Q149" i="1" s="1"/>
  <c r="Q150" i="1" a="1"/>
  <c r="Q150" i="1" s="1"/>
  <c r="Q151" i="1" a="1"/>
  <c r="Q151" i="1" s="1"/>
  <c r="Q152" i="1" a="1"/>
  <c r="Q152" i="1" s="1"/>
  <c r="Q153" i="1" a="1"/>
  <c r="Q153" i="1" s="1"/>
  <c r="Q154" i="1" a="1"/>
  <c r="Q154" i="1" s="1"/>
  <c r="Q155" i="1" a="1"/>
  <c r="Q155" i="1" s="1"/>
  <c r="Q156" i="1" a="1"/>
  <c r="Q156" i="1" s="1"/>
  <c r="Q157" i="1" a="1"/>
  <c r="Q157" i="1" s="1"/>
  <c r="Q158" i="1" a="1"/>
  <c r="Q158" i="1" s="1"/>
  <c r="Q159" i="1" a="1"/>
  <c r="Q159" i="1" s="1"/>
  <c r="Q160" i="1" a="1"/>
  <c r="Q160" i="1" s="1"/>
  <c r="Q161" i="1" a="1"/>
  <c r="Q161" i="1" s="1"/>
  <c r="Q162" i="1" a="1"/>
  <c r="Q162" i="1" s="1"/>
  <c r="Q163" i="1" a="1"/>
  <c r="Q163" i="1" s="1"/>
  <c r="Q164" i="1" a="1"/>
  <c r="Q164" i="1" s="1"/>
  <c r="Q165" i="1" a="1"/>
  <c r="Q165" i="1" s="1"/>
  <c r="Q166" i="1" a="1"/>
  <c r="Q166" i="1" s="1"/>
  <c r="Q167" i="1" a="1"/>
  <c r="Q167" i="1" s="1"/>
  <c r="Q168" i="1" a="1"/>
  <c r="Q168" i="1" s="1"/>
  <c r="Q169" i="1" a="1"/>
  <c r="Q169" i="1" s="1"/>
  <c r="Q170" i="1" a="1"/>
  <c r="Q170" i="1" s="1"/>
  <c r="Q171" i="1" a="1"/>
  <c r="Q171" i="1" s="1"/>
  <c r="Q172" i="1" a="1"/>
  <c r="Q172" i="1" s="1"/>
  <c r="Q173" i="1" a="1"/>
  <c r="Q173" i="1" s="1"/>
  <c r="Q174" i="1" a="1"/>
  <c r="Q174" i="1" s="1"/>
  <c r="Q175" i="1" a="1"/>
  <c r="Q175" i="1" s="1"/>
  <c r="Q176" i="1" a="1"/>
  <c r="Q176" i="1" s="1"/>
  <c r="Q177" i="1" a="1"/>
  <c r="Q177" i="1" s="1"/>
  <c r="Q178" i="1" a="1"/>
  <c r="Q178" i="1" s="1"/>
  <c r="Q179" i="1" a="1"/>
  <c r="Q179" i="1" s="1"/>
  <c r="Q180" i="1" a="1"/>
  <c r="Q180" i="1" s="1"/>
  <c r="Q181" i="1" a="1"/>
  <c r="Q181" i="1" s="1"/>
  <c r="Q182" i="1" a="1"/>
  <c r="Q182" i="1" s="1"/>
  <c r="Q183" i="1" a="1"/>
  <c r="Q183" i="1" s="1"/>
  <c r="Q184" i="1" a="1"/>
  <c r="Q184" i="1" s="1"/>
  <c r="Q185" i="1" a="1"/>
  <c r="Q185" i="1" s="1"/>
  <c r="Q186" i="1" a="1"/>
  <c r="Q186" i="1" s="1"/>
  <c r="Q187" i="1" a="1"/>
  <c r="Q187" i="1" s="1"/>
  <c r="Q188" i="1" a="1"/>
  <c r="Q188" i="1" s="1"/>
  <c r="Q189" i="1" a="1"/>
  <c r="Q189" i="1" s="1"/>
  <c r="Q190" i="1" a="1"/>
  <c r="Q190" i="1" s="1"/>
  <c r="Q191" i="1" a="1"/>
  <c r="Q191" i="1" s="1"/>
  <c r="Q192" i="1" a="1"/>
  <c r="Q192" i="1" s="1"/>
  <c r="Q193" i="1" a="1"/>
  <c r="Q193" i="1" s="1"/>
  <c r="Q194" i="1" a="1"/>
  <c r="Q194" i="1" s="1"/>
  <c r="Q195" i="1" a="1"/>
  <c r="Q195" i="1" s="1"/>
  <c r="Q196" i="1" a="1"/>
  <c r="Q196" i="1" s="1"/>
  <c r="Q197" i="1" a="1"/>
  <c r="Q197" i="1" s="1"/>
  <c r="Q198" i="1" a="1"/>
  <c r="Q198" i="1" s="1"/>
  <c r="Q199" i="1" a="1"/>
  <c r="Q199" i="1" s="1"/>
  <c r="Q200" i="1" a="1"/>
  <c r="Q200" i="1" s="1"/>
  <c r="Q201" i="1" a="1"/>
  <c r="Q201" i="1" s="1"/>
  <c r="Q202" i="1" a="1"/>
  <c r="Q202" i="1" s="1"/>
  <c r="Q203" i="1" a="1"/>
  <c r="Q203" i="1" s="1"/>
  <c r="Q204" i="1" a="1"/>
  <c r="Q204" i="1" s="1"/>
  <c r="Q205" i="1" a="1"/>
  <c r="Q205" i="1" s="1"/>
  <c r="Q206" i="1" a="1"/>
  <c r="Q206" i="1" s="1"/>
  <c r="Q207" i="1" a="1"/>
  <c r="Q207" i="1" s="1"/>
  <c r="Q208" i="1" a="1"/>
  <c r="Q208" i="1" s="1"/>
  <c r="Q209" i="1" a="1"/>
  <c r="Q209" i="1" s="1"/>
  <c r="Q210" i="1" a="1"/>
  <c r="Q210" i="1" s="1"/>
  <c r="Q211" i="1" a="1"/>
  <c r="Q211" i="1" s="1"/>
  <c r="Q212" i="1" a="1"/>
  <c r="Q212" i="1" s="1"/>
  <c r="Q213" i="1" a="1"/>
  <c r="Q213" i="1" s="1"/>
  <c r="Q214" i="1" a="1"/>
  <c r="Q214" i="1" s="1"/>
  <c r="Q215" i="1" a="1"/>
  <c r="Q215" i="1" s="1"/>
  <c r="Q216" i="1" a="1"/>
  <c r="Q216" i="1" s="1"/>
  <c r="Q217" i="1" a="1"/>
  <c r="Q217" i="1" s="1"/>
  <c r="Q218" i="1" a="1"/>
  <c r="Q218" i="1" s="1"/>
  <c r="Q219" i="1" a="1"/>
  <c r="Q219" i="1" s="1"/>
  <c r="Q220" i="1" a="1"/>
  <c r="Q220" i="1" s="1"/>
  <c r="Q221" i="1" a="1"/>
  <c r="Q221" i="1" s="1"/>
  <c r="Q222" i="1" a="1"/>
  <c r="Q222" i="1" s="1"/>
  <c r="Q223" i="1" a="1"/>
  <c r="Q223" i="1" s="1"/>
  <c r="Q224" i="1" a="1"/>
  <c r="Q224" i="1" s="1"/>
  <c r="Q225" i="1" a="1"/>
  <c r="Q225" i="1" s="1"/>
  <c r="Q226" i="1" a="1"/>
  <c r="Q226" i="1" s="1"/>
  <c r="Q227" i="1" a="1"/>
  <c r="Q227" i="1" s="1"/>
  <c r="Q228" i="1" a="1"/>
  <c r="Q228" i="1" s="1"/>
  <c r="Q229" i="1" a="1"/>
  <c r="Q229" i="1" s="1"/>
  <c r="Q230" i="1" a="1"/>
  <c r="Q230" i="1" s="1"/>
  <c r="Q231" i="1" a="1"/>
  <c r="Q231" i="1" s="1"/>
  <c r="Q232" i="1" a="1"/>
  <c r="Q232" i="1" s="1"/>
  <c r="Q233" i="1" a="1"/>
  <c r="Q233" i="1" s="1"/>
  <c r="Q234" i="1" a="1"/>
  <c r="Q234" i="1" s="1"/>
  <c r="Q235" i="1" a="1"/>
  <c r="Q235" i="1" s="1"/>
  <c r="Q236" i="1" a="1"/>
  <c r="Q236" i="1" s="1"/>
  <c r="Q237" i="1" a="1"/>
  <c r="Q237" i="1" s="1"/>
  <c r="Q238" i="1" a="1"/>
  <c r="Q238" i="1" s="1"/>
  <c r="Q239" i="1" a="1"/>
  <c r="Q239" i="1" s="1"/>
  <c r="Q240" i="1" a="1"/>
  <c r="Q240" i="1" s="1"/>
  <c r="Q241" i="1" a="1"/>
  <c r="Q241" i="1" s="1"/>
  <c r="Q242" i="1" a="1"/>
  <c r="Q242" i="1" s="1"/>
  <c r="Q243" i="1" a="1"/>
  <c r="Q243" i="1" s="1"/>
  <c r="Q244" i="1" a="1"/>
  <c r="Q244" i="1" s="1"/>
  <c r="Q245" i="1" a="1"/>
  <c r="Q245" i="1" s="1"/>
  <c r="Q246" i="1" a="1"/>
  <c r="Q246" i="1" s="1"/>
  <c r="Q247" i="1" a="1"/>
  <c r="Q247" i="1" s="1"/>
  <c r="Q248" i="1" a="1"/>
  <c r="Q248" i="1" s="1"/>
  <c r="Q249" i="1" a="1"/>
  <c r="Q249" i="1" s="1"/>
  <c r="Q250" i="1" a="1"/>
  <c r="Q250" i="1" s="1"/>
  <c r="Q251" i="1" a="1"/>
  <c r="Q251" i="1" s="1"/>
  <c r="Q252" i="1" a="1"/>
  <c r="Q252" i="1" s="1"/>
  <c r="Q253" i="1" a="1"/>
  <c r="Q253" i="1" s="1"/>
  <c r="Q254" i="1" a="1"/>
  <c r="Q254" i="1" s="1"/>
  <c r="Q255" i="1" a="1"/>
  <c r="Q255" i="1" s="1"/>
  <c r="Q256" i="1" a="1"/>
  <c r="Q256" i="1" s="1"/>
  <c r="Q257" i="1" a="1"/>
  <c r="Q257" i="1" s="1"/>
  <c r="Q258" i="1" a="1"/>
  <c r="Q258" i="1" s="1"/>
  <c r="Q259" i="1" a="1"/>
  <c r="Q259" i="1" s="1"/>
  <c r="Q260" i="1" a="1"/>
  <c r="Q260" i="1" s="1"/>
  <c r="Q261" i="1" a="1"/>
  <c r="Q261" i="1" s="1"/>
  <c r="Q262" i="1" a="1"/>
  <c r="Q262" i="1" s="1"/>
  <c r="Q263" i="1" a="1"/>
  <c r="Q263" i="1" s="1"/>
  <c r="Q264" i="1" a="1"/>
  <c r="Q264" i="1" s="1"/>
  <c r="Q265" i="1" a="1"/>
  <c r="Q265" i="1" s="1"/>
  <c r="Q266" i="1" a="1"/>
  <c r="Q266" i="1" s="1"/>
  <c r="Q267" i="1" a="1"/>
  <c r="Q267" i="1" s="1"/>
  <c r="Q268" i="1" a="1"/>
  <c r="Q268" i="1" s="1"/>
  <c r="Q269" i="1" a="1"/>
  <c r="Q269" i="1" s="1"/>
  <c r="Q270" i="1" a="1"/>
  <c r="Q270" i="1" s="1"/>
  <c r="Q271" i="1" a="1"/>
  <c r="Q271" i="1" s="1"/>
  <c r="Q272" i="1" a="1"/>
  <c r="Q272" i="1" s="1"/>
  <c r="Q273" i="1" a="1"/>
  <c r="Q273" i="1" s="1"/>
  <c r="Q274" i="1" a="1"/>
  <c r="Q274" i="1" s="1"/>
  <c r="Q275" i="1" a="1"/>
  <c r="Q275" i="1" s="1"/>
  <c r="Q276" i="1" a="1"/>
  <c r="Q276" i="1" s="1"/>
  <c r="Q277" i="1" a="1"/>
  <c r="Q277" i="1" s="1"/>
  <c r="Q278" i="1" a="1"/>
  <c r="Q278" i="1" s="1"/>
  <c r="Q279" i="1" a="1"/>
  <c r="Q279" i="1" s="1"/>
  <c r="Q280" i="1" a="1"/>
  <c r="Q280" i="1" s="1"/>
  <c r="Q281" i="1" a="1"/>
  <c r="Q281" i="1" s="1"/>
  <c r="Q282" i="1" a="1"/>
  <c r="Q282" i="1" s="1"/>
  <c r="Q283" i="1" a="1"/>
  <c r="Q283" i="1" s="1"/>
  <c r="Q284" i="1" a="1"/>
  <c r="Q284" i="1" s="1"/>
  <c r="Q285" i="1" a="1"/>
  <c r="Q285" i="1" s="1"/>
  <c r="Q286" i="1" a="1"/>
  <c r="Q286" i="1" s="1"/>
  <c r="Q287" i="1" a="1"/>
  <c r="Q287" i="1" s="1"/>
  <c r="Q288" i="1" a="1"/>
  <c r="Q288" i="1" s="1"/>
  <c r="Q289" i="1" a="1"/>
  <c r="Q289" i="1" s="1"/>
  <c r="Q290" i="1" a="1"/>
  <c r="Q290" i="1" s="1"/>
  <c r="Q291" i="1" a="1"/>
  <c r="Q291" i="1" s="1"/>
  <c r="Q292" i="1" a="1"/>
  <c r="Q292" i="1" s="1"/>
  <c r="Q293" i="1" a="1"/>
  <c r="Q293" i="1" s="1"/>
  <c r="Q294" i="1" a="1"/>
  <c r="Q294" i="1" s="1"/>
  <c r="Q295" i="1" a="1"/>
  <c r="Q295" i="1" s="1"/>
  <c r="Q296" i="1" a="1"/>
  <c r="Q296" i="1" s="1"/>
  <c r="Q297" i="1" a="1"/>
  <c r="Q297" i="1" s="1"/>
  <c r="Q298" i="1" a="1"/>
  <c r="Q298" i="1" s="1"/>
  <c r="Q299" i="1" a="1"/>
  <c r="Q299" i="1" s="1"/>
  <c r="Q300" i="1" a="1"/>
  <c r="Q300" i="1" s="1"/>
  <c r="Q301" i="1" a="1"/>
  <c r="Q301" i="1" s="1"/>
  <c r="Q302" i="1" a="1"/>
  <c r="Q302" i="1" s="1"/>
  <c r="Q303" i="1" a="1"/>
  <c r="Q303" i="1" s="1"/>
  <c r="Q304" i="1" a="1"/>
  <c r="Q304" i="1" s="1"/>
  <c r="Q305" i="1" a="1"/>
  <c r="Q305" i="1" s="1"/>
  <c r="Q306" i="1" a="1"/>
  <c r="Q306" i="1" s="1"/>
  <c r="Q307" i="1" a="1"/>
  <c r="Q307" i="1" s="1"/>
  <c r="Q308" i="1" a="1"/>
  <c r="Q308" i="1" s="1"/>
  <c r="Q309" i="1" a="1"/>
  <c r="Q309" i="1" s="1"/>
  <c r="Q310" i="1" a="1"/>
  <c r="Q310" i="1" s="1"/>
  <c r="Q311" i="1" a="1"/>
  <c r="Q311" i="1" s="1"/>
  <c r="Q312" i="1" a="1"/>
  <c r="Q312" i="1" s="1"/>
  <c r="Q313" i="1" a="1"/>
  <c r="Q313" i="1" s="1"/>
  <c r="Q314" i="1" a="1"/>
  <c r="Q314" i="1" s="1"/>
  <c r="Q315" i="1" a="1"/>
  <c r="Q315" i="1" s="1"/>
  <c r="Q316" i="1" a="1"/>
  <c r="Q316" i="1" s="1"/>
  <c r="Q317" i="1" a="1"/>
  <c r="Q317" i="1" s="1"/>
  <c r="Q318" i="1" a="1"/>
  <c r="Q318" i="1" s="1"/>
  <c r="Q319" i="1" a="1"/>
  <c r="Q319" i="1" s="1"/>
  <c r="Q320" i="1" a="1"/>
  <c r="Q320" i="1" s="1"/>
  <c r="Q321" i="1" a="1"/>
  <c r="Q321" i="1" s="1"/>
  <c r="Q322" i="1" a="1"/>
  <c r="Q322" i="1" s="1"/>
  <c r="Q323" i="1" a="1"/>
  <c r="Q323" i="1" s="1"/>
  <c r="Q324" i="1" a="1"/>
  <c r="Q324" i="1" s="1"/>
  <c r="Q325" i="1" a="1"/>
  <c r="Q325" i="1" s="1"/>
  <c r="Q326" i="1" a="1"/>
  <c r="Q326" i="1" s="1"/>
  <c r="Q327" i="1" a="1"/>
  <c r="Q327" i="1" s="1"/>
  <c r="Q328" i="1" a="1"/>
  <c r="Q328" i="1" s="1"/>
  <c r="Q329" i="1" a="1"/>
  <c r="Q329" i="1" s="1"/>
  <c r="Q330" i="1" a="1"/>
  <c r="Q330" i="1" s="1"/>
  <c r="Q331" i="1" a="1"/>
  <c r="Q331" i="1" s="1"/>
  <c r="Q332" i="1" a="1"/>
  <c r="Q332" i="1" s="1"/>
  <c r="Q333" i="1" a="1"/>
  <c r="Q333" i="1" s="1"/>
  <c r="Q334" i="1" a="1"/>
  <c r="Q334" i="1" s="1"/>
  <c r="Q335" i="1" a="1"/>
  <c r="Q335" i="1" s="1"/>
  <c r="Q336" i="1" a="1"/>
  <c r="Q336" i="1" s="1"/>
  <c r="Q337" i="1" a="1"/>
  <c r="Q337" i="1" s="1"/>
  <c r="Q338" i="1" a="1"/>
  <c r="Q338" i="1" s="1"/>
  <c r="Q339" i="1" a="1"/>
  <c r="Q339" i="1" s="1"/>
  <c r="Q340" i="1" a="1"/>
  <c r="Q340" i="1" s="1"/>
  <c r="Q341" i="1" a="1"/>
  <c r="Q341" i="1" s="1"/>
  <c r="Q342" i="1" a="1"/>
  <c r="Q342" i="1" s="1"/>
  <c r="Q343" i="1" a="1"/>
  <c r="Q343" i="1" s="1"/>
  <c r="Q344" i="1" a="1"/>
  <c r="Q344" i="1" s="1"/>
  <c r="Q345" i="1" a="1"/>
  <c r="Q345" i="1" s="1"/>
  <c r="Q346" i="1" a="1"/>
  <c r="Q346" i="1" s="1"/>
  <c r="Q347" i="1" a="1"/>
  <c r="Q347" i="1" s="1"/>
  <c r="Q348" i="1" a="1"/>
  <c r="Q348" i="1" s="1"/>
  <c r="Q349" i="1" a="1"/>
  <c r="Q349" i="1" s="1"/>
  <c r="Q350" i="1" a="1"/>
  <c r="Q350" i="1" s="1"/>
  <c r="Q351" i="1" a="1"/>
  <c r="Q351" i="1" s="1"/>
  <c r="Q352" i="1" a="1"/>
  <c r="Q352" i="1" s="1"/>
  <c r="Q353" i="1" a="1"/>
  <c r="Q353" i="1" s="1"/>
  <c r="Q354" i="1" a="1"/>
  <c r="Q354" i="1" s="1"/>
  <c r="Q355" i="1" a="1"/>
  <c r="Q355" i="1" s="1"/>
  <c r="Q356" i="1" a="1"/>
  <c r="Q356" i="1" s="1"/>
  <c r="Q357" i="1" a="1"/>
  <c r="Q357" i="1" s="1"/>
  <c r="Q358" i="1" a="1"/>
  <c r="Q358" i="1" s="1"/>
  <c r="Q359" i="1" a="1"/>
  <c r="Q359" i="1" s="1"/>
  <c r="Q360" i="1" a="1"/>
  <c r="Q360" i="1" s="1"/>
  <c r="Q361" i="1" a="1"/>
  <c r="Q361" i="1" s="1"/>
  <c r="Q362" i="1" a="1"/>
  <c r="Q362" i="1" s="1"/>
  <c r="Q363" i="1" a="1"/>
  <c r="Q363" i="1" s="1"/>
  <c r="Q364" i="1" a="1"/>
  <c r="Q364" i="1" s="1"/>
  <c r="Q365" i="1" a="1"/>
  <c r="Q365" i="1" s="1"/>
  <c r="Q366" i="1" a="1"/>
  <c r="Q366" i="1" s="1"/>
  <c r="Q367" i="1" a="1"/>
  <c r="Q367" i="1" s="1"/>
  <c r="Q368" i="1" a="1"/>
  <c r="Q368" i="1" s="1"/>
  <c r="Q369" i="1" a="1"/>
  <c r="Q369" i="1" s="1"/>
  <c r="Q370" i="1" a="1"/>
  <c r="Q370" i="1" s="1"/>
  <c r="Q371" i="1" a="1"/>
  <c r="Q371" i="1" s="1"/>
  <c r="Q372" i="1" a="1"/>
  <c r="Q372" i="1" s="1"/>
  <c r="Q373" i="1" a="1"/>
  <c r="Q373" i="1" s="1"/>
  <c r="Q2" i="1" a="1"/>
  <c r="Q2" i="1" s="1"/>
  <c r="O3" i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O179" i="1"/>
  <c r="P179" i="1" s="1"/>
  <c r="O180" i="1"/>
  <c r="P180" i="1" s="1"/>
  <c r="O181" i="1"/>
  <c r="P181" i="1" s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O191" i="1"/>
  <c r="P191" i="1" s="1"/>
  <c r="O192" i="1"/>
  <c r="P192" i="1" s="1"/>
  <c r="O193" i="1"/>
  <c r="P193" i="1" s="1"/>
  <c r="O194" i="1"/>
  <c r="P194" i="1" s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P206" i="1" s="1"/>
  <c r="O207" i="1"/>
  <c r="P207" i="1" s="1"/>
  <c r="O208" i="1"/>
  <c r="P208" i="1" s="1"/>
  <c r="O209" i="1"/>
  <c r="P209" i="1" s="1"/>
  <c r="O210" i="1"/>
  <c r="P210" i="1" s="1"/>
  <c r="O211" i="1"/>
  <c r="P211" i="1" s="1"/>
  <c r="O212" i="1"/>
  <c r="P212" i="1" s="1"/>
  <c r="O213" i="1"/>
  <c r="P213" i="1" s="1"/>
  <c r="O214" i="1"/>
  <c r="P214" i="1" s="1"/>
  <c r="O215" i="1"/>
  <c r="P215" i="1" s="1"/>
  <c r="O216" i="1"/>
  <c r="P216" i="1" s="1"/>
  <c r="O217" i="1"/>
  <c r="P217" i="1" s="1"/>
  <c r="O218" i="1"/>
  <c r="P218" i="1" s="1"/>
  <c r="O219" i="1"/>
  <c r="P219" i="1" s="1"/>
  <c r="O220" i="1"/>
  <c r="P220" i="1" s="1"/>
  <c r="O221" i="1"/>
  <c r="P221" i="1" s="1"/>
  <c r="O222" i="1"/>
  <c r="P222" i="1" s="1"/>
  <c r="O223" i="1"/>
  <c r="P223" i="1" s="1"/>
  <c r="O224" i="1"/>
  <c r="P224" i="1" s="1"/>
  <c r="O225" i="1"/>
  <c r="P225" i="1" s="1"/>
  <c r="O226" i="1"/>
  <c r="P226" i="1" s="1"/>
  <c r="O227" i="1"/>
  <c r="P227" i="1" s="1"/>
  <c r="O228" i="1"/>
  <c r="P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O235" i="1"/>
  <c r="P235" i="1" s="1"/>
  <c r="O236" i="1"/>
  <c r="P236" i="1" s="1"/>
  <c r="O237" i="1"/>
  <c r="P237" i="1" s="1"/>
  <c r="O238" i="1"/>
  <c r="P238" i="1" s="1"/>
  <c r="O239" i="1"/>
  <c r="P239" i="1" s="1"/>
  <c r="O240" i="1"/>
  <c r="P240" i="1" s="1"/>
  <c r="O241" i="1"/>
  <c r="P241" i="1" s="1"/>
  <c r="O242" i="1"/>
  <c r="P242" i="1" s="1"/>
  <c r="O243" i="1"/>
  <c r="P243" i="1" s="1"/>
  <c r="O244" i="1"/>
  <c r="P244" i="1" s="1"/>
  <c r="O245" i="1"/>
  <c r="P245" i="1" s="1"/>
  <c r="O246" i="1"/>
  <c r="P246" i="1" s="1"/>
  <c r="O247" i="1"/>
  <c r="P247" i="1" s="1"/>
  <c r="O248" i="1"/>
  <c r="P248" i="1" s="1"/>
  <c r="O249" i="1"/>
  <c r="P249" i="1" s="1"/>
  <c r="O250" i="1"/>
  <c r="P250" i="1" s="1"/>
  <c r="O251" i="1"/>
  <c r="P251" i="1" s="1"/>
  <c r="O252" i="1"/>
  <c r="P252" i="1" s="1"/>
  <c r="O253" i="1"/>
  <c r="P253" i="1" s="1"/>
  <c r="O254" i="1"/>
  <c r="P254" i="1" s="1"/>
  <c r="O255" i="1"/>
  <c r="P255" i="1" s="1"/>
  <c r="O256" i="1"/>
  <c r="P256" i="1" s="1"/>
  <c r="O257" i="1"/>
  <c r="P257" i="1" s="1"/>
  <c r="O258" i="1"/>
  <c r="P258" i="1" s="1"/>
  <c r="O259" i="1"/>
  <c r="P259" i="1" s="1"/>
  <c r="O260" i="1"/>
  <c r="P260" i="1" s="1"/>
  <c r="O261" i="1"/>
  <c r="P261" i="1" s="1"/>
  <c r="O262" i="1"/>
  <c r="P262" i="1" s="1"/>
  <c r="O263" i="1"/>
  <c r="P263" i="1" s="1"/>
  <c r="O264" i="1"/>
  <c r="P264" i="1" s="1"/>
  <c r="O265" i="1"/>
  <c r="P265" i="1" s="1"/>
  <c r="O266" i="1"/>
  <c r="P266" i="1" s="1"/>
  <c r="O267" i="1"/>
  <c r="P267" i="1" s="1"/>
  <c r="O268" i="1"/>
  <c r="P268" i="1" s="1"/>
  <c r="O269" i="1"/>
  <c r="P269" i="1" s="1"/>
  <c r="O270" i="1"/>
  <c r="P270" i="1" s="1"/>
  <c r="O271" i="1"/>
  <c r="P271" i="1" s="1"/>
  <c r="O272" i="1"/>
  <c r="P272" i="1" s="1"/>
  <c r="O273" i="1"/>
  <c r="P273" i="1" s="1"/>
  <c r="O274" i="1"/>
  <c r="P274" i="1" s="1"/>
  <c r="O275" i="1"/>
  <c r="P275" i="1" s="1"/>
  <c r="O276" i="1"/>
  <c r="P276" i="1" s="1"/>
  <c r="O277" i="1"/>
  <c r="P277" i="1" s="1"/>
  <c r="O278" i="1"/>
  <c r="P278" i="1" s="1"/>
  <c r="O279" i="1"/>
  <c r="P279" i="1" s="1"/>
  <c r="O280" i="1"/>
  <c r="P280" i="1" s="1"/>
  <c r="O281" i="1"/>
  <c r="P281" i="1" s="1"/>
  <c r="O282" i="1"/>
  <c r="P282" i="1" s="1"/>
  <c r="O283" i="1"/>
  <c r="P283" i="1" s="1"/>
  <c r="O284" i="1"/>
  <c r="P284" i="1" s="1"/>
  <c r="O285" i="1"/>
  <c r="P285" i="1" s="1"/>
  <c r="O286" i="1"/>
  <c r="P286" i="1" s="1"/>
  <c r="O287" i="1"/>
  <c r="P287" i="1" s="1"/>
  <c r="O288" i="1"/>
  <c r="P288" i="1" s="1"/>
  <c r="O289" i="1"/>
  <c r="P289" i="1" s="1"/>
  <c r="O290" i="1"/>
  <c r="P290" i="1" s="1"/>
  <c r="O291" i="1"/>
  <c r="P291" i="1" s="1"/>
  <c r="O292" i="1"/>
  <c r="P292" i="1" s="1"/>
  <c r="O293" i="1"/>
  <c r="P293" i="1" s="1"/>
  <c r="O294" i="1"/>
  <c r="P294" i="1" s="1"/>
  <c r="O295" i="1"/>
  <c r="P295" i="1" s="1"/>
  <c r="O296" i="1"/>
  <c r="P296" i="1" s="1"/>
  <c r="O297" i="1"/>
  <c r="P297" i="1" s="1"/>
  <c r="O298" i="1"/>
  <c r="P298" i="1" s="1"/>
  <c r="O299" i="1"/>
  <c r="P299" i="1" s="1"/>
  <c r="O300" i="1"/>
  <c r="P300" i="1" s="1"/>
  <c r="O301" i="1"/>
  <c r="P301" i="1" s="1"/>
  <c r="O302" i="1"/>
  <c r="P302" i="1" s="1"/>
  <c r="O303" i="1"/>
  <c r="P303" i="1" s="1"/>
  <c r="O304" i="1"/>
  <c r="P304" i="1" s="1"/>
  <c r="O305" i="1"/>
  <c r="P305" i="1" s="1"/>
  <c r="O306" i="1"/>
  <c r="P306" i="1" s="1"/>
  <c r="O307" i="1"/>
  <c r="P307" i="1" s="1"/>
  <c r="O308" i="1"/>
  <c r="P308" i="1" s="1"/>
  <c r="O309" i="1"/>
  <c r="P309" i="1" s="1"/>
  <c r="O310" i="1"/>
  <c r="P310" i="1" s="1"/>
  <c r="O311" i="1"/>
  <c r="P311" i="1" s="1"/>
  <c r="O312" i="1"/>
  <c r="P312" i="1" s="1"/>
  <c r="O313" i="1"/>
  <c r="P313" i="1" s="1"/>
  <c r="O314" i="1"/>
  <c r="P314" i="1" s="1"/>
  <c r="O315" i="1"/>
  <c r="P315" i="1" s="1"/>
  <c r="O316" i="1"/>
  <c r="P316" i="1" s="1"/>
  <c r="O317" i="1"/>
  <c r="P317" i="1" s="1"/>
  <c r="O318" i="1"/>
  <c r="P318" i="1" s="1"/>
  <c r="O319" i="1"/>
  <c r="P319" i="1" s="1"/>
  <c r="O320" i="1"/>
  <c r="P320" i="1" s="1"/>
  <c r="O321" i="1"/>
  <c r="P321" i="1" s="1"/>
  <c r="O322" i="1"/>
  <c r="P322" i="1" s="1"/>
  <c r="O323" i="1"/>
  <c r="P323" i="1" s="1"/>
  <c r="O324" i="1"/>
  <c r="P324" i="1" s="1"/>
  <c r="O325" i="1"/>
  <c r="P325" i="1" s="1"/>
  <c r="O326" i="1"/>
  <c r="P326" i="1" s="1"/>
  <c r="O327" i="1"/>
  <c r="P327" i="1" s="1"/>
  <c r="O328" i="1"/>
  <c r="P328" i="1" s="1"/>
  <c r="O329" i="1"/>
  <c r="P329" i="1" s="1"/>
  <c r="O330" i="1"/>
  <c r="P330" i="1" s="1"/>
  <c r="O331" i="1"/>
  <c r="P331" i="1" s="1"/>
  <c r="O332" i="1"/>
  <c r="P332" i="1" s="1"/>
  <c r="O333" i="1"/>
  <c r="P333" i="1" s="1"/>
  <c r="O334" i="1"/>
  <c r="P334" i="1" s="1"/>
  <c r="O335" i="1"/>
  <c r="P335" i="1" s="1"/>
  <c r="O336" i="1"/>
  <c r="P336" i="1" s="1"/>
  <c r="O337" i="1"/>
  <c r="P337" i="1" s="1"/>
  <c r="O338" i="1"/>
  <c r="P338" i="1" s="1"/>
  <c r="O339" i="1"/>
  <c r="P339" i="1" s="1"/>
  <c r="O340" i="1"/>
  <c r="P340" i="1" s="1"/>
  <c r="O341" i="1"/>
  <c r="P341" i="1" s="1"/>
  <c r="O342" i="1"/>
  <c r="P342" i="1" s="1"/>
  <c r="O343" i="1"/>
  <c r="P343" i="1" s="1"/>
  <c r="O344" i="1"/>
  <c r="P344" i="1" s="1"/>
  <c r="O345" i="1"/>
  <c r="P345" i="1" s="1"/>
  <c r="O346" i="1"/>
  <c r="P346" i="1" s="1"/>
  <c r="O347" i="1"/>
  <c r="P347" i="1" s="1"/>
  <c r="O348" i="1"/>
  <c r="P348" i="1" s="1"/>
  <c r="O349" i="1"/>
  <c r="P349" i="1" s="1"/>
  <c r="O350" i="1"/>
  <c r="P350" i="1" s="1"/>
  <c r="O351" i="1"/>
  <c r="P351" i="1" s="1"/>
  <c r="O352" i="1"/>
  <c r="P352" i="1" s="1"/>
  <c r="O353" i="1"/>
  <c r="P353" i="1" s="1"/>
  <c r="O354" i="1"/>
  <c r="P354" i="1" s="1"/>
  <c r="O355" i="1"/>
  <c r="P355" i="1" s="1"/>
  <c r="O356" i="1"/>
  <c r="P356" i="1" s="1"/>
  <c r="O357" i="1"/>
  <c r="P357" i="1" s="1"/>
  <c r="O358" i="1"/>
  <c r="P358" i="1" s="1"/>
  <c r="O359" i="1"/>
  <c r="P359" i="1" s="1"/>
  <c r="O360" i="1"/>
  <c r="P360" i="1" s="1"/>
  <c r="O361" i="1"/>
  <c r="P361" i="1" s="1"/>
  <c r="O362" i="1"/>
  <c r="P362" i="1" s="1"/>
  <c r="O363" i="1"/>
  <c r="P363" i="1" s="1"/>
  <c r="O364" i="1"/>
  <c r="P364" i="1" s="1"/>
  <c r="O365" i="1"/>
  <c r="P365" i="1" s="1"/>
  <c r="O366" i="1"/>
  <c r="P366" i="1" s="1"/>
  <c r="O367" i="1"/>
  <c r="P367" i="1" s="1"/>
  <c r="O368" i="1"/>
  <c r="P368" i="1" s="1"/>
  <c r="O369" i="1"/>
  <c r="P369" i="1" s="1"/>
  <c r="O370" i="1"/>
  <c r="P370" i="1" s="1"/>
  <c r="O371" i="1"/>
  <c r="P371" i="1" s="1"/>
  <c r="O372" i="1"/>
  <c r="P372" i="1" s="1"/>
  <c r="O373" i="1"/>
  <c r="P373" i="1" s="1"/>
  <c r="O2" i="1"/>
  <c r="P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<sst xmlns="http://schemas.openxmlformats.org/spreadsheetml/2006/main" count="5252" uniqueCount="76">
  <si>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</si>
  <si>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</si>
  <si>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</si>
  <si>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</si>
  <si>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</si>
  <si>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</si>
  <si>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</si>
  <si>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</si>
  <si>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</si>
  <si>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</si>
  <si>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</si>
  <si>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</si>
  <si>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</si>
  <si>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</si>
  <si>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</si>
  <si>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</si>
  <si>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</si>
  <si>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</si>
  <si>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</si>
  <si>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</si>
  <si>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</si>
  <si>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</si>
  <si>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</si>
  <si>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</si>
  <si>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</si>
  <si>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</si>
  <si>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</si>
  <si>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</si>
  <si>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</si>
  <si>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</si>
  <si>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</si>
  <si>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</si>
  <si>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</si>
  <si>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</si>
  <si>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</si>
  <si>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</si>
  <si>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</si>
  <si>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</si>
  <si>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</si>
  <si>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</si>
  <si>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</si>
  <si>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</si>
  <si>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</si>
  <si>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</si>
  <si>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</si>
  <si>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</si>
  <si>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</si>
  <si>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</si>
  <si>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</si>
  <si>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</si>
  <si>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</si>
  <si>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</si>
  <si>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</si>
  <si>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</si>
  <si>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</si>
  <si>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</si>
  <si>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</si>
  <si>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</si>
  <si>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</si>
  <si>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</si>
  <si>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</si>
  <si>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</si>
  <si>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</si>
  <si>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</si>
  <si>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</si>
  <si>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</si>
  <si>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</si>
  <si>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</si>
  <si>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</si>
  <si>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Total Price</t>
  </si>
  <si>
    <t>Price Category</t>
  </si>
  <si>
    <t>Discount Category</t>
  </si>
  <si>
    <t>Unit Category</t>
  </si>
  <si>
    <t>Steps &amp; Formula
1. Select D24:D31
2. Conditional Formatting → New Rule
3. Format only cells that contain
4. Set ≥ 150
Formula: =D24&gt;=150</t>
  </si>
  <si>
    <t>Steps: 
1. Select a dataset excluding the header
2. Conditional Formatting → New Rule 
3. Use a formula to determine which cells to format
4. Formula:=$F2=$V$8
5. Format And Apply(Submit)</t>
  </si>
  <si>
    <t>Steps: 
1. Select a dataset with header
2. Conditional Formatting → New Rule 
3. Use a formula to determine which cells to format
4. Formula: =A$1=$U$8
5. Format And Apply(Submit)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</si>
</sst>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 vertical="center" wrapText="1" indent="1"/>
    </xf>
    <xf numFmtId="0" fontId="2" fillId="5" borderId="1" xfId="0" applyFont="1" applyFill="1" applyBorder="1" applyAlignment="1">
      <alignment horizontal="left" vertical="center" indent="1"/>
    </xf>
    <xf numFmtId="0" fontId="4" fillId="6" borderId="0" xfId="0" applyFont="1" applyFill="1" applyAlignment="1">
      <alignment horizontal="center" wrapText="1"/>
    </xf>
    <xf numFmtId="0" fontId="4" fillId="6" borderId="0" xfId="0" applyFont="1" applyFill="1" applyAlignment="1">
      <alignment horizontal="center"/>
    </xf>
    <xf numFmtId="0" fontId="2" fillId="9" borderId="1" xfId="0" applyFont="1" applyFill="1" applyBorder="1" applyAlignment="1">
      <alignment horizontal="left" vertical="center" wrapText="1" indent="1"/>
    </xf>
    <xf numFmtId="0" fontId="2" fillId="9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2">
    <dxf>
      <font>
        <b/>
        <i val="0"/>
        <color rgb="FF800000"/>
      </font>
      <fill>
        <patternFill>
          <bgColor rgb="FFFFFF00"/>
        </patternFill>
      </fill>
    </dxf>
    <dxf>
      <font>
        <b/>
        <i val="0"/>
        <color rgb="FF800000"/>
      </font>
      <fill>
        <patternFill>
          <bgColor theme="7" tint="-0.24994659260841701"/>
        </patternFill>
      </fill>
    </dxf>
  </dxfs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D61F-E79A-4686-B365-3C68CD980ACE}">
  <dimension ref="A1:U373"/>
  <sheetViews>
    <sheetView topLeftCell="K1" zoomScale="85" zoomScaleNormal="85" workbookViewId="0">
      <selection activeCell="R1" sqref="R1"/>
    </sheetView>
  </sheetViews>
  <sheetFormatPr defaultRowHeight="15.75" x14ac:dyDescent="0.25"/>
  <cols>
    <col min="1" max="1" width="11" style="2" bestFit="1" customWidth="1"/>
    <col min="2" max="2" width="15.42578125" style="2" bestFit="1" customWidth="1"/>
    <col min="3" max="3" width="14.140625" style="2" bestFit="1" customWidth="1"/>
    <col min="4" max="4" width="13.140625" style="2" bestFit="1" customWidth="1"/>
    <col min="5" max="5" width="11.7109375" style="2" bestFit="1" customWidth="1"/>
    <col min="6" max="6" width="13.140625" style="2" bestFit="1" customWidth="1"/>
    <col min="7" max="7" width="17" style="2" bestFit="1" customWidth="1"/>
    <col min="8" max="8" width="21.42578125" style="2" bestFit="1" customWidth="1"/>
    <col min="9" max="9" width="21.140625" style="2" bestFit="1" customWidth="1"/>
    <col min="10" max="10" width="17.7109375" style="2" bestFit="1" customWidth="1"/>
    <col min="11" max="11" width="8.5703125" style="2" bestFit="1" customWidth="1"/>
    <col min="12" max="12" width="12.7109375" style="2" bestFit="1" customWidth="1"/>
    <col min="13" max="13" width="12.42578125" style="2" bestFit="1" customWidth="1"/>
    <col min="14" max="14" width="14" style="2" bestFit="1" customWidth="1"/>
    <col min="15" max="15" width="13.5703125" style="2" bestFit="1" customWidth="1"/>
    <col min="16" max="16" width="18" style="2" bestFit="1" customWidth="1"/>
    <col min="17" max="17" width="22.42578125" style="2" bestFit="1" customWidth="1"/>
    <col min="18" max="18" width="17" style="2" bestFit="1" customWidth="1"/>
    <col min="19" max="20" width="9.140625" style="2"/>
    <col min="21" max="21" width="23.5703125" style="2" bestFit="1" customWidth="1"/>
    <col min="22" max="22" width="18.5703125" style="2" bestFit="1" customWidth="1"/>
    <col min="23" max="23" width="22.85546875" style="2" bestFit="1" customWidth="1"/>
    <col min="24" max="24" width="11.5703125" style="2" customWidth="1"/>
    <col min="25" max="25" width="16.85546875" style="2" customWidth="1"/>
    <col min="26" max="26" width="16.140625" style="2" customWidth="1"/>
    <col min="27" max="16384" width="9.140625" style="2"/>
  </cols>
  <sheetData>
    <row r="1" spans="1:21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69</v>
      </c>
      <c r="P1" s="1" t="s">
        <v>70</v>
      </c>
      <c r="Q1" s="1" t="s">
        <v>71</v>
      </c>
      <c r="R1" s="1" t="s">
        <v>72</v>
      </c>
    </row>
    <row r="2" spans="1:21" x14ac:dyDescent="0.25">
      <c r="A2" s="3">
        <v>10001</v>
      </c>
      <c r="B2" s="3">
        <v>1102</v>
      </c>
      <c r="C2" s="4">
        <v>45197</v>
      </c>
      <c r="D2" s="4">
        <v>45203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>
        <v>7</v>
      </c>
      <c r="M2" s="3">
        <v>2843.87</v>
      </c>
      <c r="N2" s="3">
        <v>0</v>
      </c>
      <c r="O2" s="3">
        <f>(L2*M2)*(1-N2/100)</f>
        <v>19907.09</v>
      </c>
      <c r="P2" s="3" t="str">
        <f>IF(O2&gt;=15000,"High Price","Low Price")</f>
        <v>High Price</v>
      </c>
      <c r="Q2" s="3" t="str" cm="1">
        <f t="array" ref="Q2">_xlfn.IFS(N2&gt;=10,"High",N2&gt;=5,"Medium",N2&lt;5,"Low")</f>
        <v>Low</v>
      </c>
      <c r="R2" s="3" t="str">
        <f>IF(L2&gt;8,"High",IF(L2&gt;4,"Medium","Low"))</f>
        <v>Medium</v>
      </c>
    </row>
    <row r="3" spans="1:21" x14ac:dyDescent="0.25">
      <c r="A3" s="3">
        <v>10002</v>
      </c>
      <c r="B3" s="3">
        <v>1435</v>
      </c>
      <c r="C3" s="4">
        <v>45199</v>
      </c>
      <c r="D3" s="4">
        <v>45203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>
        <v>9</v>
      </c>
      <c r="M3" s="3">
        <v>2525.23</v>
      </c>
      <c r="N3" s="3">
        <v>5</v>
      </c>
      <c r="O3" s="3">
        <f t="shared" ref="O3:O66" si="0">(L3*M3)*(1-N3/100)</f>
        <v>21590.716499999999</v>
      </c>
      <c r="P3" s="3" t="str">
        <f t="shared" ref="P3:P66" si="1">IF(O3&gt;=15000,"High Price","Low Price")</f>
        <v>High Price</v>
      </c>
      <c r="Q3" s="3" t="str" cm="1">
        <f t="array" ref="Q3">_xlfn.IFS(N3&gt;=10,"High",N3&gt;=5,"Medium",N3&lt;5,"Low")</f>
        <v>Medium</v>
      </c>
      <c r="R3" s="3" t="str">
        <f t="shared" ref="R3:R66" si="2">IF(L3&gt;8,"High",IF(L3&gt;4,"Medium","Low"))</f>
        <v>High</v>
      </c>
    </row>
    <row r="4" spans="1:21" x14ac:dyDescent="0.25">
      <c r="A4" s="3">
        <v>10003</v>
      </c>
      <c r="B4" s="3">
        <v>1860</v>
      </c>
      <c r="C4" s="4">
        <v>45109</v>
      </c>
      <c r="D4" s="4">
        <v>45114</v>
      </c>
      <c r="E4" s="3" t="s">
        <v>14</v>
      </c>
      <c r="F4" s="3" t="s">
        <v>28</v>
      </c>
      <c r="G4" s="3" t="s">
        <v>29</v>
      </c>
      <c r="H4" s="3" t="s">
        <v>24</v>
      </c>
      <c r="I4" s="3" t="s">
        <v>30</v>
      </c>
      <c r="J4" s="3" t="s">
        <v>31</v>
      </c>
      <c r="K4" s="3" t="s">
        <v>32</v>
      </c>
      <c r="L4" s="3">
        <v>6</v>
      </c>
      <c r="M4" s="3">
        <v>3474.34</v>
      </c>
      <c r="N4" s="3">
        <v>15</v>
      </c>
      <c r="O4" s="3">
        <f t="shared" si="0"/>
        <v>17719.134000000002</v>
      </c>
      <c r="P4" s="3" t="str">
        <f t="shared" si="1"/>
        <v>High Price</v>
      </c>
      <c r="Q4" s="3" t="str" cm="1">
        <f t="array" ref="Q4">_xlfn.IFS(N4&gt;=10,"High",N4&gt;=5,"Medium",N4&lt;5,"Low")</f>
        <v>High</v>
      </c>
      <c r="R4" s="3" t="str">
        <f t="shared" si="2"/>
        <v>Medium</v>
      </c>
    </row>
    <row r="5" spans="1:21" x14ac:dyDescent="0.25">
      <c r="A5" s="3">
        <v>10004</v>
      </c>
      <c r="B5" s="3">
        <v>1270</v>
      </c>
      <c r="C5" s="4">
        <v>45079</v>
      </c>
      <c r="D5" s="4">
        <v>45087</v>
      </c>
      <c r="E5" s="3" t="s">
        <v>33</v>
      </c>
      <c r="F5" s="3" t="s">
        <v>28</v>
      </c>
      <c r="G5" s="3" t="s">
        <v>23</v>
      </c>
      <c r="H5" s="3" t="s">
        <v>34</v>
      </c>
      <c r="I5" s="3" t="s">
        <v>25</v>
      </c>
      <c r="J5" s="3" t="s">
        <v>35</v>
      </c>
      <c r="K5" s="3" t="s">
        <v>20</v>
      </c>
      <c r="L5" s="3">
        <v>1</v>
      </c>
      <c r="M5" s="3">
        <v>1008.79</v>
      </c>
      <c r="N5" s="3">
        <v>15</v>
      </c>
      <c r="O5" s="3">
        <f t="shared" si="0"/>
        <v>857.47149999999999</v>
      </c>
      <c r="P5" s="3" t="str">
        <f t="shared" si="1"/>
        <v>Low Price</v>
      </c>
      <c r="Q5" s="3" t="str" cm="1">
        <f t="array" ref="Q5">_xlfn.IFS(N5&gt;=10,"High",N5&gt;=5,"Medium",N5&lt;5,"Low")</f>
        <v>High</v>
      </c>
      <c r="R5" s="3" t="str">
        <f t="shared" si="2"/>
        <v>Low</v>
      </c>
    </row>
    <row r="6" spans="1:21" x14ac:dyDescent="0.25">
      <c r="A6" s="3">
        <v>10005</v>
      </c>
      <c r="B6" s="3">
        <v>1106</v>
      </c>
      <c r="C6" s="4">
        <v>45241</v>
      </c>
      <c r="D6" s="4">
        <v>45244</v>
      </c>
      <c r="E6" s="3" t="s">
        <v>36</v>
      </c>
      <c r="F6" s="3" t="s">
        <v>37</v>
      </c>
      <c r="G6" s="3" t="s">
        <v>29</v>
      </c>
      <c r="H6" s="3" t="s">
        <v>17</v>
      </c>
      <c r="I6" s="3" t="s">
        <v>30</v>
      </c>
      <c r="J6" s="3" t="s">
        <v>38</v>
      </c>
      <c r="K6" s="3" t="s">
        <v>20</v>
      </c>
      <c r="L6" s="3">
        <v>7</v>
      </c>
      <c r="M6" s="3">
        <v>3511.47</v>
      </c>
      <c r="N6" s="3">
        <v>20</v>
      </c>
      <c r="O6" s="3">
        <f t="shared" si="0"/>
        <v>19664.232</v>
      </c>
      <c r="P6" s="3" t="str">
        <f t="shared" si="1"/>
        <v>High Price</v>
      </c>
      <c r="Q6" s="3" t="str" cm="1">
        <f t="array" ref="Q6">_xlfn.IFS(N6&gt;=10,"High",N6&gt;=5,"Medium",N6&lt;5,"Low")</f>
        <v>High</v>
      </c>
      <c r="R6" s="3" t="str">
        <f t="shared" si="2"/>
        <v>Medium</v>
      </c>
    </row>
    <row r="7" spans="1:21" x14ac:dyDescent="0.25">
      <c r="A7" s="3">
        <v>10006</v>
      </c>
      <c r="B7" s="3">
        <v>1071</v>
      </c>
      <c r="C7" s="4">
        <v>45260</v>
      </c>
      <c r="D7" s="4">
        <v>45263</v>
      </c>
      <c r="E7" s="3" t="s">
        <v>39</v>
      </c>
      <c r="F7" s="3" t="s">
        <v>40</v>
      </c>
      <c r="G7" s="3" t="s">
        <v>23</v>
      </c>
      <c r="H7" s="3" t="s">
        <v>41</v>
      </c>
      <c r="I7" s="3" t="s">
        <v>18</v>
      </c>
      <c r="J7" s="3" t="s">
        <v>42</v>
      </c>
      <c r="K7" s="3" t="s">
        <v>32</v>
      </c>
      <c r="L7" s="3">
        <v>3</v>
      </c>
      <c r="M7" s="3">
        <v>3189.55</v>
      </c>
      <c r="N7" s="3">
        <v>10</v>
      </c>
      <c r="O7" s="3">
        <f t="shared" si="0"/>
        <v>8611.7850000000017</v>
      </c>
      <c r="P7" s="3" t="str">
        <f t="shared" si="1"/>
        <v>Low Price</v>
      </c>
      <c r="Q7" s="3" t="str" cm="1">
        <f t="array" ref="Q7">_xlfn.IFS(N7&gt;=10,"High",N7&gt;=5,"Medium",N7&lt;5,"Low")</f>
        <v>High</v>
      </c>
      <c r="R7" s="3" t="str">
        <f t="shared" si="2"/>
        <v>Low</v>
      </c>
    </row>
    <row r="8" spans="1:21" x14ac:dyDescent="0.25">
      <c r="A8" s="3">
        <v>10007</v>
      </c>
      <c r="B8" s="3">
        <v>1700</v>
      </c>
      <c r="C8" s="4">
        <v>45050</v>
      </c>
      <c r="D8" s="4">
        <v>45054</v>
      </c>
      <c r="E8" s="3" t="s">
        <v>33</v>
      </c>
      <c r="F8" s="3" t="s">
        <v>40</v>
      </c>
      <c r="G8" s="3" t="s">
        <v>16</v>
      </c>
      <c r="H8" s="3" t="s">
        <v>43</v>
      </c>
      <c r="I8" s="3" t="s">
        <v>30</v>
      </c>
      <c r="J8" s="3" t="s">
        <v>31</v>
      </c>
      <c r="K8" s="3" t="s">
        <v>44</v>
      </c>
      <c r="L8" s="3">
        <v>5</v>
      </c>
      <c r="M8" s="3">
        <v>3030.42</v>
      </c>
      <c r="N8" s="3">
        <v>10</v>
      </c>
      <c r="O8" s="3">
        <f t="shared" si="0"/>
        <v>13636.890000000001</v>
      </c>
      <c r="P8" s="3" t="str">
        <f t="shared" si="1"/>
        <v>Low Price</v>
      </c>
      <c r="Q8" s="3" t="str" cm="1">
        <f t="array" ref="Q8">_xlfn.IFS(N8&gt;=10,"High",N8&gt;=5,"Medium",N8&lt;5,"Low")</f>
        <v>High</v>
      </c>
      <c r="R8" s="3" t="str">
        <f t="shared" si="2"/>
        <v>Medium</v>
      </c>
      <c r="T8" s="5" t="s">
        <v>5</v>
      </c>
      <c r="U8" s="5" t="s">
        <v>69</v>
      </c>
    </row>
    <row r="9" spans="1:21" x14ac:dyDescent="0.25">
      <c r="A9" s="3">
        <v>10008</v>
      </c>
      <c r="B9" s="3">
        <v>1020</v>
      </c>
      <c r="C9" s="4">
        <v>45040</v>
      </c>
      <c r="D9" s="4">
        <v>45041</v>
      </c>
      <c r="E9" s="3" t="s">
        <v>45</v>
      </c>
      <c r="F9" s="3" t="s">
        <v>15</v>
      </c>
      <c r="G9" s="3" t="s">
        <v>23</v>
      </c>
      <c r="H9" s="3" t="s">
        <v>17</v>
      </c>
      <c r="I9" s="3" t="s">
        <v>30</v>
      </c>
      <c r="J9" s="3" t="s">
        <v>31</v>
      </c>
      <c r="K9" s="3" t="s">
        <v>46</v>
      </c>
      <c r="L9" s="3">
        <v>4</v>
      </c>
      <c r="M9" s="3">
        <v>2310.83</v>
      </c>
      <c r="N9" s="3">
        <v>10</v>
      </c>
      <c r="O9" s="3">
        <f t="shared" si="0"/>
        <v>8318.9879999999994</v>
      </c>
      <c r="P9" s="3" t="str">
        <f t="shared" si="1"/>
        <v>Low Price</v>
      </c>
      <c r="Q9" s="3" t="str" cm="1">
        <f t="array" ref="Q9">_xlfn.IFS(N9&gt;=10,"High",N9&gt;=5,"Medium",N9&lt;5,"Low")</f>
        <v>High</v>
      </c>
      <c r="R9" s="3" t="str">
        <f t="shared" si="2"/>
        <v>Low</v>
      </c>
    </row>
    <row r="10" spans="1:21" x14ac:dyDescent="0.25">
      <c r="A10" s="3">
        <v>10009</v>
      </c>
      <c r="B10" s="3">
        <v>1614</v>
      </c>
      <c r="C10" s="4">
        <v>45204</v>
      </c>
      <c r="D10" s="4">
        <v>45213</v>
      </c>
      <c r="E10" s="3" t="s">
        <v>14</v>
      </c>
      <c r="F10" s="3" t="s">
        <v>28</v>
      </c>
      <c r="G10" s="3" t="s">
        <v>23</v>
      </c>
      <c r="H10" s="3" t="s">
        <v>24</v>
      </c>
      <c r="I10" s="3" t="s">
        <v>30</v>
      </c>
      <c r="J10" s="3" t="s">
        <v>47</v>
      </c>
      <c r="K10" s="3" t="s">
        <v>27</v>
      </c>
      <c r="L10" s="3">
        <v>5</v>
      </c>
      <c r="M10" s="3">
        <v>1098.04</v>
      </c>
      <c r="N10" s="3">
        <v>15</v>
      </c>
      <c r="O10" s="3">
        <f t="shared" si="0"/>
        <v>4666.67</v>
      </c>
      <c r="P10" s="3" t="str">
        <f t="shared" si="1"/>
        <v>Low Price</v>
      </c>
      <c r="Q10" s="3" t="str" cm="1">
        <f t="array" ref="Q10">_xlfn.IFS(N10&gt;=10,"High",N10&gt;=5,"Medium",N10&lt;5,"Low")</f>
        <v>High</v>
      </c>
      <c r="R10" s="3" t="str">
        <f t="shared" si="2"/>
        <v>Medium</v>
      </c>
      <c r="T10" s="10" t="s">
        <v>73</v>
      </c>
      <c r="U10" s="11"/>
    </row>
    <row r="11" spans="1:21" ht="15.75" customHeight="1" x14ac:dyDescent="0.25">
      <c r="A11" s="3">
        <v>10010</v>
      </c>
      <c r="B11" s="3">
        <v>1121</v>
      </c>
      <c r="C11" s="4">
        <v>45139</v>
      </c>
      <c r="D11" s="4">
        <v>45147</v>
      </c>
      <c r="E11" s="3" t="s">
        <v>33</v>
      </c>
      <c r="F11" s="3" t="s">
        <v>37</v>
      </c>
      <c r="G11" s="3" t="s">
        <v>23</v>
      </c>
      <c r="H11" s="3" t="s">
        <v>34</v>
      </c>
      <c r="I11" s="3" t="s">
        <v>48</v>
      </c>
      <c r="J11" s="3" t="s">
        <v>49</v>
      </c>
      <c r="K11" s="3" t="s">
        <v>46</v>
      </c>
      <c r="L11" s="3">
        <v>5</v>
      </c>
      <c r="M11" s="3">
        <v>1780.66</v>
      </c>
      <c r="N11" s="3">
        <v>20</v>
      </c>
      <c r="O11" s="3">
        <f t="shared" si="0"/>
        <v>7122.6400000000012</v>
      </c>
      <c r="P11" s="3" t="str">
        <f t="shared" si="1"/>
        <v>Low Price</v>
      </c>
      <c r="Q11" s="3" t="str" cm="1">
        <f t="array" ref="Q11">_xlfn.IFS(N11&gt;=10,"High",N11&gt;=5,"Medium",N11&lt;5,"Low")</f>
        <v>High</v>
      </c>
      <c r="R11" s="3" t="str">
        <f t="shared" si="2"/>
        <v>Medium</v>
      </c>
      <c r="T11" s="8" t="s">
        <v>75</v>
      </c>
      <c r="U11" s="9"/>
    </row>
    <row r="12" spans="1:21" x14ac:dyDescent="0.25">
      <c r="A12" s="3">
        <v>10011</v>
      </c>
      <c r="B12" s="3">
        <v>1466</v>
      </c>
      <c r="C12" s="4">
        <v>45098</v>
      </c>
      <c r="D12" s="4">
        <v>45106</v>
      </c>
      <c r="E12" s="3" t="s">
        <v>33</v>
      </c>
      <c r="F12" s="3" t="s">
        <v>37</v>
      </c>
      <c r="G12" s="3" t="s">
        <v>16</v>
      </c>
      <c r="H12" s="3" t="s">
        <v>34</v>
      </c>
      <c r="I12" s="3" t="s">
        <v>48</v>
      </c>
      <c r="J12" s="3" t="s">
        <v>49</v>
      </c>
      <c r="K12" s="3" t="s">
        <v>32</v>
      </c>
      <c r="L12" s="3">
        <v>6</v>
      </c>
      <c r="M12" s="3">
        <v>3205.25</v>
      </c>
      <c r="N12" s="3">
        <v>0</v>
      </c>
      <c r="O12" s="3">
        <f t="shared" si="0"/>
        <v>19231.5</v>
      </c>
      <c r="P12" s="3" t="str">
        <f t="shared" si="1"/>
        <v>High Price</v>
      </c>
      <c r="Q12" s="3" t="str" cm="1">
        <f t="array" ref="Q12">_xlfn.IFS(N12&gt;=10,"High",N12&gt;=5,"Medium",N12&lt;5,"Low")</f>
        <v>Low</v>
      </c>
      <c r="R12" s="3" t="str">
        <f t="shared" si="2"/>
        <v>Medium</v>
      </c>
      <c r="T12" s="9"/>
      <c r="U12" s="9"/>
    </row>
    <row r="13" spans="1:21" x14ac:dyDescent="0.25">
      <c r="A13" s="3">
        <v>10012</v>
      </c>
      <c r="B13" s="3">
        <v>1214</v>
      </c>
      <c r="C13" s="4">
        <v>45214</v>
      </c>
      <c r="D13" s="4">
        <v>45220</v>
      </c>
      <c r="E13" s="3" t="s">
        <v>45</v>
      </c>
      <c r="F13" s="3" t="s">
        <v>22</v>
      </c>
      <c r="G13" s="3" t="s">
        <v>23</v>
      </c>
      <c r="H13" s="3" t="s">
        <v>43</v>
      </c>
      <c r="I13" s="3" t="s">
        <v>48</v>
      </c>
      <c r="J13" s="3" t="s">
        <v>50</v>
      </c>
      <c r="K13" s="3" t="s">
        <v>20</v>
      </c>
      <c r="L13" s="3">
        <v>6</v>
      </c>
      <c r="M13" s="3">
        <v>272.35000000000002</v>
      </c>
      <c r="N13" s="3">
        <v>5</v>
      </c>
      <c r="O13" s="3">
        <f t="shared" si="0"/>
        <v>1552.395</v>
      </c>
      <c r="P13" s="3" t="str">
        <f t="shared" si="1"/>
        <v>Low Price</v>
      </c>
      <c r="Q13" s="3" t="str" cm="1">
        <f t="array" ref="Q13">_xlfn.IFS(N13&gt;=10,"High",N13&gt;=5,"Medium",N13&lt;5,"Low")</f>
        <v>Medium</v>
      </c>
      <c r="R13" s="3" t="str">
        <f t="shared" si="2"/>
        <v>Medium</v>
      </c>
      <c r="T13" s="9"/>
      <c r="U13" s="9"/>
    </row>
    <row r="14" spans="1:21" x14ac:dyDescent="0.25">
      <c r="A14" s="3">
        <v>10013</v>
      </c>
      <c r="B14" s="3">
        <v>1330</v>
      </c>
      <c r="C14" s="4">
        <v>45100</v>
      </c>
      <c r="D14" s="4">
        <v>45107</v>
      </c>
      <c r="E14" s="3" t="s">
        <v>15</v>
      </c>
      <c r="F14" s="3" t="s">
        <v>22</v>
      </c>
      <c r="G14" s="3" t="s">
        <v>16</v>
      </c>
      <c r="H14" s="3" t="s">
        <v>34</v>
      </c>
      <c r="I14" s="3" t="s">
        <v>18</v>
      </c>
      <c r="J14" s="3" t="s">
        <v>42</v>
      </c>
      <c r="K14" s="3" t="s">
        <v>20</v>
      </c>
      <c r="L14" s="3">
        <v>8</v>
      </c>
      <c r="M14" s="3">
        <v>3160.9</v>
      </c>
      <c r="N14" s="3">
        <v>0</v>
      </c>
      <c r="O14" s="3">
        <f t="shared" si="0"/>
        <v>25287.200000000001</v>
      </c>
      <c r="P14" s="3" t="str">
        <f t="shared" si="1"/>
        <v>High Price</v>
      </c>
      <c r="Q14" s="3" t="str" cm="1">
        <f t="array" ref="Q14">_xlfn.IFS(N14&gt;=10,"High",N14&gt;=5,"Medium",N14&lt;5,"Low")</f>
        <v>Low</v>
      </c>
      <c r="R14" s="3" t="str">
        <f t="shared" si="2"/>
        <v>Medium</v>
      </c>
      <c r="T14" s="9"/>
      <c r="U14" s="9"/>
    </row>
    <row r="15" spans="1:21" x14ac:dyDescent="0.25">
      <c r="A15" s="3">
        <v>10014</v>
      </c>
      <c r="B15" s="3">
        <v>1458</v>
      </c>
      <c r="C15" s="4">
        <v>45039</v>
      </c>
      <c r="D15" s="4">
        <v>45045</v>
      </c>
      <c r="E15" s="3" t="s">
        <v>36</v>
      </c>
      <c r="F15" s="3" t="s">
        <v>37</v>
      </c>
      <c r="G15" s="3" t="s">
        <v>29</v>
      </c>
      <c r="H15" s="3" t="s">
        <v>34</v>
      </c>
      <c r="I15" s="3" t="s">
        <v>25</v>
      </c>
      <c r="J15" s="3" t="s">
        <v>35</v>
      </c>
      <c r="K15" s="3" t="s">
        <v>27</v>
      </c>
      <c r="L15" s="3">
        <v>8</v>
      </c>
      <c r="M15" s="3">
        <v>1074.27</v>
      </c>
      <c r="N15" s="3">
        <v>15</v>
      </c>
      <c r="O15" s="3">
        <f t="shared" si="0"/>
        <v>7305.0360000000001</v>
      </c>
      <c r="P15" s="3" t="str">
        <f t="shared" si="1"/>
        <v>Low Price</v>
      </c>
      <c r="Q15" s="3" t="str" cm="1">
        <f t="array" ref="Q15">_xlfn.IFS(N15&gt;=10,"High",N15&gt;=5,"Medium",N15&lt;5,"Low")</f>
        <v>High</v>
      </c>
      <c r="R15" s="3" t="str">
        <f t="shared" si="2"/>
        <v>Medium</v>
      </c>
      <c r="T15" s="9"/>
      <c r="U15" s="9"/>
    </row>
    <row r="16" spans="1:21" x14ac:dyDescent="0.25">
      <c r="A16" s="3">
        <v>10015</v>
      </c>
      <c r="B16" s="3">
        <v>1087</v>
      </c>
      <c r="C16" s="4">
        <v>45048</v>
      </c>
      <c r="D16" s="4">
        <v>45057</v>
      </c>
      <c r="E16" s="3" t="s">
        <v>39</v>
      </c>
      <c r="F16" s="3" t="s">
        <v>22</v>
      </c>
      <c r="G16" s="3" t="s">
        <v>23</v>
      </c>
      <c r="H16" s="3" t="s">
        <v>17</v>
      </c>
      <c r="I16" s="3" t="s">
        <v>51</v>
      </c>
      <c r="J16" s="3" t="s">
        <v>52</v>
      </c>
      <c r="K16" s="3" t="s">
        <v>20</v>
      </c>
      <c r="L16" s="3">
        <v>9</v>
      </c>
      <c r="M16" s="3">
        <v>705.59</v>
      </c>
      <c r="N16" s="3">
        <v>10</v>
      </c>
      <c r="O16" s="3">
        <f t="shared" si="0"/>
        <v>5715.2790000000005</v>
      </c>
      <c r="P16" s="3" t="str">
        <f t="shared" si="1"/>
        <v>Low Price</v>
      </c>
      <c r="Q16" s="3" t="str" cm="1">
        <f t="array" ref="Q16">_xlfn.IFS(N16&gt;=10,"High",N16&gt;=5,"Medium",N16&lt;5,"Low")</f>
        <v>High</v>
      </c>
      <c r="R16" s="3" t="str">
        <f t="shared" si="2"/>
        <v>High</v>
      </c>
      <c r="T16" s="9"/>
      <c r="U16" s="9"/>
    </row>
    <row r="17" spans="1:21" x14ac:dyDescent="0.25">
      <c r="A17" s="3">
        <v>10016</v>
      </c>
      <c r="B17" s="3">
        <v>1372</v>
      </c>
      <c r="C17" s="4">
        <v>44958</v>
      </c>
      <c r="D17" s="4">
        <v>44961</v>
      </c>
      <c r="E17" s="3" t="s">
        <v>21</v>
      </c>
      <c r="F17" s="3" t="s">
        <v>28</v>
      </c>
      <c r="G17" s="3" t="s">
        <v>16</v>
      </c>
      <c r="H17" s="3" t="s">
        <v>41</v>
      </c>
      <c r="I17" s="3" t="s">
        <v>30</v>
      </c>
      <c r="J17" s="3" t="s">
        <v>38</v>
      </c>
      <c r="K17" s="3" t="s">
        <v>20</v>
      </c>
      <c r="L17" s="3">
        <v>8</v>
      </c>
      <c r="M17" s="3">
        <v>595.45000000000005</v>
      </c>
      <c r="N17" s="3">
        <v>5</v>
      </c>
      <c r="O17" s="3">
        <f t="shared" si="0"/>
        <v>4525.42</v>
      </c>
      <c r="P17" s="3" t="str">
        <f t="shared" si="1"/>
        <v>Low Price</v>
      </c>
      <c r="Q17" s="3" t="str" cm="1">
        <f t="array" ref="Q17">_xlfn.IFS(N17&gt;=10,"High",N17&gt;=5,"Medium",N17&lt;5,"Low")</f>
        <v>Medium</v>
      </c>
      <c r="R17" s="3" t="str">
        <f t="shared" si="2"/>
        <v>Medium</v>
      </c>
      <c r="T17" s="9"/>
      <c r="U17" s="9"/>
    </row>
    <row r="18" spans="1:21" x14ac:dyDescent="0.25">
      <c r="A18" s="3">
        <v>10017</v>
      </c>
      <c r="B18" s="3">
        <v>1099</v>
      </c>
      <c r="C18" s="4">
        <v>45148</v>
      </c>
      <c r="D18" s="4">
        <v>45151</v>
      </c>
      <c r="E18" s="3" t="s">
        <v>15</v>
      </c>
      <c r="F18" s="3" t="s">
        <v>53</v>
      </c>
      <c r="G18" s="3" t="s">
        <v>16</v>
      </c>
      <c r="H18" s="3" t="s">
        <v>43</v>
      </c>
      <c r="I18" s="3" t="s">
        <v>30</v>
      </c>
      <c r="J18" s="3" t="s">
        <v>38</v>
      </c>
      <c r="K18" s="3" t="s">
        <v>27</v>
      </c>
      <c r="L18" s="3">
        <v>2</v>
      </c>
      <c r="M18" s="3">
        <v>254.91</v>
      </c>
      <c r="N18" s="3">
        <v>15</v>
      </c>
      <c r="O18" s="3">
        <f t="shared" si="0"/>
        <v>433.34699999999998</v>
      </c>
      <c r="P18" s="3" t="str">
        <f t="shared" si="1"/>
        <v>Low Price</v>
      </c>
      <c r="Q18" s="3" t="str" cm="1">
        <f t="array" ref="Q18">_xlfn.IFS(N18&gt;=10,"High",N18&gt;=5,"Medium",N18&lt;5,"Low")</f>
        <v>High</v>
      </c>
      <c r="R18" s="3" t="str">
        <f t="shared" si="2"/>
        <v>Low</v>
      </c>
      <c r="T18" s="9"/>
      <c r="U18" s="9"/>
    </row>
    <row r="19" spans="1:21" x14ac:dyDescent="0.25">
      <c r="A19" s="3">
        <v>10018</v>
      </c>
      <c r="B19" s="3">
        <v>1871</v>
      </c>
      <c r="C19" s="4">
        <v>45045</v>
      </c>
      <c r="D19" s="4">
        <v>45048</v>
      </c>
      <c r="E19" s="3" t="s">
        <v>14</v>
      </c>
      <c r="F19" s="3" t="s">
        <v>28</v>
      </c>
      <c r="G19" s="3" t="s">
        <v>23</v>
      </c>
      <c r="H19" s="3" t="s">
        <v>17</v>
      </c>
      <c r="I19" s="3" t="s">
        <v>18</v>
      </c>
      <c r="J19" s="3" t="s">
        <v>54</v>
      </c>
      <c r="K19" s="3" t="s">
        <v>27</v>
      </c>
      <c r="L19" s="3">
        <v>1</v>
      </c>
      <c r="M19" s="3">
        <v>2165.81</v>
      </c>
      <c r="N19" s="3">
        <v>15</v>
      </c>
      <c r="O19" s="3">
        <f t="shared" si="0"/>
        <v>1840.9385</v>
      </c>
      <c r="P19" s="3" t="str">
        <f t="shared" si="1"/>
        <v>Low Price</v>
      </c>
      <c r="Q19" s="3" t="str" cm="1">
        <f t="array" ref="Q19">_xlfn.IFS(N19&gt;=10,"High",N19&gt;=5,"Medium",N19&lt;5,"Low")</f>
        <v>High</v>
      </c>
      <c r="R19" s="3" t="str">
        <f t="shared" si="2"/>
        <v>Low</v>
      </c>
      <c r="T19" s="9"/>
      <c r="U19" s="9"/>
    </row>
    <row r="20" spans="1:21" x14ac:dyDescent="0.25">
      <c r="A20" s="3">
        <v>10019</v>
      </c>
      <c r="B20" s="3">
        <v>1663</v>
      </c>
      <c r="C20" s="4">
        <v>44965</v>
      </c>
      <c r="D20" s="4">
        <v>44968</v>
      </c>
      <c r="E20" s="3" t="s">
        <v>33</v>
      </c>
      <c r="F20" s="3" t="s">
        <v>37</v>
      </c>
      <c r="G20" s="3" t="s">
        <v>29</v>
      </c>
      <c r="H20" s="3" t="s">
        <v>41</v>
      </c>
      <c r="I20" s="3" t="s">
        <v>30</v>
      </c>
      <c r="J20" s="3" t="s">
        <v>38</v>
      </c>
      <c r="K20" s="3" t="s">
        <v>32</v>
      </c>
      <c r="L20" s="3">
        <v>2</v>
      </c>
      <c r="M20" s="3">
        <v>990.3</v>
      </c>
      <c r="N20" s="3">
        <v>15</v>
      </c>
      <c r="O20" s="3">
        <f t="shared" si="0"/>
        <v>1683.51</v>
      </c>
      <c r="P20" s="3" t="str">
        <f t="shared" si="1"/>
        <v>Low Price</v>
      </c>
      <c r="Q20" s="3" t="str" cm="1">
        <f t="array" ref="Q20">_xlfn.IFS(N20&gt;=10,"High",N20&gt;=5,"Medium",N20&lt;5,"Low")</f>
        <v>High</v>
      </c>
      <c r="R20" s="3" t="str">
        <f t="shared" si="2"/>
        <v>Low</v>
      </c>
    </row>
    <row r="21" spans="1:21" x14ac:dyDescent="0.25">
      <c r="A21" s="3">
        <v>10020</v>
      </c>
      <c r="B21" s="3">
        <v>1130</v>
      </c>
      <c r="C21" s="4">
        <v>45194</v>
      </c>
      <c r="D21" s="4">
        <v>45203</v>
      </c>
      <c r="E21" s="3" t="s">
        <v>45</v>
      </c>
      <c r="F21" s="3" t="s">
        <v>37</v>
      </c>
      <c r="G21" s="3" t="s">
        <v>16</v>
      </c>
      <c r="H21" s="3" t="s">
        <v>17</v>
      </c>
      <c r="I21" s="3" t="s">
        <v>48</v>
      </c>
      <c r="J21" s="3" t="s">
        <v>50</v>
      </c>
      <c r="K21" s="3" t="s">
        <v>20</v>
      </c>
      <c r="L21" s="3">
        <v>2</v>
      </c>
      <c r="M21" s="3">
        <v>3959.31</v>
      </c>
      <c r="N21" s="3">
        <v>5</v>
      </c>
      <c r="O21" s="3">
        <f t="shared" si="0"/>
        <v>7522.6889999999994</v>
      </c>
      <c r="P21" s="3" t="str">
        <f t="shared" si="1"/>
        <v>Low Price</v>
      </c>
      <c r="Q21" s="3" t="str" cm="1">
        <f t="array" ref="Q21">_xlfn.IFS(N21&gt;=10,"High",N21&gt;=5,"Medium",N21&lt;5,"Low")</f>
        <v>Medium</v>
      </c>
      <c r="R21" s="3" t="str">
        <f t="shared" si="2"/>
        <v>Low</v>
      </c>
    </row>
    <row r="22" spans="1:21" x14ac:dyDescent="0.25">
      <c r="A22" s="3">
        <v>10021</v>
      </c>
      <c r="B22" s="3">
        <v>1661</v>
      </c>
      <c r="C22" s="4">
        <v>45159</v>
      </c>
      <c r="D22" s="4">
        <v>45163</v>
      </c>
      <c r="E22" s="3" t="s">
        <v>45</v>
      </c>
      <c r="F22" s="3" t="s">
        <v>28</v>
      </c>
      <c r="G22" s="3" t="s">
        <v>23</v>
      </c>
      <c r="H22" s="3" t="s">
        <v>17</v>
      </c>
      <c r="I22" s="3" t="s">
        <v>51</v>
      </c>
      <c r="J22" s="3" t="s">
        <v>55</v>
      </c>
      <c r="K22" s="3" t="s">
        <v>20</v>
      </c>
      <c r="L22" s="3">
        <v>3</v>
      </c>
      <c r="M22" s="3">
        <v>2361.58</v>
      </c>
      <c r="N22" s="3">
        <v>5</v>
      </c>
      <c r="O22" s="3">
        <f t="shared" si="0"/>
        <v>6730.5029999999997</v>
      </c>
      <c r="P22" s="3" t="str">
        <f t="shared" si="1"/>
        <v>Low Price</v>
      </c>
      <c r="Q22" s="3" t="str" cm="1">
        <f t="array" ref="Q22">_xlfn.IFS(N22&gt;=10,"High",N22&gt;=5,"Medium",N22&lt;5,"Low")</f>
        <v>Medium</v>
      </c>
      <c r="R22" s="3" t="str">
        <f t="shared" si="2"/>
        <v>Low</v>
      </c>
    </row>
    <row r="23" spans="1:21" x14ac:dyDescent="0.25">
      <c r="A23" s="3">
        <v>10022</v>
      </c>
      <c r="B23" s="3">
        <v>1308</v>
      </c>
      <c r="C23" s="4">
        <v>44944</v>
      </c>
      <c r="D23" s="4">
        <v>44951</v>
      </c>
      <c r="E23" s="3" t="s">
        <v>36</v>
      </c>
      <c r="F23" s="3" t="s">
        <v>22</v>
      </c>
      <c r="G23" s="3" t="s">
        <v>29</v>
      </c>
      <c r="H23" s="3" t="s">
        <v>34</v>
      </c>
      <c r="I23" s="3" t="s">
        <v>56</v>
      </c>
      <c r="J23" s="3" t="s">
        <v>57</v>
      </c>
      <c r="K23" s="3" t="s">
        <v>32</v>
      </c>
      <c r="L23" s="3">
        <v>7</v>
      </c>
      <c r="M23" s="3">
        <v>680.86</v>
      </c>
      <c r="N23" s="3">
        <v>20</v>
      </c>
      <c r="O23" s="3">
        <f t="shared" si="0"/>
        <v>3812.8160000000007</v>
      </c>
      <c r="P23" s="3" t="str">
        <f t="shared" si="1"/>
        <v>Low Price</v>
      </c>
      <c r="Q23" s="3" t="str" cm="1">
        <f t="array" ref="Q23">_xlfn.IFS(N23&gt;=10,"High",N23&gt;=5,"Medium",N23&lt;5,"Low")</f>
        <v>High</v>
      </c>
      <c r="R23" s="3" t="str">
        <f t="shared" si="2"/>
        <v>Medium</v>
      </c>
    </row>
    <row r="24" spans="1:21" x14ac:dyDescent="0.25">
      <c r="A24" s="3">
        <v>10023</v>
      </c>
      <c r="B24" s="3">
        <v>1769</v>
      </c>
      <c r="C24" s="4">
        <v>45075</v>
      </c>
      <c r="D24" s="4">
        <v>45084</v>
      </c>
      <c r="E24" s="3" t="s">
        <v>15</v>
      </c>
      <c r="F24" s="3" t="s">
        <v>22</v>
      </c>
      <c r="G24" s="3" t="s">
        <v>16</v>
      </c>
      <c r="H24" s="3" t="s">
        <v>41</v>
      </c>
      <c r="I24" s="3" t="s">
        <v>30</v>
      </c>
      <c r="J24" s="3" t="s">
        <v>31</v>
      </c>
      <c r="K24" s="3" t="s">
        <v>44</v>
      </c>
      <c r="L24" s="3">
        <v>2</v>
      </c>
      <c r="M24" s="3">
        <v>2801.74</v>
      </c>
      <c r="N24" s="3">
        <v>20</v>
      </c>
      <c r="O24" s="3">
        <f t="shared" si="0"/>
        <v>4482.7839999999997</v>
      </c>
      <c r="P24" s="3" t="str">
        <f t="shared" si="1"/>
        <v>Low Price</v>
      </c>
      <c r="Q24" s="3" t="str" cm="1">
        <f t="array" ref="Q24">_xlfn.IFS(N24&gt;=10,"High",N24&gt;=5,"Medium",N24&lt;5,"Low")</f>
        <v>High</v>
      </c>
      <c r="R24" s="3" t="str">
        <f t="shared" si="2"/>
        <v>Low</v>
      </c>
    </row>
    <row r="25" spans="1:21" x14ac:dyDescent="0.25">
      <c r="A25" s="3">
        <v>10024</v>
      </c>
      <c r="B25" s="3">
        <v>1343</v>
      </c>
      <c r="C25" s="4">
        <v>45075</v>
      </c>
      <c r="D25" s="4">
        <v>45082</v>
      </c>
      <c r="E25" s="3" t="s">
        <v>21</v>
      </c>
      <c r="F25" s="3" t="s">
        <v>40</v>
      </c>
      <c r="G25" s="3" t="s">
        <v>16</v>
      </c>
      <c r="H25" s="3" t="s">
        <v>43</v>
      </c>
      <c r="I25" s="3" t="s">
        <v>48</v>
      </c>
      <c r="J25" s="3" t="s">
        <v>50</v>
      </c>
      <c r="K25" s="3" t="s">
        <v>44</v>
      </c>
      <c r="L25" s="3">
        <v>1</v>
      </c>
      <c r="M25" s="3">
        <v>3606.31</v>
      </c>
      <c r="N25" s="3">
        <v>0</v>
      </c>
      <c r="O25" s="3">
        <f t="shared" si="0"/>
        <v>3606.31</v>
      </c>
      <c r="P25" s="3" t="str">
        <f t="shared" si="1"/>
        <v>Low Price</v>
      </c>
      <c r="Q25" s="3" t="str" cm="1">
        <f t="array" ref="Q25">_xlfn.IFS(N25&gt;=10,"High",N25&gt;=5,"Medium",N25&lt;5,"Low")</f>
        <v>Low</v>
      </c>
      <c r="R25" s="3" t="str">
        <f t="shared" si="2"/>
        <v>Low</v>
      </c>
    </row>
    <row r="26" spans="1:21" x14ac:dyDescent="0.25">
      <c r="A26" s="3">
        <v>10025</v>
      </c>
      <c r="B26" s="3">
        <v>1491</v>
      </c>
      <c r="C26" s="4">
        <v>45052</v>
      </c>
      <c r="D26" s="4">
        <v>45061</v>
      </c>
      <c r="E26" s="3" t="s">
        <v>36</v>
      </c>
      <c r="F26" s="3" t="s">
        <v>37</v>
      </c>
      <c r="G26" s="3" t="s">
        <v>29</v>
      </c>
      <c r="H26" s="3" t="s">
        <v>43</v>
      </c>
      <c r="I26" s="3" t="s">
        <v>56</v>
      </c>
      <c r="J26" s="3" t="s">
        <v>58</v>
      </c>
      <c r="K26" s="3" t="s">
        <v>44</v>
      </c>
      <c r="L26" s="3">
        <v>6</v>
      </c>
      <c r="M26" s="3">
        <v>3018.94</v>
      </c>
      <c r="N26" s="3">
        <v>5</v>
      </c>
      <c r="O26" s="3">
        <f t="shared" si="0"/>
        <v>17207.957999999999</v>
      </c>
      <c r="P26" s="3" t="str">
        <f t="shared" si="1"/>
        <v>High Price</v>
      </c>
      <c r="Q26" s="3" t="str" cm="1">
        <f t="array" ref="Q26">_xlfn.IFS(N26&gt;=10,"High",N26&gt;=5,"Medium",N26&lt;5,"Low")</f>
        <v>Medium</v>
      </c>
      <c r="R26" s="3" t="str">
        <f t="shared" si="2"/>
        <v>Medium</v>
      </c>
    </row>
    <row r="27" spans="1:21" x14ac:dyDescent="0.25">
      <c r="A27" s="3">
        <v>10026</v>
      </c>
      <c r="B27" s="3">
        <v>1413</v>
      </c>
      <c r="C27" s="4">
        <v>45228</v>
      </c>
      <c r="D27" s="4">
        <v>45231</v>
      </c>
      <c r="E27" s="3" t="s">
        <v>33</v>
      </c>
      <c r="F27" s="3" t="s">
        <v>15</v>
      </c>
      <c r="G27" s="3" t="s">
        <v>29</v>
      </c>
      <c r="H27" s="3" t="s">
        <v>41</v>
      </c>
      <c r="I27" s="3" t="s">
        <v>51</v>
      </c>
      <c r="J27" s="3" t="s">
        <v>59</v>
      </c>
      <c r="K27" s="3" t="s">
        <v>32</v>
      </c>
      <c r="L27" s="3">
        <v>9</v>
      </c>
      <c r="M27" s="3">
        <v>444.29</v>
      </c>
      <c r="N27" s="3">
        <v>5</v>
      </c>
      <c r="O27" s="3">
        <f t="shared" si="0"/>
        <v>3798.6794999999997</v>
      </c>
      <c r="P27" s="3" t="str">
        <f t="shared" si="1"/>
        <v>Low Price</v>
      </c>
      <c r="Q27" s="3" t="str" cm="1">
        <f t="array" ref="Q27">_xlfn.IFS(N27&gt;=10,"High",N27&gt;=5,"Medium",N27&lt;5,"Low")</f>
        <v>Medium</v>
      </c>
      <c r="R27" s="3" t="str">
        <f t="shared" si="2"/>
        <v>High</v>
      </c>
    </row>
    <row r="28" spans="1:21" x14ac:dyDescent="0.25">
      <c r="A28" s="3">
        <v>10027</v>
      </c>
      <c r="B28" s="3">
        <v>1805</v>
      </c>
      <c r="C28" s="4">
        <v>45286</v>
      </c>
      <c r="D28" s="4">
        <v>45290</v>
      </c>
      <c r="E28" s="3" t="s">
        <v>36</v>
      </c>
      <c r="F28" s="3" t="s">
        <v>40</v>
      </c>
      <c r="G28" s="3" t="s">
        <v>23</v>
      </c>
      <c r="H28" s="3" t="s">
        <v>34</v>
      </c>
      <c r="I28" s="3" t="s">
        <v>56</v>
      </c>
      <c r="J28" s="3" t="s">
        <v>57</v>
      </c>
      <c r="K28" s="3" t="s">
        <v>20</v>
      </c>
      <c r="L28" s="3">
        <v>3</v>
      </c>
      <c r="M28" s="3">
        <v>3599.15</v>
      </c>
      <c r="N28" s="3">
        <v>5</v>
      </c>
      <c r="O28" s="3">
        <f t="shared" si="0"/>
        <v>10257.577499999999</v>
      </c>
      <c r="P28" s="3" t="str">
        <f t="shared" si="1"/>
        <v>Low Price</v>
      </c>
      <c r="Q28" s="3" t="str" cm="1">
        <f t="array" ref="Q28">_xlfn.IFS(N28&gt;=10,"High",N28&gt;=5,"Medium",N28&lt;5,"Low")</f>
        <v>Medium</v>
      </c>
      <c r="R28" s="3" t="str">
        <f t="shared" si="2"/>
        <v>Low</v>
      </c>
    </row>
    <row r="29" spans="1:21" x14ac:dyDescent="0.25">
      <c r="A29" s="3">
        <v>10028</v>
      </c>
      <c r="B29" s="3">
        <v>1385</v>
      </c>
      <c r="C29" s="4">
        <v>45164</v>
      </c>
      <c r="D29" s="4">
        <v>45172</v>
      </c>
      <c r="E29" s="3" t="s">
        <v>39</v>
      </c>
      <c r="F29" s="3" t="s">
        <v>22</v>
      </c>
      <c r="G29" s="3" t="s">
        <v>23</v>
      </c>
      <c r="H29" s="3" t="s">
        <v>24</v>
      </c>
      <c r="I29" s="3" t="s">
        <v>48</v>
      </c>
      <c r="J29" s="3" t="s">
        <v>50</v>
      </c>
      <c r="K29" s="3" t="s">
        <v>32</v>
      </c>
      <c r="L29" s="3">
        <v>6</v>
      </c>
      <c r="M29" s="3">
        <v>3206.63</v>
      </c>
      <c r="N29" s="3">
        <v>20</v>
      </c>
      <c r="O29" s="3">
        <f t="shared" si="0"/>
        <v>15391.824000000001</v>
      </c>
      <c r="P29" s="3" t="str">
        <f t="shared" si="1"/>
        <v>High Price</v>
      </c>
      <c r="Q29" s="3" t="str" cm="1">
        <f t="array" ref="Q29">_xlfn.IFS(N29&gt;=10,"High",N29&gt;=5,"Medium",N29&lt;5,"Low")</f>
        <v>High</v>
      </c>
      <c r="R29" s="3" t="str">
        <f t="shared" si="2"/>
        <v>Medium</v>
      </c>
    </row>
    <row r="30" spans="1:21" x14ac:dyDescent="0.25">
      <c r="A30" s="3">
        <v>10029</v>
      </c>
      <c r="B30" s="3">
        <v>1191</v>
      </c>
      <c r="C30" s="4">
        <v>45061</v>
      </c>
      <c r="D30" s="4">
        <v>45067</v>
      </c>
      <c r="E30" s="3" t="s">
        <v>45</v>
      </c>
      <c r="F30" s="3" t="s">
        <v>28</v>
      </c>
      <c r="G30" s="3" t="s">
        <v>16</v>
      </c>
      <c r="H30" s="3" t="s">
        <v>17</v>
      </c>
      <c r="I30" s="3" t="s">
        <v>25</v>
      </c>
      <c r="J30" s="3" t="s">
        <v>26</v>
      </c>
      <c r="K30" s="3" t="s">
        <v>32</v>
      </c>
      <c r="L30" s="3">
        <v>3</v>
      </c>
      <c r="M30" s="3">
        <v>759.47</v>
      </c>
      <c r="N30" s="3">
        <v>15</v>
      </c>
      <c r="O30" s="3">
        <f t="shared" si="0"/>
        <v>1936.6484999999998</v>
      </c>
      <c r="P30" s="3" t="str">
        <f t="shared" si="1"/>
        <v>Low Price</v>
      </c>
      <c r="Q30" s="3" t="str" cm="1">
        <f t="array" ref="Q30">_xlfn.IFS(N30&gt;=10,"High",N30&gt;=5,"Medium",N30&lt;5,"Low")</f>
        <v>High</v>
      </c>
      <c r="R30" s="3" t="str">
        <f t="shared" si="2"/>
        <v>Low</v>
      </c>
    </row>
    <row r="31" spans="1:21" x14ac:dyDescent="0.25">
      <c r="A31" s="3">
        <v>10030</v>
      </c>
      <c r="B31" s="3">
        <v>1955</v>
      </c>
      <c r="C31" s="4">
        <v>45077</v>
      </c>
      <c r="D31" s="4">
        <v>45082</v>
      </c>
      <c r="E31" s="3" t="s">
        <v>45</v>
      </c>
      <c r="F31" s="3" t="s">
        <v>22</v>
      </c>
      <c r="G31" s="3" t="s">
        <v>29</v>
      </c>
      <c r="H31" s="3" t="s">
        <v>34</v>
      </c>
      <c r="I31" s="3" t="s">
        <v>25</v>
      </c>
      <c r="J31" s="3" t="s">
        <v>60</v>
      </c>
      <c r="K31" s="3" t="s">
        <v>44</v>
      </c>
      <c r="L31" s="3">
        <v>1</v>
      </c>
      <c r="M31" s="3">
        <v>349.38</v>
      </c>
      <c r="N31" s="3">
        <v>10</v>
      </c>
      <c r="O31" s="3">
        <f t="shared" si="0"/>
        <v>314.44200000000001</v>
      </c>
      <c r="P31" s="3" t="str">
        <f t="shared" si="1"/>
        <v>Low Price</v>
      </c>
      <c r="Q31" s="3" t="str" cm="1">
        <f t="array" ref="Q31">_xlfn.IFS(N31&gt;=10,"High",N31&gt;=5,"Medium",N31&lt;5,"Low")</f>
        <v>High</v>
      </c>
      <c r="R31" s="3" t="str">
        <f t="shared" si="2"/>
        <v>Low</v>
      </c>
    </row>
    <row r="32" spans="1:21" x14ac:dyDescent="0.25">
      <c r="A32" s="3">
        <v>10031</v>
      </c>
      <c r="B32" s="3">
        <v>1276</v>
      </c>
      <c r="C32" s="4">
        <v>45162</v>
      </c>
      <c r="D32" s="4">
        <v>45166</v>
      </c>
      <c r="E32" s="3" t="s">
        <v>14</v>
      </c>
      <c r="F32" s="3" t="s">
        <v>28</v>
      </c>
      <c r="G32" s="3" t="s">
        <v>29</v>
      </c>
      <c r="H32" s="3" t="s">
        <v>41</v>
      </c>
      <c r="I32" s="3" t="s">
        <v>56</v>
      </c>
      <c r="J32" s="3" t="s">
        <v>61</v>
      </c>
      <c r="K32" s="3" t="s">
        <v>46</v>
      </c>
      <c r="L32" s="3">
        <v>5</v>
      </c>
      <c r="M32" s="3">
        <v>2295.65</v>
      </c>
      <c r="N32" s="3">
        <v>20</v>
      </c>
      <c r="O32" s="3">
        <f t="shared" si="0"/>
        <v>9182.6</v>
      </c>
      <c r="P32" s="3" t="str">
        <f t="shared" si="1"/>
        <v>Low Price</v>
      </c>
      <c r="Q32" s="3" t="str" cm="1">
        <f t="array" ref="Q32">_xlfn.IFS(N32&gt;=10,"High",N32&gt;=5,"Medium",N32&lt;5,"Low")</f>
        <v>High</v>
      </c>
      <c r="R32" s="3" t="str">
        <f t="shared" si="2"/>
        <v>Medium</v>
      </c>
    </row>
    <row r="33" spans="1:18" x14ac:dyDescent="0.25">
      <c r="A33" s="3">
        <v>10032</v>
      </c>
      <c r="B33" s="3">
        <v>1160</v>
      </c>
      <c r="C33" s="4">
        <v>45150</v>
      </c>
      <c r="D33" s="4">
        <v>45158</v>
      </c>
      <c r="E33" s="3" t="s">
        <v>14</v>
      </c>
      <c r="F33" s="3" t="s">
        <v>40</v>
      </c>
      <c r="G33" s="3" t="s">
        <v>29</v>
      </c>
      <c r="H33" s="3" t="s">
        <v>17</v>
      </c>
      <c r="I33" s="3" t="s">
        <v>18</v>
      </c>
      <c r="J33" s="3" t="s">
        <v>42</v>
      </c>
      <c r="K33" s="3" t="s">
        <v>20</v>
      </c>
      <c r="L33" s="3">
        <v>4</v>
      </c>
      <c r="M33" s="3">
        <v>750.74</v>
      </c>
      <c r="N33" s="3">
        <v>5</v>
      </c>
      <c r="O33" s="3">
        <f t="shared" si="0"/>
        <v>2852.8119999999999</v>
      </c>
      <c r="P33" s="3" t="str">
        <f t="shared" si="1"/>
        <v>Low Price</v>
      </c>
      <c r="Q33" s="3" t="str" cm="1">
        <f t="array" ref="Q33">_xlfn.IFS(N33&gt;=10,"High",N33&gt;=5,"Medium",N33&lt;5,"Low")</f>
        <v>Medium</v>
      </c>
      <c r="R33" s="3" t="str">
        <f t="shared" si="2"/>
        <v>Low</v>
      </c>
    </row>
    <row r="34" spans="1:18" x14ac:dyDescent="0.25">
      <c r="A34" s="3">
        <v>10033</v>
      </c>
      <c r="B34" s="3">
        <v>1459</v>
      </c>
      <c r="C34" s="4">
        <v>45129</v>
      </c>
      <c r="D34" s="4">
        <v>45130</v>
      </c>
      <c r="E34" s="3" t="s">
        <v>21</v>
      </c>
      <c r="F34" s="3" t="s">
        <v>37</v>
      </c>
      <c r="G34" s="3" t="s">
        <v>16</v>
      </c>
      <c r="H34" s="3" t="s">
        <v>43</v>
      </c>
      <c r="I34" s="3" t="s">
        <v>56</v>
      </c>
      <c r="J34" s="3" t="s">
        <v>58</v>
      </c>
      <c r="K34" s="3" t="s">
        <v>44</v>
      </c>
      <c r="L34" s="3">
        <v>7</v>
      </c>
      <c r="M34" s="3">
        <v>3363.18</v>
      </c>
      <c r="N34" s="3">
        <v>20</v>
      </c>
      <c r="O34" s="3">
        <f t="shared" si="0"/>
        <v>18833.808000000001</v>
      </c>
      <c r="P34" s="3" t="str">
        <f t="shared" si="1"/>
        <v>High Price</v>
      </c>
      <c r="Q34" s="3" t="str" cm="1">
        <f t="array" ref="Q34">_xlfn.IFS(N34&gt;=10,"High",N34&gt;=5,"Medium",N34&lt;5,"Low")</f>
        <v>High</v>
      </c>
      <c r="R34" s="3" t="str">
        <f t="shared" si="2"/>
        <v>Medium</v>
      </c>
    </row>
    <row r="35" spans="1:18" x14ac:dyDescent="0.25">
      <c r="A35" s="3">
        <v>10034</v>
      </c>
      <c r="B35" s="3">
        <v>1313</v>
      </c>
      <c r="C35" s="4">
        <v>45182</v>
      </c>
      <c r="D35" s="4">
        <v>45191</v>
      </c>
      <c r="E35" s="3" t="s">
        <v>33</v>
      </c>
      <c r="F35" s="3" t="s">
        <v>22</v>
      </c>
      <c r="G35" s="3" t="s">
        <v>29</v>
      </c>
      <c r="H35" s="3" t="s">
        <v>24</v>
      </c>
      <c r="I35" s="3" t="s">
        <v>30</v>
      </c>
      <c r="J35" s="3" t="s">
        <v>47</v>
      </c>
      <c r="K35" s="3" t="s">
        <v>46</v>
      </c>
      <c r="L35" s="3">
        <v>6</v>
      </c>
      <c r="M35" s="3">
        <v>1529.59</v>
      </c>
      <c r="N35" s="3">
        <v>0</v>
      </c>
      <c r="O35" s="3">
        <f t="shared" si="0"/>
        <v>9177.5399999999991</v>
      </c>
      <c r="P35" s="3" t="str">
        <f t="shared" si="1"/>
        <v>Low Price</v>
      </c>
      <c r="Q35" s="3" t="str" cm="1">
        <f t="array" ref="Q35">_xlfn.IFS(N35&gt;=10,"High",N35&gt;=5,"Medium",N35&lt;5,"Low")</f>
        <v>Low</v>
      </c>
      <c r="R35" s="3" t="str">
        <f t="shared" si="2"/>
        <v>Medium</v>
      </c>
    </row>
    <row r="36" spans="1:18" x14ac:dyDescent="0.25">
      <c r="A36" s="3">
        <v>10035</v>
      </c>
      <c r="B36" s="3">
        <v>1021</v>
      </c>
      <c r="C36" s="4">
        <v>45012</v>
      </c>
      <c r="D36" s="4">
        <v>45013</v>
      </c>
      <c r="E36" s="3" t="s">
        <v>39</v>
      </c>
      <c r="F36" s="3" t="s">
        <v>28</v>
      </c>
      <c r="G36" s="3" t="s">
        <v>29</v>
      </c>
      <c r="H36" s="3" t="s">
        <v>43</v>
      </c>
      <c r="I36" s="3" t="s">
        <v>30</v>
      </c>
      <c r="J36" s="3" t="s">
        <v>47</v>
      </c>
      <c r="K36" s="3" t="s">
        <v>46</v>
      </c>
      <c r="L36" s="3">
        <v>7</v>
      </c>
      <c r="M36" s="3">
        <v>3664.64</v>
      </c>
      <c r="N36" s="3">
        <v>5</v>
      </c>
      <c r="O36" s="3">
        <f t="shared" si="0"/>
        <v>24369.856</v>
      </c>
      <c r="P36" s="3" t="str">
        <f t="shared" si="1"/>
        <v>High Price</v>
      </c>
      <c r="Q36" s="3" t="str" cm="1">
        <f t="array" ref="Q36">_xlfn.IFS(N36&gt;=10,"High",N36&gt;=5,"Medium",N36&lt;5,"Low")</f>
        <v>Medium</v>
      </c>
      <c r="R36" s="3" t="str">
        <f t="shared" si="2"/>
        <v>Medium</v>
      </c>
    </row>
    <row r="37" spans="1:18" x14ac:dyDescent="0.25">
      <c r="A37" s="3">
        <v>10036</v>
      </c>
      <c r="B37" s="3">
        <v>1252</v>
      </c>
      <c r="C37" s="4">
        <v>45076</v>
      </c>
      <c r="D37" s="4">
        <v>45084</v>
      </c>
      <c r="E37" s="3" t="s">
        <v>15</v>
      </c>
      <c r="F37" s="3" t="s">
        <v>37</v>
      </c>
      <c r="G37" s="3" t="s">
        <v>16</v>
      </c>
      <c r="H37" s="3" t="s">
        <v>41</v>
      </c>
      <c r="I37" s="3" t="s">
        <v>25</v>
      </c>
      <c r="J37" s="3" t="s">
        <v>26</v>
      </c>
      <c r="K37" s="3" t="s">
        <v>27</v>
      </c>
      <c r="L37" s="3">
        <v>5</v>
      </c>
      <c r="M37" s="3">
        <v>2327.9</v>
      </c>
      <c r="N37" s="3">
        <v>0</v>
      </c>
      <c r="O37" s="3">
        <f t="shared" si="0"/>
        <v>11639.5</v>
      </c>
      <c r="P37" s="3" t="str">
        <f t="shared" si="1"/>
        <v>Low Price</v>
      </c>
      <c r="Q37" s="3" t="str" cm="1">
        <f t="array" ref="Q37">_xlfn.IFS(N37&gt;=10,"High",N37&gt;=5,"Medium",N37&lt;5,"Low")</f>
        <v>Low</v>
      </c>
      <c r="R37" s="3" t="str">
        <f t="shared" si="2"/>
        <v>Medium</v>
      </c>
    </row>
    <row r="38" spans="1:18" x14ac:dyDescent="0.25">
      <c r="A38" s="3">
        <v>10037</v>
      </c>
      <c r="B38" s="3">
        <v>1747</v>
      </c>
      <c r="C38" s="4">
        <v>45161</v>
      </c>
      <c r="D38" s="4">
        <v>45165</v>
      </c>
      <c r="E38" s="3" t="s">
        <v>36</v>
      </c>
      <c r="F38" s="3" t="s">
        <v>15</v>
      </c>
      <c r="G38" s="3" t="s">
        <v>23</v>
      </c>
      <c r="H38" s="3" t="s">
        <v>17</v>
      </c>
      <c r="I38" s="3" t="s">
        <v>18</v>
      </c>
      <c r="J38" s="3" t="s">
        <v>54</v>
      </c>
      <c r="K38" s="3" t="s">
        <v>20</v>
      </c>
      <c r="L38" s="3">
        <v>4</v>
      </c>
      <c r="M38" s="3">
        <v>853.29</v>
      </c>
      <c r="N38" s="3">
        <v>5</v>
      </c>
      <c r="O38" s="3">
        <f t="shared" si="0"/>
        <v>3242.5019999999995</v>
      </c>
      <c r="P38" s="3" t="str">
        <f t="shared" si="1"/>
        <v>Low Price</v>
      </c>
      <c r="Q38" s="3" t="str" cm="1">
        <f t="array" ref="Q38">_xlfn.IFS(N38&gt;=10,"High",N38&gt;=5,"Medium",N38&lt;5,"Low")</f>
        <v>Medium</v>
      </c>
      <c r="R38" s="3" t="str">
        <f t="shared" si="2"/>
        <v>Low</v>
      </c>
    </row>
    <row r="39" spans="1:18" x14ac:dyDescent="0.25">
      <c r="A39" s="3">
        <v>10038</v>
      </c>
      <c r="B39" s="3">
        <v>1856</v>
      </c>
      <c r="C39" s="4">
        <v>45271</v>
      </c>
      <c r="D39" s="4">
        <v>45280</v>
      </c>
      <c r="E39" s="3" t="s">
        <v>21</v>
      </c>
      <c r="F39" s="3" t="s">
        <v>28</v>
      </c>
      <c r="G39" s="3" t="s">
        <v>23</v>
      </c>
      <c r="H39" s="3" t="s">
        <v>41</v>
      </c>
      <c r="I39" s="3" t="s">
        <v>48</v>
      </c>
      <c r="J39" s="3" t="s">
        <v>62</v>
      </c>
      <c r="K39" s="3" t="s">
        <v>46</v>
      </c>
      <c r="L39" s="3">
        <v>7</v>
      </c>
      <c r="M39" s="3">
        <v>687.46</v>
      </c>
      <c r="N39" s="3">
        <v>20</v>
      </c>
      <c r="O39" s="3">
        <f t="shared" si="0"/>
        <v>3849.7760000000003</v>
      </c>
      <c r="P39" s="3" t="str">
        <f t="shared" si="1"/>
        <v>Low Price</v>
      </c>
      <c r="Q39" s="3" t="str" cm="1">
        <f t="array" ref="Q39">_xlfn.IFS(N39&gt;=10,"High",N39&gt;=5,"Medium",N39&lt;5,"Low")</f>
        <v>High</v>
      </c>
      <c r="R39" s="3" t="str">
        <f t="shared" si="2"/>
        <v>Medium</v>
      </c>
    </row>
    <row r="40" spans="1:18" x14ac:dyDescent="0.25">
      <c r="A40" s="3">
        <v>10039</v>
      </c>
      <c r="B40" s="3">
        <v>1560</v>
      </c>
      <c r="C40" s="4">
        <v>44948</v>
      </c>
      <c r="D40" s="4">
        <v>44953</v>
      </c>
      <c r="E40" s="3" t="s">
        <v>33</v>
      </c>
      <c r="F40" s="3" t="s">
        <v>40</v>
      </c>
      <c r="G40" s="3" t="s">
        <v>16</v>
      </c>
      <c r="H40" s="3" t="s">
        <v>17</v>
      </c>
      <c r="I40" s="3" t="s">
        <v>30</v>
      </c>
      <c r="J40" s="3" t="s">
        <v>47</v>
      </c>
      <c r="K40" s="3" t="s">
        <v>44</v>
      </c>
      <c r="L40" s="3">
        <v>7</v>
      </c>
      <c r="M40" s="3">
        <v>2369.42</v>
      </c>
      <c r="N40" s="3">
        <v>15</v>
      </c>
      <c r="O40" s="3">
        <f t="shared" si="0"/>
        <v>14098.049000000001</v>
      </c>
      <c r="P40" s="3" t="str">
        <f t="shared" si="1"/>
        <v>Low Price</v>
      </c>
      <c r="Q40" s="3" t="str" cm="1">
        <f t="array" ref="Q40">_xlfn.IFS(N40&gt;=10,"High",N40&gt;=5,"Medium",N40&lt;5,"Low")</f>
        <v>High</v>
      </c>
      <c r="R40" s="3" t="str">
        <f t="shared" si="2"/>
        <v>Medium</v>
      </c>
    </row>
    <row r="41" spans="1:18" x14ac:dyDescent="0.25">
      <c r="A41" s="3">
        <v>10040</v>
      </c>
      <c r="B41" s="3">
        <v>1474</v>
      </c>
      <c r="C41" s="4">
        <v>45274</v>
      </c>
      <c r="D41" s="4">
        <v>45277</v>
      </c>
      <c r="E41" s="3" t="s">
        <v>14</v>
      </c>
      <c r="F41" s="3" t="s">
        <v>15</v>
      </c>
      <c r="G41" s="3" t="s">
        <v>29</v>
      </c>
      <c r="H41" s="3" t="s">
        <v>34</v>
      </c>
      <c r="I41" s="3" t="s">
        <v>25</v>
      </c>
      <c r="J41" s="3" t="s">
        <v>26</v>
      </c>
      <c r="K41" s="3" t="s">
        <v>27</v>
      </c>
      <c r="L41" s="3">
        <v>6</v>
      </c>
      <c r="M41" s="3">
        <v>3083.25</v>
      </c>
      <c r="N41" s="3">
        <v>10</v>
      </c>
      <c r="O41" s="3">
        <f t="shared" si="0"/>
        <v>16649.55</v>
      </c>
      <c r="P41" s="3" t="str">
        <f t="shared" si="1"/>
        <v>High Price</v>
      </c>
      <c r="Q41" s="3" t="str" cm="1">
        <f t="array" ref="Q41">_xlfn.IFS(N41&gt;=10,"High",N41&gt;=5,"Medium",N41&lt;5,"Low")</f>
        <v>High</v>
      </c>
      <c r="R41" s="3" t="str">
        <f t="shared" si="2"/>
        <v>Medium</v>
      </c>
    </row>
    <row r="42" spans="1:18" x14ac:dyDescent="0.25">
      <c r="A42" s="3">
        <v>10041</v>
      </c>
      <c r="B42" s="3">
        <v>1058</v>
      </c>
      <c r="C42" s="4">
        <v>45211</v>
      </c>
      <c r="D42" s="4">
        <v>45220</v>
      </c>
      <c r="E42" s="3" t="s">
        <v>36</v>
      </c>
      <c r="F42" s="3" t="s">
        <v>15</v>
      </c>
      <c r="G42" s="3" t="s">
        <v>16</v>
      </c>
      <c r="H42" s="3" t="s">
        <v>24</v>
      </c>
      <c r="I42" s="3" t="s">
        <v>51</v>
      </c>
      <c r="J42" s="3" t="s">
        <v>63</v>
      </c>
      <c r="K42" s="3" t="s">
        <v>20</v>
      </c>
      <c r="L42" s="3">
        <v>8</v>
      </c>
      <c r="M42" s="3">
        <v>3158.8</v>
      </c>
      <c r="N42" s="3">
        <v>0</v>
      </c>
      <c r="O42" s="3">
        <f t="shared" si="0"/>
        <v>25270.400000000001</v>
      </c>
      <c r="P42" s="3" t="str">
        <f t="shared" si="1"/>
        <v>High Price</v>
      </c>
      <c r="Q42" s="3" t="str" cm="1">
        <f t="array" ref="Q42">_xlfn.IFS(N42&gt;=10,"High",N42&gt;=5,"Medium",N42&lt;5,"Low")</f>
        <v>Low</v>
      </c>
      <c r="R42" s="3" t="str">
        <f t="shared" si="2"/>
        <v>Medium</v>
      </c>
    </row>
    <row r="43" spans="1:18" x14ac:dyDescent="0.25">
      <c r="A43" s="3">
        <v>10042</v>
      </c>
      <c r="B43" s="3">
        <v>1510</v>
      </c>
      <c r="C43" s="4">
        <v>45195</v>
      </c>
      <c r="D43" s="4">
        <v>45204</v>
      </c>
      <c r="E43" s="3" t="s">
        <v>14</v>
      </c>
      <c r="F43" s="3" t="s">
        <v>53</v>
      </c>
      <c r="G43" s="3" t="s">
        <v>23</v>
      </c>
      <c r="H43" s="3" t="s">
        <v>34</v>
      </c>
      <c r="I43" s="3" t="s">
        <v>25</v>
      </c>
      <c r="J43" s="3" t="s">
        <v>26</v>
      </c>
      <c r="K43" s="3" t="s">
        <v>32</v>
      </c>
      <c r="L43" s="3">
        <v>4</v>
      </c>
      <c r="M43" s="3">
        <v>1211.67</v>
      </c>
      <c r="N43" s="3">
        <v>20</v>
      </c>
      <c r="O43" s="3">
        <f t="shared" si="0"/>
        <v>3877.3440000000005</v>
      </c>
      <c r="P43" s="3" t="str">
        <f t="shared" si="1"/>
        <v>Low Price</v>
      </c>
      <c r="Q43" s="3" t="str" cm="1">
        <f t="array" ref="Q43">_xlfn.IFS(N43&gt;=10,"High",N43&gt;=5,"Medium",N43&lt;5,"Low")</f>
        <v>High</v>
      </c>
      <c r="R43" s="3" t="str">
        <f t="shared" si="2"/>
        <v>Low</v>
      </c>
    </row>
    <row r="44" spans="1:18" x14ac:dyDescent="0.25">
      <c r="A44" s="3">
        <v>10043</v>
      </c>
      <c r="B44" s="3">
        <v>1681</v>
      </c>
      <c r="C44" s="4">
        <v>45184</v>
      </c>
      <c r="D44" s="4">
        <v>45188</v>
      </c>
      <c r="E44" s="3" t="s">
        <v>36</v>
      </c>
      <c r="F44" s="3" t="s">
        <v>22</v>
      </c>
      <c r="G44" s="3" t="s">
        <v>23</v>
      </c>
      <c r="H44" s="3" t="s">
        <v>34</v>
      </c>
      <c r="I44" s="3" t="s">
        <v>30</v>
      </c>
      <c r="J44" s="3" t="s">
        <v>47</v>
      </c>
      <c r="K44" s="3" t="s">
        <v>44</v>
      </c>
      <c r="L44" s="3">
        <v>5</v>
      </c>
      <c r="M44" s="3">
        <v>936.35</v>
      </c>
      <c r="N44" s="3">
        <v>15</v>
      </c>
      <c r="O44" s="3">
        <f t="shared" si="0"/>
        <v>3979.4874999999997</v>
      </c>
      <c r="P44" s="3" t="str">
        <f t="shared" si="1"/>
        <v>Low Price</v>
      </c>
      <c r="Q44" s="3" t="str" cm="1">
        <f t="array" ref="Q44">_xlfn.IFS(N44&gt;=10,"High",N44&gt;=5,"Medium",N44&lt;5,"Low")</f>
        <v>High</v>
      </c>
      <c r="R44" s="3" t="str">
        <f t="shared" si="2"/>
        <v>Medium</v>
      </c>
    </row>
    <row r="45" spans="1:18" x14ac:dyDescent="0.25">
      <c r="A45" s="3">
        <v>10044</v>
      </c>
      <c r="B45" s="3">
        <v>1475</v>
      </c>
      <c r="C45" s="4">
        <v>44955</v>
      </c>
      <c r="D45" s="4">
        <v>44959</v>
      </c>
      <c r="E45" s="3" t="s">
        <v>15</v>
      </c>
      <c r="F45" s="3" t="s">
        <v>28</v>
      </c>
      <c r="G45" s="3" t="s">
        <v>16</v>
      </c>
      <c r="H45" s="3" t="s">
        <v>41</v>
      </c>
      <c r="I45" s="3" t="s">
        <v>30</v>
      </c>
      <c r="J45" s="3" t="s">
        <v>47</v>
      </c>
      <c r="K45" s="3" t="s">
        <v>46</v>
      </c>
      <c r="L45" s="3">
        <v>4</v>
      </c>
      <c r="M45" s="3">
        <v>214.51</v>
      </c>
      <c r="N45" s="3">
        <v>20</v>
      </c>
      <c r="O45" s="3">
        <f t="shared" si="0"/>
        <v>686.43200000000002</v>
      </c>
      <c r="P45" s="3" t="str">
        <f t="shared" si="1"/>
        <v>Low Price</v>
      </c>
      <c r="Q45" s="3" t="str" cm="1">
        <f t="array" ref="Q45">_xlfn.IFS(N45&gt;=10,"High",N45&gt;=5,"Medium",N45&lt;5,"Low")</f>
        <v>High</v>
      </c>
      <c r="R45" s="3" t="str">
        <f t="shared" si="2"/>
        <v>Low</v>
      </c>
    </row>
    <row r="46" spans="1:18" x14ac:dyDescent="0.25">
      <c r="A46" s="3">
        <v>10045</v>
      </c>
      <c r="B46" s="3">
        <v>1699</v>
      </c>
      <c r="C46" s="4">
        <v>45139</v>
      </c>
      <c r="D46" s="4">
        <v>45147</v>
      </c>
      <c r="E46" s="3" t="s">
        <v>33</v>
      </c>
      <c r="F46" s="3" t="s">
        <v>15</v>
      </c>
      <c r="G46" s="3" t="s">
        <v>16</v>
      </c>
      <c r="H46" s="3" t="s">
        <v>24</v>
      </c>
      <c r="I46" s="3" t="s">
        <v>25</v>
      </c>
      <c r="J46" s="3" t="s">
        <v>60</v>
      </c>
      <c r="K46" s="3" t="s">
        <v>46</v>
      </c>
      <c r="L46" s="3">
        <v>1</v>
      </c>
      <c r="M46" s="3">
        <v>2764.92</v>
      </c>
      <c r="N46" s="3">
        <v>0</v>
      </c>
      <c r="O46" s="3">
        <f t="shared" si="0"/>
        <v>2764.92</v>
      </c>
      <c r="P46" s="3" t="str">
        <f t="shared" si="1"/>
        <v>Low Price</v>
      </c>
      <c r="Q46" s="3" t="str" cm="1">
        <f t="array" ref="Q46">_xlfn.IFS(N46&gt;=10,"High",N46&gt;=5,"Medium",N46&lt;5,"Low")</f>
        <v>Low</v>
      </c>
      <c r="R46" s="3" t="str">
        <f t="shared" si="2"/>
        <v>Low</v>
      </c>
    </row>
    <row r="47" spans="1:18" x14ac:dyDescent="0.25">
      <c r="A47" s="3">
        <v>10046</v>
      </c>
      <c r="B47" s="3">
        <v>1975</v>
      </c>
      <c r="C47" s="4">
        <v>45209</v>
      </c>
      <c r="D47" s="4">
        <v>45211</v>
      </c>
      <c r="E47" s="3" t="s">
        <v>36</v>
      </c>
      <c r="F47" s="3" t="s">
        <v>53</v>
      </c>
      <c r="G47" s="3" t="s">
        <v>23</v>
      </c>
      <c r="H47" s="3" t="s">
        <v>17</v>
      </c>
      <c r="I47" s="3" t="s">
        <v>48</v>
      </c>
      <c r="J47" s="3" t="s">
        <v>50</v>
      </c>
      <c r="K47" s="3" t="s">
        <v>44</v>
      </c>
      <c r="L47" s="3">
        <v>8</v>
      </c>
      <c r="M47" s="3">
        <v>444.79</v>
      </c>
      <c r="N47" s="3">
        <v>10</v>
      </c>
      <c r="O47" s="3">
        <f t="shared" si="0"/>
        <v>3202.4880000000003</v>
      </c>
      <c r="P47" s="3" t="str">
        <f t="shared" si="1"/>
        <v>Low Price</v>
      </c>
      <c r="Q47" s="3" t="str" cm="1">
        <f t="array" ref="Q47">_xlfn.IFS(N47&gt;=10,"High",N47&gt;=5,"Medium",N47&lt;5,"Low")</f>
        <v>High</v>
      </c>
      <c r="R47" s="3" t="str">
        <f t="shared" si="2"/>
        <v>Medium</v>
      </c>
    </row>
    <row r="48" spans="1:18" x14ac:dyDescent="0.25">
      <c r="A48" s="3">
        <v>10047</v>
      </c>
      <c r="B48" s="3">
        <v>1782</v>
      </c>
      <c r="C48" s="4">
        <v>44976</v>
      </c>
      <c r="D48" s="4">
        <v>44985</v>
      </c>
      <c r="E48" s="3" t="s">
        <v>39</v>
      </c>
      <c r="F48" s="3" t="s">
        <v>40</v>
      </c>
      <c r="G48" s="3" t="s">
        <v>16</v>
      </c>
      <c r="H48" s="3" t="s">
        <v>17</v>
      </c>
      <c r="I48" s="3" t="s">
        <v>56</v>
      </c>
      <c r="J48" s="3" t="s">
        <v>61</v>
      </c>
      <c r="K48" s="3" t="s">
        <v>46</v>
      </c>
      <c r="L48" s="3">
        <v>1</v>
      </c>
      <c r="M48" s="3">
        <v>1769.93</v>
      </c>
      <c r="N48" s="3">
        <v>20</v>
      </c>
      <c r="O48" s="3">
        <f t="shared" si="0"/>
        <v>1415.9440000000002</v>
      </c>
      <c r="P48" s="3" t="str">
        <f t="shared" si="1"/>
        <v>Low Price</v>
      </c>
      <c r="Q48" s="3" t="str" cm="1">
        <f t="array" ref="Q48">_xlfn.IFS(N48&gt;=10,"High",N48&gt;=5,"Medium",N48&lt;5,"Low")</f>
        <v>High</v>
      </c>
      <c r="R48" s="3" t="str">
        <f t="shared" si="2"/>
        <v>Low</v>
      </c>
    </row>
    <row r="49" spans="1:18" x14ac:dyDescent="0.25">
      <c r="A49" s="3">
        <v>10048</v>
      </c>
      <c r="B49" s="3">
        <v>1189</v>
      </c>
      <c r="C49" s="4">
        <v>45021</v>
      </c>
      <c r="D49" s="4">
        <v>45027</v>
      </c>
      <c r="E49" s="3" t="s">
        <v>21</v>
      </c>
      <c r="F49" s="3" t="s">
        <v>37</v>
      </c>
      <c r="G49" s="3" t="s">
        <v>23</v>
      </c>
      <c r="H49" s="3" t="s">
        <v>43</v>
      </c>
      <c r="I49" s="3" t="s">
        <v>30</v>
      </c>
      <c r="J49" s="3" t="s">
        <v>64</v>
      </c>
      <c r="K49" s="3" t="s">
        <v>27</v>
      </c>
      <c r="L49" s="3">
        <v>5</v>
      </c>
      <c r="M49" s="3">
        <v>2466.48</v>
      </c>
      <c r="N49" s="3">
        <v>5</v>
      </c>
      <c r="O49" s="3">
        <f t="shared" si="0"/>
        <v>11715.779999999999</v>
      </c>
      <c r="P49" s="3" t="str">
        <f t="shared" si="1"/>
        <v>Low Price</v>
      </c>
      <c r="Q49" s="3" t="str" cm="1">
        <f t="array" ref="Q49">_xlfn.IFS(N49&gt;=10,"High",N49&gt;=5,"Medium",N49&lt;5,"Low")</f>
        <v>Medium</v>
      </c>
      <c r="R49" s="3" t="str">
        <f t="shared" si="2"/>
        <v>Medium</v>
      </c>
    </row>
    <row r="50" spans="1:18" x14ac:dyDescent="0.25">
      <c r="A50" s="3">
        <v>10049</v>
      </c>
      <c r="B50" s="3">
        <v>1957</v>
      </c>
      <c r="C50" s="4">
        <v>45014</v>
      </c>
      <c r="D50" s="4">
        <v>45023</v>
      </c>
      <c r="E50" s="3" t="s">
        <v>45</v>
      </c>
      <c r="F50" s="3" t="s">
        <v>28</v>
      </c>
      <c r="G50" s="3" t="s">
        <v>16</v>
      </c>
      <c r="H50" s="3" t="s">
        <v>17</v>
      </c>
      <c r="I50" s="3" t="s">
        <v>25</v>
      </c>
      <c r="J50" s="3" t="s">
        <v>26</v>
      </c>
      <c r="K50" s="3" t="s">
        <v>20</v>
      </c>
      <c r="L50" s="3">
        <v>6</v>
      </c>
      <c r="M50" s="3">
        <v>3757.87</v>
      </c>
      <c r="N50" s="3">
        <v>15</v>
      </c>
      <c r="O50" s="3">
        <f t="shared" si="0"/>
        <v>19165.136999999999</v>
      </c>
      <c r="P50" s="3" t="str">
        <f t="shared" si="1"/>
        <v>High Price</v>
      </c>
      <c r="Q50" s="3" t="str" cm="1">
        <f t="array" ref="Q50">_xlfn.IFS(N50&gt;=10,"High",N50&gt;=5,"Medium",N50&lt;5,"Low")</f>
        <v>High</v>
      </c>
      <c r="R50" s="3" t="str">
        <f t="shared" si="2"/>
        <v>Medium</v>
      </c>
    </row>
    <row r="51" spans="1:18" x14ac:dyDescent="0.25">
      <c r="A51" s="3">
        <v>10050</v>
      </c>
      <c r="B51" s="3">
        <v>1686</v>
      </c>
      <c r="C51" s="4">
        <v>44970</v>
      </c>
      <c r="D51" s="4">
        <v>44978</v>
      </c>
      <c r="E51" s="3" t="s">
        <v>39</v>
      </c>
      <c r="F51" s="3" t="s">
        <v>15</v>
      </c>
      <c r="G51" s="3" t="s">
        <v>16</v>
      </c>
      <c r="H51" s="3" t="s">
        <v>41</v>
      </c>
      <c r="I51" s="3" t="s">
        <v>25</v>
      </c>
      <c r="J51" s="3" t="s">
        <v>60</v>
      </c>
      <c r="K51" s="3" t="s">
        <v>27</v>
      </c>
      <c r="L51" s="3">
        <v>6</v>
      </c>
      <c r="M51" s="3">
        <v>1350.44</v>
      </c>
      <c r="N51" s="3">
        <v>20</v>
      </c>
      <c r="O51" s="3">
        <f t="shared" si="0"/>
        <v>6482.112000000001</v>
      </c>
      <c r="P51" s="3" t="str">
        <f t="shared" si="1"/>
        <v>Low Price</v>
      </c>
      <c r="Q51" s="3" t="str" cm="1">
        <f t="array" ref="Q51">_xlfn.IFS(N51&gt;=10,"High",N51&gt;=5,"Medium",N51&lt;5,"Low")</f>
        <v>High</v>
      </c>
      <c r="R51" s="3" t="str">
        <f t="shared" si="2"/>
        <v>Medium</v>
      </c>
    </row>
    <row r="52" spans="1:18" x14ac:dyDescent="0.25">
      <c r="A52" s="3">
        <v>10052</v>
      </c>
      <c r="B52" s="3">
        <v>1562</v>
      </c>
      <c r="C52" s="4">
        <v>45097</v>
      </c>
      <c r="D52" s="4">
        <v>45098</v>
      </c>
      <c r="E52" s="3" t="s">
        <v>21</v>
      </c>
      <c r="F52" s="3" t="s">
        <v>53</v>
      </c>
      <c r="G52" s="3" t="s">
        <v>23</v>
      </c>
      <c r="H52" s="3" t="s">
        <v>34</v>
      </c>
      <c r="I52" s="3" t="s">
        <v>56</v>
      </c>
      <c r="J52" s="3" t="s">
        <v>61</v>
      </c>
      <c r="K52" s="3" t="s">
        <v>32</v>
      </c>
      <c r="L52" s="3">
        <v>3</v>
      </c>
      <c r="M52" s="3">
        <v>2668.52</v>
      </c>
      <c r="N52" s="3">
        <v>5</v>
      </c>
      <c r="O52" s="3">
        <f t="shared" si="0"/>
        <v>7605.2819999999992</v>
      </c>
      <c r="P52" s="3" t="str">
        <f t="shared" si="1"/>
        <v>Low Price</v>
      </c>
      <c r="Q52" s="3" t="str" cm="1">
        <f t="array" ref="Q52">_xlfn.IFS(N52&gt;=10,"High",N52&gt;=5,"Medium",N52&lt;5,"Low")</f>
        <v>Medium</v>
      </c>
      <c r="R52" s="3" t="str">
        <f t="shared" si="2"/>
        <v>Low</v>
      </c>
    </row>
    <row r="53" spans="1:18" x14ac:dyDescent="0.25">
      <c r="A53" s="3">
        <v>10053</v>
      </c>
      <c r="B53" s="3">
        <v>1875</v>
      </c>
      <c r="C53" s="4">
        <v>45115</v>
      </c>
      <c r="D53" s="4">
        <v>45118</v>
      </c>
      <c r="E53" s="3" t="s">
        <v>45</v>
      </c>
      <c r="F53" s="3" t="s">
        <v>15</v>
      </c>
      <c r="G53" s="3" t="s">
        <v>16</v>
      </c>
      <c r="H53" s="3" t="s">
        <v>34</v>
      </c>
      <c r="I53" s="3" t="s">
        <v>51</v>
      </c>
      <c r="J53" s="3" t="s">
        <v>63</v>
      </c>
      <c r="K53" s="3" t="s">
        <v>20</v>
      </c>
      <c r="L53" s="3">
        <v>5</v>
      </c>
      <c r="M53" s="3">
        <v>2534.0700000000002</v>
      </c>
      <c r="N53" s="3">
        <v>10</v>
      </c>
      <c r="O53" s="3">
        <f t="shared" si="0"/>
        <v>11403.315000000001</v>
      </c>
      <c r="P53" s="3" t="str">
        <f t="shared" si="1"/>
        <v>Low Price</v>
      </c>
      <c r="Q53" s="3" t="str" cm="1">
        <f t="array" ref="Q53">_xlfn.IFS(N53&gt;=10,"High",N53&gt;=5,"Medium",N53&lt;5,"Low")</f>
        <v>High</v>
      </c>
      <c r="R53" s="3" t="str">
        <f t="shared" si="2"/>
        <v>Medium</v>
      </c>
    </row>
    <row r="54" spans="1:18" x14ac:dyDescent="0.25">
      <c r="A54" s="3">
        <v>10054</v>
      </c>
      <c r="B54" s="3">
        <v>1566</v>
      </c>
      <c r="C54" s="4">
        <v>45279</v>
      </c>
      <c r="D54" s="4">
        <v>45281</v>
      </c>
      <c r="E54" s="3" t="s">
        <v>39</v>
      </c>
      <c r="F54" s="3" t="s">
        <v>22</v>
      </c>
      <c r="G54" s="3" t="s">
        <v>23</v>
      </c>
      <c r="H54" s="3" t="s">
        <v>24</v>
      </c>
      <c r="I54" s="3" t="s">
        <v>48</v>
      </c>
      <c r="J54" s="3" t="s">
        <v>49</v>
      </c>
      <c r="K54" s="3" t="s">
        <v>20</v>
      </c>
      <c r="L54" s="3">
        <v>8</v>
      </c>
      <c r="M54" s="3">
        <v>1428.62</v>
      </c>
      <c r="N54" s="3">
        <v>10</v>
      </c>
      <c r="O54" s="3">
        <f t="shared" si="0"/>
        <v>10286.064</v>
      </c>
      <c r="P54" s="3" t="str">
        <f t="shared" si="1"/>
        <v>Low Price</v>
      </c>
      <c r="Q54" s="3" t="str" cm="1">
        <f t="array" ref="Q54">_xlfn.IFS(N54&gt;=10,"High",N54&gt;=5,"Medium",N54&lt;5,"Low")</f>
        <v>High</v>
      </c>
      <c r="R54" s="3" t="str">
        <f t="shared" si="2"/>
        <v>Medium</v>
      </c>
    </row>
    <row r="55" spans="1:18" x14ac:dyDescent="0.25">
      <c r="A55" s="3">
        <v>10055</v>
      </c>
      <c r="B55" s="3">
        <v>1243</v>
      </c>
      <c r="C55" s="4">
        <v>45110</v>
      </c>
      <c r="D55" s="4">
        <v>45115</v>
      </c>
      <c r="E55" s="3" t="s">
        <v>36</v>
      </c>
      <c r="F55" s="3" t="s">
        <v>15</v>
      </c>
      <c r="G55" s="3" t="s">
        <v>23</v>
      </c>
      <c r="H55" s="3" t="s">
        <v>17</v>
      </c>
      <c r="I55" s="3" t="s">
        <v>51</v>
      </c>
      <c r="J55" s="3" t="s">
        <v>63</v>
      </c>
      <c r="K55" s="3" t="s">
        <v>44</v>
      </c>
      <c r="L55" s="3">
        <v>2</v>
      </c>
      <c r="M55" s="3">
        <v>3723.19</v>
      </c>
      <c r="N55" s="3">
        <v>5</v>
      </c>
      <c r="O55" s="3">
        <f t="shared" si="0"/>
        <v>7074.0609999999997</v>
      </c>
      <c r="P55" s="3" t="str">
        <f t="shared" si="1"/>
        <v>Low Price</v>
      </c>
      <c r="Q55" s="3" t="str" cm="1">
        <f t="array" ref="Q55">_xlfn.IFS(N55&gt;=10,"High",N55&gt;=5,"Medium",N55&lt;5,"Low")</f>
        <v>Medium</v>
      </c>
      <c r="R55" s="3" t="str">
        <f t="shared" si="2"/>
        <v>Low</v>
      </c>
    </row>
    <row r="56" spans="1:18" x14ac:dyDescent="0.25">
      <c r="A56" s="3">
        <v>10056</v>
      </c>
      <c r="B56" s="3">
        <v>1831</v>
      </c>
      <c r="C56" s="4">
        <v>44929</v>
      </c>
      <c r="D56" s="4">
        <v>44934</v>
      </c>
      <c r="E56" s="3" t="s">
        <v>36</v>
      </c>
      <c r="F56" s="3" t="s">
        <v>28</v>
      </c>
      <c r="G56" s="3" t="s">
        <v>16</v>
      </c>
      <c r="H56" s="3" t="s">
        <v>41</v>
      </c>
      <c r="I56" s="3" t="s">
        <v>56</v>
      </c>
      <c r="J56" s="3" t="s">
        <v>61</v>
      </c>
      <c r="K56" s="3" t="s">
        <v>44</v>
      </c>
      <c r="L56" s="3">
        <v>6</v>
      </c>
      <c r="M56" s="3">
        <v>3402.72</v>
      </c>
      <c r="N56" s="3">
        <v>15</v>
      </c>
      <c r="O56" s="3">
        <f t="shared" si="0"/>
        <v>17353.871999999999</v>
      </c>
      <c r="P56" s="3" t="str">
        <f t="shared" si="1"/>
        <v>High Price</v>
      </c>
      <c r="Q56" s="3" t="str" cm="1">
        <f t="array" ref="Q56">_xlfn.IFS(N56&gt;=10,"High",N56&gt;=5,"Medium",N56&lt;5,"Low")</f>
        <v>High</v>
      </c>
      <c r="R56" s="3" t="str">
        <f t="shared" si="2"/>
        <v>Medium</v>
      </c>
    </row>
    <row r="57" spans="1:18" x14ac:dyDescent="0.25">
      <c r="A57" s="3">
        <v>10057</v>
      </c>
      <c r="B57" s="3">
        <v>1504</v>
      </c>
      <c r="C57" s="4">
        <v>45117</v>
      </c>
      <c r="D57" s="4">
        <v>45122</v>
      </c>
      <c r="E57" s="3" t="s">
        <v>36</v>
      </c>
      <c r="F57" s="3" t="s">
        <v>28</v>
      </c>
      <c r="G57" s="3" t="s">
        <v>16</v>
      </c>
      <c r="H57" s="3" t="s">
        <v>24</v>
      </c>
      <c r="I57" s="3" t="s">
        <v>56</v>
      </c>
      <c r="J57" s="3" t="s">
        <v>57</v>
      </c>
      <c r="K57" s="3" t="s">
        <v>32</v>
      </c>
      <c r="L57" s="3">
        <v>9</v>
      </c>
      <c r="M57" s="3">
        <v>1012.33</v>
      </c>
      <c r="N57" s="3">
        <v>20</v>
      </c>
      <c r="O57" s="3">
        <f t="shared" si="0"/>
        <v>7288.7760000000017</v>
      </c>
      <c r="P57" s="3" t="str">
        <f t="shared" si="1"/>
        <v>Low Price</v>
      </c>
      <c r="Q57" s="3" t="str" cm="1">
        <f t="array" ref="Q57">_xlfn.IFS(N57&gt;=10,"High",N57&gt;=5,"Medium",N57&lt;5,"Low")</f>
        <v>High</v>
      </c>
      <c r="R57" s="3" t="str">
        <f t="shared" si="2"/>
        <v>High</v>
      </c>
    </row>
    <row r="58" spans="1:18" x14ac:dyDescent="0.25">
      <c r="A58" s="3">
        <v>10059</v>
      </c>
      <c r="B58" s="3">
        <v>1484</v>
      </c>
      <c r="C58" s="4">
        <v>44945</v>
      </c>
      <c r="D58" s="4">
        <v>44950</v>
      </c>
      <c r="E58" s="3" t="s">
        <v>39</v>
      </c>
      <c r="F58" s="3" t="s">
        <v>40</v>
      </c>
      <c r="G58" s="3" t="s">
        <v>23</v>
      </c>
      <c r="H58" s="3" t="s">
        <v>41</v>
      </c>
      <c r="I58" s="3" t="s">
        <v>51</v>
      </c>
      <c r="J58" s="3" t="s">
        <v>63</v>
      </c>
      <c r="K58" s="3" t="s">
        <v>32</v>
      </c>
      <c r="L58" s="3">
        <v>8</v>
      </c>
      <c r="M58" s="3">
        <v>2122.36</v>
      </c>
      <c r="N58" s="3">
        <v>0</v>
      </c>
      <c r="O58" s="3">
        <f t="shared" si="0"/>
        <v>16978.88</v>
      </c>
      <c r="P58" s="3" t="str">
        <f t="shared" si="1"/>
        <v>High Price</v>
      </c>
      <c r="Q58" s="3" t="str" cm="1">
        <f t="array" ref="Q58">_xlfn.IFS(N58&gt;=10,"High",N58&gt;=5,"Medium",N58&lt;5,"Low")</f>
        <v>Low</v>
      </c>
      <c r="R58" s="3" t="str">
        <f t="shared" si="2"/>
        <v>Medium</v>
      </c>
    </row>
    <row r="59" spans="1:18" x14ac:dyDescent="0.25">
      <c r="A59" s="3">
        <v>10060</v>
      </c>
      <c r="B59" s="3">
        <v>1818</v>
      </c>
      <c r="C59" s="4">
        <v>44949</v>
      </c>
      <c r="D59" s="4">
        <v>44952</v>
      </c>
      <c r="E59" s="3" t="s">
        <v>45</v>
      </c>
      <c r="F59" s="3" t="s">
        <v>40</v>
      </c>
      <c r="G59" s="3" t="s">
        <v>29</v>
      </c>
      <c r="H59" s="3" t="s">
        <v>41</v>
      </c>
      <c r="I59" s="3" t="s">
        <v>56</v>
      </c>
      <c r="J59" s="3" t="s">
        <v>61</v>
      </c>
      <c r="K59" s="3" t="s">
        <v>44</v>
      </c>
      <c r="L59" s="3">
        <v>8</v>
      </c>
      <c r="M59" s="3">
        <v>3128.25</v>
      </c>
      <c r="N59" s="3">
        <v>15</v>
      </c>
      <c r="O59" s="3">
        <f t="shared" si="0"/>
        <v>21272.1</v>
      </c>
      <c r="P59" s="3" t="str">
        <f t="shared" si="1"/>
        <v>High Price</v>
      </c>
      <c r="Q59" s="3" t="str" cm="1">
        <f t="array" ref="Q59">_xlfn.IFS(N59&gt;=10,"High",N59&gt;=5,"Medium",N59&lt;5,"Low")</f>
        <v>High</v>
      </c>
      <c r="R59" s="3" t="str">
        <f t="shared" si="2"/>
        <v>Medium</v>
      </c>
    </row>
    <row r="60" spans="1:18" x14ac:dyDescent="0.25">
      <c r="A60" s="3">
        <v>10061</v>
      </c>
      <c r="B60" s="3">
        <v>1646</v>
      </c>
      <c r="C60" s="4">
        <v>44956</v>
      </c>
      <c r="D60" s="4">
        <v>44957</v>
      </c>
      <c r="E60" s="3" t="s">
        <v>36</v>
      </c>
      <c r="F60" s="3" t="s">
        <v>53</v>
      </c>
      <c r="G60" s="3" t="s">
        <v>23</v>
      </c>
      <c r="H60" s="3" t="s">
        <v>41</v>
      </c>
      <c r="I60" s="3" t="s">
        <v>25</v>
      </c>
      <c r="J60" s="3" t="s">
        <v>35</v>
      </c>
      <c r="K60" s="3" t="s">
        <v>44</v>
      </c>
      <c r="L60" s="3">
        <v>7</v>
      </c>
      <c r="M60" s="3">
        <v>319.56</v>
      </c>
      <c r="N60" s="3">
        <v>10</v>
      </c>
      <c r="O60" s="3">
        <f t="shared" si="0"/>
        <v>2013.2280000000001</v>
      </c>
      <c r="P60" s="3" t="str">
        <f t="shared" si="1"/>
        <v>Low Price</v>
      </c>
      <c r="Q60" s="3" t="str" cm="1">
        <f t="array" ref="Q60">_xlfn.IFS(N60&gt;=10,"High",N60&gt;=5,"Medium",N60&lt;5,"Low")</f>
        <v>High</v>
      </c>
      <c r="R60" s="3" t="str">
        <f t="shared" si="2"/>
        <v>Medium</v>
      </c>
    </row>
    <row r="61" spans="1:18" x14ac:dyDescent="0.25">
      <c r="A61" s="3">
        <v>10063</v>
      </c>
      <c r="B61" s="3">
        <v>1840</v>
      </c>
      <c r="C61" s="4">
        <v>45034</v>
      </c>
      <c r="D61" s="4">
        <v>45043</v>
      </c>
      <c r="E61" s="3" t="s">
        <v>39</v>
      </c>
      <c r="F61" s="3" t="s">
        <v>22</v>
      </c>
      <c r="G61" s="3" t="s">
        <v>29</v>
      </c>
      <c r="H61" s="3" t="s">
        <v>41</v>
      </c>
      <c r="I61" s="3" t="s">
        <v>56</v>
      </c>
      <c r="J61" s="3" t="s">
        <v>61</v>
      </c>
      <c r="K61" s="3" t="s">
        <v>27</v>
      </c>
      <c r="L61" s="3">
        <v>6</v>
      </c>
      <c r="M61" s="3">
        <v>2645.71</v>
      </c>
      <c r="N61" s="3">
        <v>10</v>
      </c>
      <c r="O61" s="3">
        <f t="shared" si="0"/>
        <v>14286.834000000001</v>
      </c>
      <c r="P61" s="3" t="str">
        <f t="shared" si="1"/>
        <v>Low Price</v>
      </c>
      <c r="Q61" s="3" t="str" cm="1">
        <f t="array" ref="Q61">_xlfn.IFS(N61&gt;=10,"High",N61&gt;=5,"Medium",N61&lt;5,"Low")</f>
        <v>High</v>
      </c>
      <c r="R61" s="3" t="str">
        <f t="shared" si="2"/>
        <v>Medium</v>
      </c>
    </row>
    <row r="62" spans="1:18" x14ac:dyDescent="0.25">
      <c r="A62" s="3">
        <v>10064</v>
      </c>
      <c r="B62" s="3">
        <v>1166</v>
      </c>
      <c r="C62" s="4">
        <v>45207</v>
      </c>
      <c r="D62" s="4">
        <v>45216</v>
      </c>
      <c r="E62" s="3" t="s">
        <v>39</v>
      </c>
      <c r="F62" s="3" t="s">
        <v>15</v>
      </c>
      <c r="G62" s="3" t="s">
        <v>29</v>
      </c>
      <c r="H62" s="3" t="s">
        <v>17</v>
      </c>
      <c r="I62" s="3" t="s">
        <v>25</v>
      </c>
      <c r="J62" s="3" t="s">
        <v>35</v>
      </c>
      <c r="K62" s="3" t="s">
        <v>46</v>
      </c>
      <c r="L62" s="3">
        <v>2</v>
      </c>
      <c r="M62" s="3">
        <v>1041.2</v>
      </c>
      <c r="N62" s="3">
        <v>15</v>
      </c>
      <c r="O62" s="3">
        <f t="shared" si="0"/>
        <v>1770.04</v>
      </c>
      <c r="P62" s="3" t="str">
        <f t="shared" si="1"/>
        <v>Low Price</v>
      </c>
      <c r="Q62" s="3" t="str" cm="1">
        <f t="array" ref="Q62">_xlfn.IFS(N62&gt;=10,"High",N62&gt;=5,"Medium",N62&lt;5,"Low")</f>
        <v>High</v>
      </c>
      <c r="R62" s="3" t="str">
        <f t="shared" si="2"/>
        <v>Low</v>
      </c>
    </row>
    <row r="63" spans="1:18" x14ac:dyDescent="0.25">
      <c r="A63" s="3">
        <v>10065</v>
      </c>
      <c r="B63" s="3">
        <v>1273</v>
      </c>
      <c r="C63" s="4">
        <v>45054</v>
      </c>
      <c r="D63" s="4">
        <v>45058</v>
      </c>
      <c r="E63" s="3" t="s">
        <v>14</v>
      </c>
      <c r="F63" s="3" t="s">
        <v>37</v>
      </c>
      <c r="G63" s="3" t="s">
        <v>16</v>
      </c>
      <c r="H63" s="3" t="s">
        <v>41</v>
      </c>
      <c r="I63" s="3" t="s">
        <v>18</v>
      </c>
      <c r="J63" s="3" t="s">
        <v>42</v>
      </c>
      <c r="K63" s="3" t="s">
        <v>44</v>
      </c>
      <c r="L63" s="3">
        <v>2</v>
      </c>
      <c r="M63" s="3">
        <v>2773.21</v>
      </c>
      <c r="N63" s="3">
        <v>10</v>
      </c>
      <c r="O63" s="3">
        <f t="shared" si="0"/>
        <v>4991.7780000000002</v>
      </c>
      <c r="P63" s="3" t="str">
        <f t="shared" si="1"/>
        <v>Low Price</v>
      </c>
      <c r="Q63" s="3" t="str" cm="1">
        <f t="array" ref="Q63">_xlfn.IFS(N63&gt;=10,"High",N63&gt;=5,"Medium",N63&lt;5,"Low")</f>
        <v>High</v>
      </c>
      <c r="R63" s="3" t="str">
        <f t="shared" si="2"/>
        <v>Low</v>
      </c>
    </row>
    <row r="64" spans="1:18" x14ac:dyDescent="0.25">
      <c r="A64" s="3">
        <v>10066</v>
      </c>
      <c r="B64" s="3">
        <v>1387</v>
      </c>
      <c r="C64" s="4">
        <v>45155</v>
      </c>
      <c r="D64" s="4">
        <v>45158</v>
      </c>
      <c r="E64" s="3" t="s">
        <v>14</v>
      </c>
      <c r="F64" s="3" t="s">
        <v>22</v>
      </c>
      <c r="G64" s="3" t="s">
        <v>16</v>
      </c>
      <c r="H64" s="3" t="s">
        <v>34</v>
      </c>
      <c r="I64" s="3" t="s">
        <v>56</v>
      </c>
      <c r="J64" s="3" t="s">
        <v>66</v>
      </c>
      <c r="K64" s="3" t="s">
        <v>44</v>
      </c>
      <c r="L64" s="3">
        <v>8</v>
      </c>
      <c r="M64" s="3">
        <v>3769.71</v>
      </c>
      <c r="N64" s="3">
        <v>5</v>
      </c>
      <c r="O64" s="3">
        <f t="shared" si="0"/>
        <v>28649.795999999998</v>
      </c>
      <c r="P64" s="3" t="str">
        <f t="shared" si="1"/>
        <v>High Price</v>
      </c>
      <c r="Q64" s="3" t="str" cm="1">
        <f t="array" ref="Q64">_xlfn.IFS(N64&gt;=10,"High",N64&gt;=5,"Medium",N64&lt;5,"Low")</f>
        <v>Medium</v>
      </c>
      <c r="R64" s="3" t="str">
        <f t="shared" si="2"/>
        <v>Medium</v>
      </c>
    </row>
    <row r="65" spans="1:18" x14ac:dyDescent="0.25">
      <c r="A65" s="3">
        <v>10067</v>
      </c>
      <c r="B65" s="3">
        <v>1600</v>
      </c>
      <c r="C65" s="4">
        <v>45037</v>
      </c>
      <c r="D65" s="4">
        <v>45038</v>
      </c>
      <c r="E65" s="3" t="s">
        <v>15</v>
      </c>
      <c r="F65" s="3" t="s">
        <v>40</v>
      </c>
      <c r="G65" s="3" t="s">
        <v>23</v>
      </c>
      <c r="H65" s="3" t="s">
        <v>41</v>
      </c>
      <c r="I65" s="3" t="s">
        <v>51</v>
      </c>
      <c r="J65" s="3" t="s">
        <v>63</v>
      </c>
      <c r="K65" s="3" t="s">
        <v>27</v>
      </c>
      <c r="L65" s="3">
        <v>1</v>
      </c>
      <c r="M65" s="3">
        <v>330.13</v>
      </c>
      <c r="N65" s="3">
        <v>15</v>
      </c>
      <c r="O65" s="3">
        <f t="shared" si="0"/>
        <v>280.6105</v>
      </c>
      <c r="P65" s="3" t="str">
        <f t="shared" si="1"/>
        <v>Low Price</v>
      </c>
      <c r="Q65" s="3" t="str" cm="1">
        <f t="array" ref="Q65">_xlfn.IFS(N65&gt;=10,"High",N65&gt;=5,"Medium",N65&lt;5,"Low")</f>
        <v>High</v>
      </c>
      <c r="R65" s="3" t="str">
        <f t="shared" si="2"/>
        <v>Low</v>
      </c>
    </row>
    <row r="66" spans="1:18" x14ac:dyDescent="0.25">
      <c r="A66" s="3">
        <v>10068</v>
      </c>
      <c r="B66" s="3">
        <v>1315</v>
      </c>
      <c r="C66" s="4">
        <v>45062</v>
      </c>
      <c r="D66" s="4">
        <v>45064</v>
      </c>
      <c r="E66" s="3" t="s">
        <v>33</v>
      </c>
      <c r="F66" s="3" t="s">
        <v>40</v>
      </c>
      <c r="G66" s="3" t="s">
        <v>29</v>
      </c>
      <c r="H66" s="3" t="s">
        <v>43</v>
      </c>
      <c r="I66" s="3" t="s">
        <v>30</v>
      </c>
      <c r="J66" s="3" t="s">
        <v>47</v>
      </c>
      <c r="K66" s="3" t="s">
        <v>27</v>
      </c>
      <c r="L66" s="3">
        <v>6</v>
      </c>
      <c r="M66" s="3">
        <v>1380.66</v>
      </c>
      <c r="N66" s="3">
        <v>0</v>
      </c>
      <c r="O66" s="3">
        <f t="shared" si="0"/>
        <v>8283.9600000000009</v>
      </c>
      <c r="P66" s="3" t="str">
        <f t="shared" si="1"/>
        <v>Low Price</v>
      </c>
      <c r="Q66" s="3" t="str" cm="1">
        <f t="array" ref="Q66">_xlfn.IFS(N66&gt;=10,"High",N66&gt;=5,"Medium",N66&lt;5,"Low")</f>
        <v>Low</v>
      </c>
      <c r="R66" s="3" t="str">
        <f t="shared" si="2"/>
        <v>Medium</v>
      </c>
    </row>
    <row r="67" spans="1:18" x14ac:dyDescent="0.25">
      <c r="A67" s="3">
        <v>10069</v>
      </c>
      <c r="B67" s="3">
        <v>1013</v>
      </c>
      <c r="C67" s="4">
        <v>45288</v>
      </c>
      <c r="D67" s="4">
        <v>45296</v>
      </c>
      <c r="E67" s="3" t="s">
        <v>14</v>
      </c>
      <c r="F67" s="3" t="s">
        <v>22</v>
      </c>
      <c r="G67" s="3" t="s">
        <v>16</v>
      </c>
      <c r="H67" s="3" t="s">
        <v>43</v>
      </c>
      <c r="I67" s="3" t="s">
        <v>56</v>
      </c>
      <c r="J67" s="3" t="s">
        <v>61</v>
      </c>
      <c r="K67" s="3" t="s">
        <v>32</v>
      </c>
      <c r="L67" s="3">
        <v>6</v>
      </c>
      <c r="M67" s="3">
        <v>1836.98</v>
      </c>
      <c r="N67" s="3">
        <v>5</v>
      </c>
      <c r="O67" s="3">
        <f t="shared" ref="O67:O130" si="3">(L67*M67)*(1-N67/100)</f>
        <v>10470.786</v>
      </c>
      <c r="P67" s="3" t="str">
        <f t="shared" ref="P67:P130" si="4">IF(O67&gt;=15000,"High Price","Low Price")</f>
        <v>Low Price</v>
      </c>
      <c r="Q67" s="3" t="str" cm="1">
        <f t="array" ref="Q67">_xlfn.IFS(N67&gt;=10,"High",N67&gt;=5,"Medium",N67&lt;5,"Low")</f>
        <v>Medium</v>
      </c>
      <c r="R67" s="3" t="str">
        <f t="shared" ref="R67:R130" si="5">IF(L67&gt;8,"High",IF(L67&gt;4,"Medium","Low"))</f>
        <v>Medium</v>
      </c>
    </row>
    <row r="68" spans="1:18" x14ac:dyDescent="0.25">
      <c r="A68" s="3">
        <v>10070</v>
      </c>
      <c r="B68" s="3">
        <v>1241</v>
      </c>
      <c r="C68" s="4">
        <v>45112</v>
      </c>
      <c r="D68" s="4">
        <v>45113</v>
      </c>
      <c r="E68" s="3" t="s">
        <v>45</v>
      </c>
      <c r="F68" s="3" t="s">
        <v>40</v>
      </c>
      <c r="G68" s="3" t="s">
        <v>16</v>
      </c>
      <c r="H68" s="3" t="s">
        <v>34</v>
      </c>
      <c r="I68" s="3" t="s">
        <v>30</v>
      </c>
      <c r="J68" s="3" t="s">
        <v>38</v>
      </c>
      <c r="K68" s="3" t="s">
        <v>32</v>
      </c>
      <c r="L68" s="3">
        <v>4</v>
      </c>
      <c r="M68" s="3">
        <v>3612.15</v>
      </c>
      <c r="N68" s="3">
        <v>20</v>
      </c>
      <c r="O68" s="3">
        <f t="shared" si="3"/>
        <v>11558.880000000001</v>
      </c>
      <c r="P68" s="3" t="str">
        <f t="shared" si="4"/>
        <v>Low Price</v>
      </c>
      <c r="Q68" s="3" t="str" cm="1">
        <f t="array" ref="Q68">_xlfn.IFS(N68&gt;=10,"High",N68&gt;=5,"Medium",N68&lt;5,"Low")</f>
        <v>High</v>
      </c>
      <c r="R68" s="3" t="str">
        <f t="shared" si="5"/>
        <v>Low</v>
      </c>
    </row>
    <row r="69" spans="1:18" x14ac:dyDescent="0.25">
      <c r="A69" s="3">
        <v>10071</v>
      </c>
      <c r="B69" s="3">
        <v>1776</v>
      </c>
      <c r="C69" s="4">
        <v>45070</v>
      </c>
      <c r="D69" s="4">
        <v>45078</v>
      </c>
      <c r="E69" s="3" t="s">
        <v>14</v>
      </c>
      <c r="F69" s="3" t="s">
        <v>28</v>
      </c>
      <c r="G69" s="3" t="s">
        <v>16</v>
      </c>
      <c r="H69" s="3" t="s">
        <v>17</v>
      </c>
      <c r="I69" s="3" t="s">
        <v>25</v>
      </c>
      <c r="J69" s="3" t="s">
        <v>60</v>
      </c>
      <c r="K69" s="3" t="s">
        <v>46</v>
      </c>
      <c r="L69" s="3">
        <v>3</v>
      </c>
      <c r="M69" s="3">
        <v>3854.71</v>
      </c>
      <c r="N69" s="3">
        <v>5</v>
      </c>
      <c r="O69" s="3">
        <f t="shared" si="3"/>
        <v>10985.923500000001</v>
      </c>
      <c r="P69" s="3" t="str">
        <f t="shared" si="4"/>
        <v>Low Price</v>
      </c>
      <c r="Q69" s="3" t="str" cm="1">
        <f t="array" ref="Q69">_xlfn.IFS(N69&gt;=10,"High",N69&gt;=5,"Medium",N69&lt;5,"Low")</f>
        <v>Medium</v>
      </c>
      <c r="R69" s="3" t="str">
        <f t="shared" si="5"/>
        <v>Low</v>
      </c>
    </row>
    <row r="70" spans="1:18" x14ac:dyDescent="0.25">
      <c r="A70" s="3">
        <v>10072</v>
      </c>
      <c r="B70" s="3">
        <v>1345</v>
      </c>
      <c r="C70" s="4">
        <v>44998</v>
      </c>
      <c r="D70" s="4">
        <v>45005</v>
      </c>
      <c r="E70" s="3" t="s">
        <v>15</v>
      </c>
      <c r="F70" s="3" t="s">
        <v>53</v>
      </c>
      <c r="G70" s="3" t="s">
        <v>16</v>
      </c>
      <c r="H70" s="3" t="s">
        <v>17</v>
      </c>
      <c r="I70" s="3" t="s">
        <v>18</v>
      </c>
      <c r="J70" s="3" t="s">
        <v>54</v>
      </c>
      <c r="K70" s="3" t="s">
        <v>46</v>
      </c>
      <c r="L70" s="3">
        <v>3</v>
      </c>
      <c r="M70" s="3">
        <v>1859.84</v>
      </c>
      <c r="N70" s="3">
        <v>15</v>
      </c>
      <c r="O70" s="3">
        <f t="shared" si="3"/>
        <v>4742.5919999999996</v>
      </c>
      <c r="P70" s="3" t="str">
        <f t="shared" si="4"/>
        <v>Low Price</v>
      </c>
      <c r="Q70" s="3" t="str" cm="1">
        <f t="array" ref="Q70">_xlfn.IFS(N70&gt;=10,"High",N70&gt;=5,"Medium",N70&lt;5,"Low")</f>
        <v>High</v>
      </c>
      <c r="R70" s="3" t="str">
        <f t="shared" si="5"/>
        <v>Low</v>
      </c>
    </row>
    <row r="71" spans="1:18" x14ac:dyDescent="0.25">
      <c r="A71" s="3">
        <v>10073</v>
      </c>
      <c r="B71" s="3">
        <v>1564</v>
      </c>
      <c r="C71" s="4">
        <v>45055</v>
      </c>
      <c r="D71" s="4">
        <v>45063</v>
      </c>
      <c r="E71" s="3" t="s">
        <v>39</v>
      </c>
      <c r="F71" s="3" t="s">
        <v>15</v>
      </c>
      <c r="G71" s="3" t="s">
        <v>16</v>
      </c>
      <c r="H71" s="3" t="s">
        <v>24</v>
      </c>
      <c r="I71" s="3" t="s">
        <v>48</v>
      </c>
      <c r="J71" s="3" t="s">
        <v>67</v>
      </c>
      <c r="K71" s="3" t="s">
        <v>20</v>
      </c>
      <c r="L71" s="3">
        <v>1</v>
      </c>
      <c r="M71" s="3">
        <v>3037.61</v>
      </c>
      <c r="N71" s="3">
        <v>5</v>
      </c>
      <c r="O71" s="3">
        <f t="shared" si="3"/>
        <v>2885.7294999999999</v>
      </c>
      <c r="P71" s="3" t="str">
        <f t="shared" si="4"/>
        <v>Low Price</v>
      </c>
      <c r="Q71" s="3" t="str" cm="1">
        <f t="array" ref="Q71">_xlfn.IFS(N71&gt;=10,"High",N71&gt;=5,"Medium",N71&lt;5,"Low")</f>
        <v>Medium</v>
      </c>
      <c r="R71" s="3" t="str">
        <f t="shared" si="5"/>
        <v>Low</v>
      </c>
    </row>
    <row r="72" spans="1:18" x14ac:dyDescent="0.25">
      <c r="A72" s="3">
        <v>10074</v>
      </c>
      <c r="B72" s="3">
        <v>1897</v>
      </c>
      <c r="C72" s="4">
        <v>45290</v>
      </c>
      <c r="D72" s="4">
        <v>45296</v>
      </c>
      <c r="E72" s="3" t="s">
        <v>15</v>
      </c>
      <c r="F72" s="3" t="s">
        <v>53</v>
      </c>
      <c r="G72" s="3" t="s">
        <v>29</v>
      </c>
      <c r="H72" s="3" t="s">
        <v>34</v>
      </c>
      <c r="I72" s="3" t="s">
        <v>18</v>
      </c>
      <c r="J72" s="3" t="s">
        <v>42</v>
      </c>
      <c r="K72" s="3" t="s">
        <v>32</v>
      </c>
      <c r="L72" s="3">
        <v>3</v>
      </c>
      <c r="M72" s="3">
        <v>2196.89</v>
      </c>
      <c r="N72" s="3">
        <v>0</v>
      </c>
      <c r="O72" s="3">
        <f t="shared" si="3"/>
        <v>6590.67</v>
      </c>
      <c r="P72" s="3" t="str">
        <f t="shared" si="4"/>
        <v>Low Price</v>
      </c>
      <c r="Q72" s="3" t="str" cm="1">
        <f t="array" ref="Q72">_xlfn.IFS(N72&gt;=10,"High",N72&gt;=5,"Medium",N72&lt;5,"Low")</f>
        <v>Low</v>
      </c>
      <c r="R72" s="3" t="str">
        <f t="shared" si="5"/>
        <v>Low</v>
      </c>
    </row>
    <row r="73" spans="1:18" x14ac:dyDescent="0.25">
      <c r="A73" s="3">
        <v>10075</v>
      </c>
      <c r="B73" s="3">
        <v>1339</v>
      </c>
      <c r="C73" s="4">
        <v>45187</v>
      </c>
      <c r="D73" s="4">
        <v>45196</v>
      </c>
      <c r="E73" s="3" t="s">
        <v>39</v>
      </c>
      <c r="F73" s="3" t="s">
        <v>15</v>
      </c>
      <c r="G73" s="3" t="s">
        <v>29</v>
      </c>
      <c r="H73" s="3" t="s">
        <v>41</v>
      </c>
      <c r="I73" s="3" t="s">
        <v>56</v>
      </c>
      <c r="J73" s="3" t="s">
        <v>57</v>
      </c>
      <c r="K73" s="3" t="s">
        <v>44</v>
      </c>
      <c r="L73" s="3">
        <v>4</v>
      </c>
      <c r="M73" s="3">
        <v>2220.46</v>
      </c>
      <c r="N73" s="3">
        <v>0</v>
      </c>
      <c r="O73" s="3">
        <f t="shared" si="3"/>
        <v>8881.84</v>
      </c>
      <c r="P73" s="3" t="str">
        <f t="shared" si="4"/>
        <v>Low Price</v>
      </c>
      <c r="Q73" s="3" t="str" cm="1">
        <f t="array" ref="Q73">_xlfn.IFS(N73&gt;=10,"High",N73&gt;=5,"Medium",N73&lt;5,"Low")</f>
        <v>Low</v>
      </c>
      <c r="R73" s="3" t="str">
        <f t="shared" si="5"/>
        <v>Low</v>
      </c>
    </row>
    <row r="74" spans="1:18" x14ac:dyDescent="0.25">
      <c r="A74" s="3">
        <v>10076</v>
      </c>
      <c r="B74" s="3">
        <v>1091</v>
      </c>
      <c r="C74" s="4">
        <v>44929</v>
      </c>
      <c r="D74" s="4">
        <v>44932</v>
      </c>
      <c r="E74" s="3" t="s">
        <v>21</v>
      </c>
      <c r="F74" s="3" t="s">
        <v>15</v>
      </c>
      <c r="G74" s="3" t="s">
        <v>29</v>
      </c>
      <c r="H74" s="3" t="s">
        <v>34</v>
      </c>
      <c r="I74" s="3" t="s">
        <v>30</v>
      </c>
      <c r="J74" s="3" t="s">
        <v>38</v>
      </c>
      <c r="K74" s="3" t="s">
        <v>32</v>
      </c>
      <c r="L74" s="3">
        <v>5</v>
      </c>
      <c r="M74" s="3">
        <v>1220.68</v>
      </c>
      <c r="N74" s="3">
        <v>20</v>
      </c>
      <c r="O74" s="3">
        <f t="shared" si="3"/>
        <v>4882.72</v>
      </c>
      <c r="P74" s="3" t="str">
        <f t="shared" si="4"/>
        <v>Low Price</v>
      </c>
      <c r="Q74" s="3" t="str" cm="1">
        <f t="array" ref="Q74">_xlfn.IFS(N74&gt;=10,"High",N74&gt;=5,"Medium",N74&lt;5,"Low")</f>
        <v>High</v>
      </c>
      <c r="R74" s="3" t="str">
        <f t="shared" si="5"/>
        <v>Medium</v>
      </c>
    </row>
    <row r="75" spans="1:18" x14ac:dyDescent="0.25">
      <c r="A75" s="3">
        <v>10077</v>
      </c>
      <c r="B75" s="3">
        <v>1366</v>
      </c>
      <c r="C75" s="4">
        <v>45030</v>
      </c>
      <c r="D75" s="4">
        <v>45034</v>
      </c>
      <c r="E75" s="3" t="s">
        <v>21</v>
      </c>
      <c r="F75" s="3" t="s">
        <v>53</v>
      </c>
      <c r="G75" s="3" t="s">
        <v>29</v>
      </c>
      <c r="H75" s="3" t="s">
        <v>24</v>
      </c>
      <c r="I75" s="3" t="s">
        <v>30</v>
      </c>
      <c r="J75" s="3" t="s">
        <v>31</v>
      </c>
      <c r="K75" s="3" t="s">
        <v>44</v>
      </c>
      <c r="L75" s="3">
        <v>3</v>
      </c>
      <c r="M75" s="3">
        <v>985.28</v>
      </c>
      <c r="N75" s="3">
        <v>10</v>
      </c>
      <c r="O75" s="3">
        <f t="shared" si="3"/>
        <v>2660.2560000000003</v>
      </c>
      <c r="P75" s="3" t="str">
        <f t="shared" si="4"/>
        <v>Low Price</v>
      </c>
      <c r="Q75" s="3" t="str" cm="1">
        <f t="array" ref="Q75">_xlfn.IFS(N75&gt;=10,"High",N75&gt;=5,"Medium",N75&lt;5,"Low")</f>
        <v>High</v>
      </c>
      <c r="R75" s="3" t="str">
        <f t="shared" si="5"/>
        <v>Low</v>
      </c>
    </row>
    <row r="76" spans="1:18" x14ac:dyDescent="0.25">
      <c r="A76" s="3">
        <v>10079</v>
      </c>
      <c r="B76" s="3">
        <v>1454</v>
      </c>
      <c r="C76" s="4">
        <v>45246</v>
      </c>
      <c r="D76" s="4">
        <v>45254</v>
      </c>
      <c r="E76" s="3" t="s">
        <v>33</v>
      </c>
      <c r="F76" s="3" t="s">
        <v>15</v>
      </c>
      <c r="G76" s="3" t="s">
        <v>29</v>
      </c>
      <c r="H76" s="3" t="s">
        <v>34</v>
      </c>
      <c r="I76" s="3" t="s">
        <v>30</v>
      </c>
      <c r="J76" s="3" t="s">
        <v>31</v>
      </c>
      <c r="K76" s="3" t="s">
        <v>32</v>
      </c>
      <c r="L76" s="3">
        <v>5</v>
      </c>
      <c r="M76" s="3">
        <v>2291.86</v>
      </c>
      <c r="N76" s="3">
        <v>15</v>
      </c>
      <c r="O76" s="3">
        <f t="shared" si="3"/>
        <v>9740.4050000000007</v>
      </c>
      <c r="P76" s="3" t="str">
        <f t="shared" si="4"/>
        <v>Low Price</v>
      </c>
      <c r="Q76" s="3" t="str" cm="1">
        <f t="array" ref="Q76">_xlfn.IFS(N76&gt;=10,"High",N76&gt;=5,"Medium",N76&lt;5,"Low")</f>
        <v>High</v>
      </c>
      <c r="R76" s="3" t="str">
        <f t="shared" si="5"/>
        <v>Medium</v>
      </c>
    </row>
    <row r="77" spans="1:18" x14ac:dyDescent="0.25">
      <c r="A77" s="3">
        <v>10080</v>
      </c>
      <c r="B77" s="3">
        <v>1427</v>
      </c>
      <c r="C77" s="4">
        <v>45288</v>
      </c>
      <c r="D77" s="4">
        <v>45293</v>
      </c>
      <c r="E77" s="3" t="s">
        <v>14</v>
      </c>
      <c r="F77" s="3" t="s">
        <v>53</v>
      </c>
      <c r="G77" s="3" t="s">
        <v>16</v>
      </c>
      <c r="H77" s="3" t="s">
        <v>24</v>
      </c>
      <c r="I77" s="3" t="s">
        <v>51</v>
      </c>
      <c r="J77" s="3" t="s">
        <v>55</v>
      </c>
      <c r="K77" s="3" t="s">
        <v>27</v>
      </c>
      <c r="L77" s="3">
        <v>3</v>
      </c>
      <c r="M77" s="3">
        <v>262.25</v>
      </c>
      <c r="N77" s="3">
        <v>10</v>
      </c>
      <c r="O77" s="3">
        <f t="shared" si="3"/>
        <v>708.07500000000005</v>
      </c>
      <c r="P77" s="3" t="str">
        <f t="shared" si="4"/>
        <v>Low Price</v>
      </c>
      <c r="Q77" s="3" t="str" cm="1">
        <f t="array" ref="Q77">_xlfn.IFS(N77&gt;=10,"High",N77&gt;=5,"Medium",N77&lt;5,"Low")</f>
        <v>High</v>
      </c>
      <c r="R77" s="3" t="str">
        <f t="shared" si="5"/>
        <v>Low</v>
      </c>
    </row>
    <row r="78" spans="1:18" x14ac:dyDescent="0.25">
      <c r="A78" s="3">
        <v>10081</v>
      </c>
      <c r="B78" s="3">
        <v>1508</v>
      </c>
      <c r="C78" s="4">
        <v>45280</v>
      </c>
      <c r="D78" s="4">
        <v>45283</v>
      </c>
      <c r="E78" s="3" t="s">
        <v>45</v>
      </c>
      <c r="F78" s="3" t="s">
        <v>15</v>
      </c>
      <c r="G78" s="3" t="s">
        <v>29</v>
      </c>
      <c r="H78" s="3" t="s">
        <v>17</v>
      </c>
      <c r="I78" s="3" t="s">
        <v>25</v>
      </c>
      <c r="J78" s="3" t="s">
        <v>26</v>
      </c>
      <c r="K78" s="3" t="s">
        <v>46</v>
      </c>
      <c r="L78" s="3">
        <v>6</v>
      </c>
      <c r="M78" s="3">
        <v>3642.91</v>
      </c>
      <c r="N78" s="3">
        <v>0</v>
      </c>
      <c r="O78" s="3">
        <f t="shared" si="3"/>
        <v>21857.46</v>
      </c>
      <c r="P78" s="3" t="str">
        <f t="shared" si="4"/>
        <v>High Price</v>
      </c>
      <c r="Q78" s="3" t="str" cm="1">
        <f t="array" ref="Q78">_xlfn.IFS(N78&gt;=10,"High",N78&gt;=5,"Medium",N78&lt;5,"Low")</f>
        <v>Low</v>
      </c>
      <c r="R78" s="3" t="str">
        <f t="shared" si="5"/>
        <v>Medium</v>
      </c>
    </row>
    <row r="79" spans="1:18" x14ac:dyDescent="0.25">
      <c r="A79" s="3">
        <v>10082</v>
      </c>
      <c r="B79" s="3">
        <v>1775</v>
      </c>
      <c r="C79" s="4">
        <v>44936</v>
      </c>
      <c r="D79" s="4">
        <v>44942</v>
      </c>
      <c r="E79" s="3" t="s">
        <v>45</v>
      </c>
      <c r="F79" s="3" t="s">
        <v>37</v>
      </c>
      <c r="G79" s="3" t="s">
        <v>23</v>
      </c>
      <c r="H79" s="3" t="s">
        <v>41</v>
      </c>
      <c r="I79" s="3" t="s">
        <v>48</v>
      </c>
      <c r="J79" s="3" t="s">
        <v>62</v>
      </c>
      <c r="K79" s="3" t="s">
        <v>46</v>
      </c>
      <c r="L79" s="3">
        <v>6</v>
      </c>
      <c r="M79" s="3">
        <v>751.69</v>
      </c>
      <c r="N79" s="3">
        <v>0</v>
      </c>
      <c r="O79" s="3">
        <f t="shared" si="3"/>
        <v>4510.1400000000003</v>
      </c>
      <c r="P79" s="3" t="str">
        <f t="shared" si="4"/>
        <v>Low Price</v>
      </c>
      <c r="Q79" s="3" t="str" cm="1">
        <f t="array" ref="Q79">_xlfn.IFS(N79&gt;=10,"High",N79&gt;=5,"Medium",N79&lt;5,"Low")</f>
        <v>Low</v>
      </c>
      <c r="R79" s="3" t="str">
        <f t="shared" si="5"/>
        <v>Medium</v>
      </c>
    </row>
    <row r="80" spans="1:18" x14ac:dyDescent="0.25">
      <c r="A80" s="3">
        <v>10083</v>
      </c>
      <c r="B80" s="3">
        <v>1942</v>
      </c>
      <c r="C80" s="4">
        <v>45228</v>
      </c>
      <c r="D80" s="4">
        <v>45232</v>
      </c>
      <c r="E80" s="3" t="s">
        <v>36</v>
      </c>
      <c r="F80" s="3" t="s">
        <v>22</v>
      </c>
      <c r="G80" s="3" t="s">
        <v>16</v>
      </c>
      <c r="H80" s="3" t="s">
        <v>24</v>
      </c>
      <c r="I80" s="3" t="s">
        <v>56</v>
      </c>
      <c r="J80" s="3" t="s">
        <v>61</v>
      </c>
      <c r="K80" s="3" t="s">
        <v>20</v>
      </c>
      <c r="L80" s="3">
        <v>8</v>
      </c>
      <c r="M80" s="3">
        <v>997.34</v>
      </c>
      <c r="N80" s="3">
        <v>5</v>
      </c>
      <c r="O80" s="3">
        <f t="shared" si="3"/>
        <v>7579.7839999999997</v>
      </c>
      <c r="P80" s="3" t="str">
        <f t="shared" si="4"/>
        <v>Low Price</v>
      </c>
      <c r="Q80" s="3" t="str" cm="1">
        <f t="array" ref="Q80">_xlfn.IFS(N80&gt;=10,"High",N80&gt;=5,"Medium",N80&lt;5,"Low")</f>
        <v>Medium</v>
      </c>
      <c r="R80" s="3" t="str">
        <f t="shared" si="5"/>
        <v>Medium</v>
      </c>
    </row>
    <row r="81" spans="1:18" x14ac:dyDescent="0.25">
      <c r="A81" s="3">
        <v>10084</v>
      </c>
      <c r="B81" s="3">
        <v>1034</v>
      </c>
      <c r="C81" s="4">
        <v>45157</v>
      </c>
      <c r="D81" s="4">
        <v>45166</v>
      </c>
      <c r="E81" s="3" t="s">
        <v>39</v>
      </c>
      <c r="F81" s="3" t="s">
        <v>28</v>
      </c>
      <c r="G81" s="3" t="s">
        <v>29</v>
      </c>
      <c r="H81" s="3" t="s">
        <v>43</v>
      </c>
      <c r="I81" s="3" t="s">
        <v>51</v>
      </c>
      <c r="J81" s="3" t="s">
        <v>55</v>
      </c>
      <c r="K81" s="3" t="s">
        <v>32</v>
      </c>
      <c r="L81" s="3">
        <v>2</v>
      </c>
      <c r="M81" s="3">
        <v>2145.36</v>
      </c>
      <c r="N81" s="3">
        <v>20</v>
      </c>
      <c r="O81" s="3">
        <f t="shared" si="3"/>
        <v>3432.5760000000005</v>
      </c>
      <c r="P81" s="3" t="str">
        <f t="shared" si="4"/>
        <v>Low Price</v>
      </c>
      <c r="Q81" s="3" t="str" cm="1">
        <f t="array" ref="Q81">_xlfn.IFS(N81&gt;=10,"High",N81&gt;=5,"Medium",N81&lt;5,"Low")</f>
        <v>High</v>
      </c>
      <c r="R81" s="3" t="str">
        <f t="shared" si="5"/>
        <v>Low</v>
      </c>
    </row>
    <row r="82" spans="1:18" x14ac:dyDescent="0.25">
      <c r="A82" s="3">
        <v>10085</v>
      </c>
      <c r="B82" s="3">
        <v>1205</v>
      </c>
      <c r="C82" s="4">
        <v>45145</v>
      </c>
      <c r="D82" s="4">
        <v>45148</v>
      </c>
      <c r="E82" s="3" t="s">
        <v>45</v>
      </c>
      <c r="F82" s="3" t="s">
        <v>15</v>
      </c>
      <c r="G82" s="3" t="s">
        <v>29</v>
      </c>
      <c r="H82" s="3" t="s">
        <v>17</v>
      </c>
      <c r="I82" s="3" t="s">
        <v>48</v>
      </c>
      <c r="J82" s="3" t="s">
        <v>49</v>
      </c>
      <c r="K82" s="3" t="s">
        <v>27</v>
      </c>
      <c r="L82" s="3">
        <v>1</v>
      </c>
      <c r="M82" s="3">
        <v>2883.94</v>
      </c>
      <c r="N82" s="3">
        <v>20</v>
      </c>
      <c r="O82" s="3">
        <f t="shared" si="3"/>
        <v>2307.152</v>
      </c>
      <c r="P82" s="3" t="str">
        <f t="shared" si="4"/>
        <v>Low Price</v>
      </c>
      <c r="Q82" s="3" t="str" cm="1">
        <f t="array" ref="Q82">_xlfn.IFS(N82&gt;=10,"High",N82&gt;=5,"Medium",N82&lt;5,"Low")</f>
        <v>High</v>
      </c>
      <c r="R82" s="3" t="str">
        <f t="shared" si="5"/>
        <v>Low</v>
      </c>
    </row>
    <row r="83" spans="1:18" x14ac:dyDescent="0.25">
      <c r="A83" s="3">
        <v>10086</v>
      </c>
      <c r="B83" s="3">
        <v>1080</v>
      </c>
      <c r="C83" s="4">
        <v>44992</v>
      </c>
      <c r="D83" s="4">
        <v>44996</v>
      </c>
      <c r="E83" s="3" t="s">
        <v>33</v>
      </c>
      <c r="F83" s="3" t="s">
        <v>37</v>
      </c>
      <c r="G83" s="3" t="s">
        <v>29</v>
      </c>
      <c r="H83" s="3" t="s">
        <v>43</v>
      </c>
      <c r="I83" s="3" t="s">
        <v>30</v>
      </c>
      <c r="J83" s="3" t="s">
        <v>64</v>
      </c>
      <c r="K83" s="3" t="s">
        <v>44</v>
      </c>
      <c r="L83" s="3">
        <v>4</v>
      </c>
      <c r="M83" s="3">
        <v>518.55999999999995</v>
      </c>
      <c r="N83" s="3">
        <v>20</v>
      </c>
      <c r="O83" s="3">
        <f t="shared" si="3"/>
        <v>1659.3919999999998</v>
      </c>
      <c r="P83" s="3" t="str">
        <f t="shared" si="4"/>
        <v>Low Price</v>
      </c>
      <c r="Q83" s="3" t="str" cm="1">
        <f t="array" ref="Q83">_xlfn.IFS(N83&gt;=10,"High",N83&gt;=5,"Medium",N83&lt;5,"Low")</f>
        <v>High</v>
      </c>
      <c r="R83" s="3" t="str">
        <f t="shared" si="5"/>
        <v>Low</v>
      </c>
    </row>
    <row r="84" spans="1:18" x14ac:dyDescent="0.25">
      <c r="A84" s="3">
        <v>10087</v>
      </c>
      <c r="B84" s="3">
        <v>1931</v>
      </c>
      <c r="C84" s="4">
        <v>45038</v>
      </c>
      <c r="D84" s="4">
        <v>45045</v>
      </c>
      <c r="E84" s="3" t="s">
        <v>39</v>
      </c>
      <c r="F84" s="3" t="s">
        <v>28</v>
      </c>
      <c r="G84" s="3" t="s">
        <v>16</v>
      </c>
      <c r="H84" s="3" t="s">
        <v>17</v>
      </c>
      <c r="I84" s="3" t="s">
        <v>30</v>
      </c>
      <c r="J84" s="3" t="s">
        <v>38</v>
      </c>
      <c r="K84" s="3" t="s">
        <v>46</v>
      </c>
      <c r="L84" s="3">
        <v>7</v>
      </c>
      <c r="M84" s="3">
        <v>1373.12</v>
      </c>
      <c r="N84" s="3">
        <v>5</v>
      </c>
      <c r="O84" s="3">
        <f t="shared" si="3"/>
        <v>9131.2479999999996</v>
      </c>
      <c r="P84" s="3" t="str">
        <f t="shared" si="4"/>
        <v>Low Price</v>
      </c>
      <c r="Q84" s="3" t="str" cm="1">
        <f t="array" ref="Q84">_xlfn.IFS(N84&gt;=10,"High",N84&gt;=5,"Medium",N84&lt;5,"Low")</f>
        <v>Medium</v>
      </c>
      <c r="R84" s="3" t="str">
        <f t="shared" si="5"/>
        <v>Medium</v>
      </c>
    </row>
    <row r="85" spans="1:18" x14ac:dyDescent="0.25">
      <c r="A85" s="3">
        <v>10088</v>
      </c>
      <c r="B85" s="3">
        <v>1561</v>
      </c>
      <c r="C85" s="4">
        <v>44939</v>
      </c>
      <c r="D85" s="4">
        <v>44946</v>
      </c>
      <c r="E85" s="3" t="s">
        <v>33</v>
      </c>
      <c r="F85" s="3" t="s">
        <v>28</v>
      </c>
      <c r="G85" s="3" t="s">
        <v>16</v>
      </c>
      <c r="H85" s="3" t="s">
        <v>41</v>
      </c>
      <c r="I85" s="3" t="s">
        <v>48</v>
      </c>
      <c r="J85" s="3" t="s">
        <v>62</v>
      </c>
      <c r="K85" s="3" t="s">
        <v>46</v>
      </c>
      <c r="L85" s="3">
        <v>3</v>
      </c>
      <c r="M85" s="3">
        <v>3879.4</v>
      </c>
      <c r="N85" s="3">
        <v>20</v>
      </c>
      <c r="O85" s="3">
        <f t="shared" si="3"/>
        <v>9310.5600000000013</v>
      </c>
      <c r="P85" s="3" t="str">
        <f t="shared" si="4"/>
        <v>Low Price</v>
      </c>
      <c r="Q85" s="3" t="str" cm="1">
        <f t="array" ref="Q85">_xlfn.IFS(N85&gt;=10,"High",N85&gt;=5,"Medium",N85&lt;5,"Low")</f>
        <v>High</v>
      </c>
      <c r="R85" s="3" t="str">
        <f t="shared" si="5"/>
        <v>Low</v>
      </c>
    </row>
    <row r="86" spans="1:18" x14ac:dyDescent="0.25">
      <c r="A86" s="3">
        <v>10091</v>
      </c>
      <c r="B86" s="3">
        <v>1001</v>
      </c>
      <c r="C86" s="4">
        <v>45016</v>
      </c>
      <c r="D86" s="4">
        <v>45019</v>
      </c>
      <c r="E86" s="3" t="s">
        <v>36</v>
      </c>
      <c r="F86" s="3" t="s">
        <v>15</v>
      </c>
      <c r="G86" s="3" t="s">
        <v>16</v>
      </c>
      <c r="H86" s="3" t="s">
        <v>43</v>
      </c>
      <c r="I86" s="3" t="s">
        <v>25</v>
      </c>
      <c r="J86" s="3" t="s">
        <v>26</v>
      </c>
      <c r="K86" s="3" t="s">
        <v>27</v>
      </c>
      <c r="L86" s="3">
        <v>5</v>
      </c>
      <c r="M86" s="3">
        <v>3370.52</v>
      </c>
      <c r="N86" s="3">
        <v>10</v>
      </c>
      <c r="O86" s="3">
        <f t="shared" si="3"/>
        <v>15167.339999999998</v>
      </c>
      <c r="P86" s="3" t="str">
        <f t="shared" si="4"/>
        <v>High Price</v>
      </c>
      <c r="Q86" s="3" t="str" cm="1">
        <f t="array" ref="Q86">_xlfn.IFS(N86&gt;=10,"High",N86&gt;=5,"Medium",N86&lt;5,"Low")</f>
        <v>High</v>
      </c>
      <c r="R86" s="3" t="str">
        <f t="shared" si="5"/>
        <v>Medium</v>
      </c>
    </row>
    <row r="87" spans="1:18" x14ac:dyDescent="0.25">
      <c r="A87" s="3">
        <v>10092</v>
      </c>
      <c r="B87" s="3">
        <v>1389</v>
      </c>
      <c r="C87" s="4">
        <v>45240</v>
      </c>
      <c r="D87" s="4">
        <v>45246</v>
      </c>
      <c r="E87" s="3" t="s">
        <v>45</v>
      </c>
      <c r="F87" s="3" t="s">
        <v>37</v>
      </c>
      <c r="G87" s="3" t="s">
        <v>29</v>
      </c>
      <c r="H87" s="3" t="s">
        <v>17</v>
      </c>
      <c r="I87" s="3" t="s">
        <v>48</v>
      </c>
      <c r="J87" s="3" t="s">
        <v>49</v>
      </c>
      <c r="K87" s="3" t="s">
        <v>32</v>
      </c>
      <c r="L87" s="3">
        <v>3</v>
      </c>
      <c r="M87" s="3">
        <v>343.33</v>
      </c>
      <c r="N87" s="3">
        <v>5</v>
      </c>
      <c r="O87" s="3">
        <f t="shared" si="3"/>
        <v>978.4905</v>
      </c>
      <c r="P87" s="3" t="str">
        <f t="shared" si="4"/>
        <v>Low Price</v>
      </c>
      <c r="Q87" s="3" t="str" cm="1">
        <f t="array" ref="Q87">_xlfn.IFS(N87&gt;=10,"High",N87&gt;=5,"Medium",N87&lt;5,"Low")</f>
        <v>Medium</v>
      </c>
      <c r="R87" s="3" t="str">
        <f t="shared" si="5"/>
        <v>Low</v>
      </c>
    </row>
    <row r="88" spans="1:18" x14ac:dyDescent="0.25">
      <c r="A88" s="3">
        <v>10093</v>
      </c>
      <c r="B88" s="3">
        <v>1565</v>
      </c>
      <c r="C88" s="4">
        <v>44980</v>
      </c>
      <c r="D88" s="4">
        <v>44982</v>
      </c>
      <c r="E88" s="3" t="s">
        <v>39</v>
      </c>
      <c r="F88" s="3" t="s">
        <v>28</v>
      </c>
      <c r="G88" s="3" t="s">
        <v>16</v>
      </c>
      <c r="H88" s="3" t="s">
        <v>41</v>
      </c>
      <c r="I88" s="3" t="s">
        <v>51</v>
      </c>
      <c r="J88" s="3" t="s">
        <v>55</v>
      </c>
      <c r="K88" s="3" t="s">
        <v>32</v>
      </c>
      <c r="L88" s="3">
        <v>9</v>
      </c>
      <c r="M88" s="3">
        <v>1938.76</v>
      </c>
      <c r="N88" s="3">
        <v>20</v>
      </c>
      <c r="O88" s="3">
        <f t="shared" si="3"/>
        <v>13959.072</v>
      </c>
      <c r="P88" s="3" t="str">
        <f t="shared" si="4"/>
        <v>Low Price</v>
      </c>
      <c r="Q88" s="3" t="str" cm="1">
        <f t="array" ref="Q88">_xlfn.IFS(N88&gt;=10,"High",N88&gt;=5,"Medium",N88&lt;5,"Low")</f>
        <v>High</v>
      </c>
      <c r="R88" s="3" t="str">
        <f t="shared" si="5"/>
        <v>High</v>
      </c>
    </row>
    <row r="89" spans="1:18" x14ac:dyDescent="0.25">
      <c r="A89" s="3">
        <v>10094</v>
      </c>
      <c r="B89" s="3">
        <v>1105</v>
      </c>
      <c r="C89" s="4">
        <v>44938</v>
      </c>
      <c r="D89" s="4">
        <v>44946</v>
      </c>
      <c r="E89" s="3" t="s">
        <v>21</v>
      </c>
      <c r="F89" s="3" t="s">
        <v>15</v>
      </c>
      <c r="G89" s="3" t="s">
        <v>29</v>
      </c>
      <c r="H89" s="3" t="s">
        <v>24</v>
      </c>
      <c r="I89" s="3" t="s">
        <v>51</v>
      </c>
      <c r="J89" s="3" t="s">
        <v>59</v>
      </c>
      <c r="K89" s="3" t="s">
        <v>20</v>
      </c>
      <c r="L89" s="3">
        <v>4</v>
      </c>
      <c r="M89" s="3">
        <v>1611.52</v>
      </c>
      <c r="N89" s="3">
        <v>10</v>
      </c>
      <c r="O89" s="3">
        <f t="shared" si="3"/>
        <v>5801.4719999999998</v>
      </c>
      <c r="P89" s="3" t="str">
        <f t="shared" si="4"/>
        <v>Low Price</v>
      </c>
      <c r="Q89" s="3" t="str" cm="1">
        <f t="array" ref="Q89">_xlfn.IFS(N89&gt;=10,"High",N89&gt;=5,"Medium",N89&lt;5,"Low")</f>
        <v>High</v>
      </c>
      <c r="R89" s="3" t="str">
        <f t="shared" si="5"/>
        <v>Low</v>
      </c>
    </row>
    <row r="90" spans="1:18" x14ac:dyDescent="0.25">
      <c r="A90" s="3">
        <v>10095</v>
      </c>
      <c r="B90" s="3">
        <v>1771</v>
      </c>
      <c r="C90" s="4">
        <v>45135</v>
      </c>
      <c r="D90" s="4">
        <v>45137</v>
      </c>
      <c r="E90" s="3" t="s">
        <v>39</v>
      </c>
      <c r="F90" s="3" t="s">
        <v>53</v>
      </c>
      <c r="G90" s="3" t="s">
        <v>29</v>
      </c>
      <c r="H90" s="3" t="s">
        <v>41</v>
      </c>
      <c r="I90" s="3" t="s">
        <v>48</v>
      </c>
      <c r="J90" s="3" t="s">
        <v>49</v>
      </c>
      <c r="K90" s="3" t="s">
        <v>46</v>
      </c>
      <c r="L90" s="3">
        <v>3</v>
      </c>
      <c r="M90" s="3">
        <v>1368.86</v>
      </c>
      <c r="N90" s="3">
        <v>10</v>
      </c>
      <c r="O90" s="3">
        <f t="shared" si="3"/>
        <v>3695.922</v>
      </c>
      <c r="P90" s="3" t="str">
        <f t="shared" si="4"/>
        <v>Low Price</v>
      </c>
      <c r="Q90" s="3" t="str" cm="1">
        <f t="array" ref="Q90">_xlfn.IFS(N90&gt;=10,"High",N90&gt;=5,"Medium",N90&lt;5,"Low")</f>
        <v>High</v>
      </c>
      <c r="R90" s="3" t="str">
        <f t="shared" si="5"/>
        <v>Low</v>
      </c>
    </row>
    <row r="91" spans="1:18" x14ac:dyDescent="0.25">
      <c r="A91" s="3">
        <v>10096</v>
      </c>
      <c r="B91" s="3">
        <v>1821</v>
      </c>
      <c r="C91" s="4">
        <v>44940</v>
      </c>
      <c r="D91" s="4">
        <v>44947</v>
      </c>
      <c r="E91" s="3" t="s">
        <v>39</v>
      </c>
      <c r="F91" s="3" t="s">
        <v>15</v>
      </c>
      <c r="G91" s="3" t="s">
        <v>16</v>
      </c>
      <c r="H91" s="3" t="s">
        <v>24</v>
      </c>
      <c r="I91" s="3" t="s">
        <v>51</v>
      </c>
      <c r="J91" s="3" t="s">
        <v>59</v>
      </c>
      <c r="K91" s="3" t="s">
        <v>32</v>
      </c>
      <c r="L91" s="3">
        <v>2</v>
      </c>
      <c r="M91" s="3">
        <v>1249.94</v>
      </c>
      <c r="N91" s="3">
        <v>10</v>
      </c>
      <c r="O91" s="3">
        <f t="shared" si="3"/>
        <v>2249.8920000000003</v>
      </c>
      <c r="P91" s="3" t="str">
        <f t="shared" si="4"/>
        <v>Low Price</v>
      </c>
      <c r="Q91" s="3" t="str" cm="1">
        <f t="array" ref="Q91">_xlfn.IFS(N91&gt;=10,"High",N91&gt;=5,"Medium",N91&lt;5,"Low")</f>
        <v>High</v>
      </c>
      <c r="R91" s="3" t="str">
        <f t="shared" si="5"/>
        <v>Low</v>
      </c>
    </row>
    <row r="92" spans="1:18" x14ac:dyDescent="0.25">
      <c r="A92" s="3">
        <v>10097</v>
      </c>
      <c r="B92" s="3">
        <v>1476</v>
      </c>
      <c r="C92" s="4">
        <v>45047</v>
      </c>
      <c r="D92" s="4">
        <v>45056</v>
      </c>
      <c r="E92" s="3" t="s">
        <v>36</v>
      </c>
      <c r="F92" s="3" t="s">
        <v>22</v>
      </c>
      <c r="G92" s="3" t="s">
        <v>23</v>
      </c>
      <c r="H92" s="3" t="s">
        <v>17</v>
      </c>
      <c r="I92" s="3" t="s">
        <v>51</v>
      </c>
      <c r="J92" s="3" t="s">
        <v>59</v>
      </c>
      <c r="K92" s="3" t="s">
        <v>27</v>
      </c>
      <c r="L92" s="3">
        <v>9</v>
      </c>
      <c r="M92" s="3">
        <v>501.79</v>
      </c>
      <c r="N92" s="3">
        <v>5</v>
      </c>
      <c r="O92" s="3">
        <f t="shared" si="3"/>
        <v>4290.3045000000002</v>
      </c>
      <c r="P92" s="3" t="str">
        <f t="shared" si="4"/>
        <v>Low Price</v>
      </c>
      <c r="Q92" s="3" t="str" cm="1">
        <f t="array" ref="Q92">_xlfn.IFS(N92&gt;=10,"High",N92&gt;=5,"Medium",N92&lt;5,"Low")</f>
        <v>Medium</v>
      </c>
      <c r="R92" s="3" t="str">
        <f t="shared" si="5"/>
        <v>High</v>
      </c>
    </row>
    <row r="93" spans="1:18" x14ac:dyDescent="0.25">
      <c r="A93" s="3">
        <v>10098</v>
      </c>
      <c r="B93" s="3">
        <v>1702</v>
      </c>
      <c r="C93" s="4">
        <v>44946</v>
      </c>
      <c r="D93" s="4">
        <v>44947</v>
      </c>
      <c r="E93" s="3" t="s">
        <v>36</v>
      </c>
      <c r="F93" s="3" t="s">
        <v>53</v>
      </c>
      <c r="G93" s="3" t="s">
        <v>23</v>
      </c>
      <c r="H93" s="3" t="s">
        <v>41</v>
      </c>
      <c r="I93" s="3" t="s">
        <v>25</v>
      </c>
      <c r="J93" s="3" t="s">
        <v>35</v>
      </c>
      <c r="K93" s="3" t="s">
        <v>44</v>
      </c>
      <c r="L93" s="3">
        <v>4</v>
      </c>
      <c r="M93" s="3">
        <v>1362.08</v>
      </c>
      <c r="N93" s="3">
        <v>15</v>
      </c>
      <c r="O93" s="3">
        <f t="shared" si="3"/>
        <v>4631.0719999999992</v>
      </c>
      <c r="P93" s="3" t="str">
        <f t="shared" si="4"/>
        <v>Low Price</v>
      </c>
      <c r="Q93" s="3" t="str" cm="1">
        <f t="array" ref="Q93">_xlfn.IFS(N93&gt;=10,"High",N93&gt;=5,"Medium",N93&lt;5,"Low")</f>
        <v>High</v>
      </c>
      <c r="R93" s="3" t="str">
        <f t="shared" si="5"/>
        <v>Low</v>
      </c>
    </row>
    <row r="94" spans="1:18" x14ac:dyDescent="0.25">
      <c r="A94" s="3">
        <v>10099</v>
      </c>
      <c r="B94" s="3">
        <v>1401</v>
      </c>
      <c r="C94" s="4">
        <v>45001</v>
      </c>
      <c r="D94" s="4">
        <v>45009</v>
      </c>
      <c r="E94" s="3" t="s">
        <v>45</v>
      </c>
      <c r="F94" s="3" t="s">
        <v>37</v>
      </c>
      <c r="G94" s="3" t="s">
        <v>16</v>
      </c>
      <c r="H94" s="3" t="s">
        <v>41</v>
      </c>
      <c r="I94" s="3" t="s">
        <v>51</v>
      </c>
      <c r="J94" s="3" t="s">
        <v>52</v>
      </c>
      <c r="K94" s="3" t="s">
        <v>27</v>
      </c>
      <c r="L94" s="3">
        <v>3</v>
      </c>
      <c r="M94" s="3">
        <v>315.75</v>
      </c>
      <c r="N94" s="3">
        <v>20</v>
      </c>
      <c r="O94" s="3">
        <f t="shared" si="3"/>
        <v>757.80000000000007</v>
      </c>
      <c r="P94" s="3" t="str">
        <f t="shared" si="4"/>
        <v>Low Price</v>
      </c>
      <c r="Q94" s="3" t="str" cm="1">
        <f t="array" ref="Q94">_xlfn.IFS(N94&gt;=10,"High",N94&gt;=5,"Medium",N94&lt;5,"Low")</f>
        <v>High</v>
      </c>
      <c r="R94" s="3" t="str">
        <f t="shared" si="5"/>
        <v>Low</v>
      </c>
    </row>
    <row r="95" spans="1:18" x14ac:dyDescent="0.25">
      <c r="A95" s="3">
        <v>10100</v>
      </c>
      <c r="B95" s="3">
        <v>1729</v>
      </c>
      <c r="C95" s="4">
        <v>45169</v>
      </c>
      <c r="D95" s="4">
        <v>45176</v>
      </c>
      <c r="E95" s="3" t="s">
        <v>15</v>
      </c>
      <c r="F95" s="3" t="s">
        <v>28</v>
      </c>
      <c r="G95" s="3" t="s">
        <v>23</v>
      </c>
      <c r="H95" s="3" t="s">
        <v>17</v>
      </c>
      <c r="I95" s="3" t="s">
        <v>18</v>
      </c>
      <c r="J95" s="3" t="s">
        <v>42</v>
      </c>
      <c r="K95" s="3" t="s">
        <v>46</v>
      </c>
      <c r="L95" s="3">
        <v>7</v>
      </c>
      <c r="M95" s="3">
        <v>3156.71</v>
      </c>
      <c r="N95" s="3">
        <v>10</v>
      </c>
      <c r="O95" s="3">
        <f t="shared" si="3"/>
        <v>19887.273000000001</v>
      </c>
      <c r="P95" s="3" t="str">
        <f t="shared" si="4"/>
        <v>High Price</v>
      </c>
      <c r="Q95" s="3" t="str" cm="1">
        <f t="array" ref="Q95">_xlfn.IFS(N95&gt;=10,"High",N95&gt;=5,"Medium",N95&lt;5,"Low")</f>
        <v>High</v>
      </c>
      <c r="R95" s="3" t="str">
        <f t="shared" si="5"/>
        <v>Medium</v>
      </c>
    </row>
    <row r="96" spans="1:18" x14ac:dyDescent="0.25">
      <c r="A96" s="3">
        <v>10101</v>
      </c>
      <c r="B96" s="3">
        <v>1555</v>
      </c>
      <c r="C96" s="4">
        <v>45149</v>
      </c>
      <c r="D96" s="4">
        <v>45155</v>
      </c>
      <c r="E96" s="3" t="s">
        <v>15</v>
      </c>
      <c r="F96" s="3" t="s">
        <v>15</v>
      </c>
      <c r="G96" s="3" t="s">
        <v>29</v>
      </c>
      <c r="H96" s="3" t="s">
        <v>41</v>
      </c>
      <c r="I96" s="3" t="s">
        <v>56</v>
      </c>
      <c r="J96" s="3" t="s">
        <v>58</v>
      </c>
      <c r="K96" s="3" t="s">
        <v>27</v>
      </c>
      <c r="L96" s="3">
        <v>8</v>
      </c>
      <c r="M96" s="3">
        <v>1683.18</v>
      </c>
      <c r="N96" s="3">
        <v>15</v>
      </c>
      <c r="O96" s="3">
        <f t="shared" si="3"/>
        <v>11445.624</v>
      </c>
      <c r="P96" s="3" t="str">
        <f t="shared" si="4"/>
        <v>Low Price</v>
      </c>
      <c r="Q96" s="3" t="str" cm="1">
        <f t="array" ref="Q96">_xlfn.IFS(N96&gt;=10,"High",N96&gt;=5,"Medium",N96&lt;5,"Low")</f>
        <v>High</v>
      </c>
      <c r="R96" s="3" t="str">
        <f t="shared" si="5"/>
        <v>Medium</v>
      </c>
    </row>
    <row r="97" spans="1:18" x14ac:dyDescent="0.25">
      <c r="A97" s="3">
        <v>10102</v>
      </c>
      <c r="B97" s="3">
        <v>1161</v>
      </c>
      <c r="C97" s="4">
        <v>44996</v>
      </c>
      <c r="D97" s="4">
        <v>45002</v>
      </c>
      <c r="E97" s="3" t="s">
        <v>36</v>
      </c>
      <c r="F97" s="3" t="s">
        <v>53</v>
      </c>
      <c r="G97" s="3" t="s">
        <v>29</v>
      </c>
      <c r="H97" s="3" t="s">
        <v>24</v>
      </c>
      <c r="I97" s="3" t="s">
        <v>30</v>
      </c>
      <c r="J97" s="3" t="s">
        <v>38</v>
      </c>
      <c r="K97" s="3" t="s">
        <v>20</v>
      </c>
      <c r="L97" s="3">
        <v>2</v>
      </c>
      <c r="M97" s="3">
        <v>1859.03</v>
      </c>
      <c r="N97" s="3">
        <v>20</v>
      </c>
      <c r="O97" s="3">
        <f t="shared" si="3"/>
        <v>2974.4480000000003</v>
      </c>
      <c r="P97" s="3" t="str">
        <f t="shared" si="4"/>
        <v>Low Price</v>
      </c>
      <c r="Q97" s="3" t="str" cm="1">
        <f t="array" ref="Q97">_xlfn.IFS(N97&gt;=10,"High",N97&gt;=5,"Medium",N97&lt;5,"Low")</f>
        <v>High</v>
      </c>
      <c r="R97" s="3" t="str">
        <f t="shared" si="5"/>
        <v>Low</v>
      </c>
    </row>
    <row r="98" spans="1:18" x14ac:dyDescent="0.25">
      <c r="A98" s="3">
        <v>10103</v>
      </c>
      <c r="B98" s="3">
        <v>1201</v>
      </c>
      <c r="C98" s="4">
        <v>45238</v>
      </c>
      <c r="D98" s="4">
        <v>45244</v>
      </c>
      <c r="E98" s="3" t="s">
        <v>45</v>
      </c>
      <c r="F98" s="3" t="s">
        <v>22</v>
      </c>
      <c r="G98" s="3" t="s">
        <v>16</v>
      </c>
      <c r="H98" s="3" t="s">
        <v>41</v>
      </c>
      <c r="I98" s="3" t="s">
        <v>18</v>
      </c>
      <c r="J98" s="3" t="s">
        <v>19</v>
      </c>
      <c r="K98" s="3" t="s">
        <v>46</v>
      </c>
      <c r="L98" s="3">
        <v>7</v>
      </c>
      <c r="M98" s="3">
        <v>3590.34</v>
      </c>
      <c r="N98" s="3">
        <v>20</v>
      </c>
      <c r="O98" s="3">
        <f t="shared" si="3"/>
        <v>20105.904000000002</v>
      </c>
      <c r="P98" s="3" t="str">
        <f t="shared" si="4"/>
        <v>High Price</v>
      </c>
      <c r="Q98" s="3" t="str" cm="1">
        <f t="array" ref="Q98">_xlfn.IFS(N98&gt;=10,"High",N98&gt;=5,"Medium",N98&lt;5,"Low")</f>
        <v>High</v>
      </c>
      <c r="R98" s="3" t="str">
        <f t="shared" si="5"/>
        <v>Medium</v>
      </c>
    </row>
    <row r="99" spans="1:18" x14ac:dyDescent="0.25">
      <c r="A99" s="3">
        <v>10105</v>
      </c>
      <c r="B99" s="3">
        <v>1995</v>
      </c>
      <c r="C99" s="4">
        <v>45027</v>
      </c>
      <c r="D99" s="4">
        <v>45029</v>
      </c>
      <c r="E99" s="3" t="s">
        <v>45</v>
      </c>
      <c r="F99" s="3" t="s">
        <v>40</v>
      </c>
      <c r="G99" s="3" t="s">
        <v>23</v>
      </c>
      <c r="H99" s="3" t="s">
        <v>34</v>
      </c>
      <c r="I99" s="3" t="s">
        <v>25</v>
      </c>
      <c r="J99" s="3" t="s">
        <v>26</v>
      </c>
      <c r="K99" s="3" t="s">
        <v>20</v>
      </c>
      <c r="L99" s="3">
        <v>5</v>
      </c>
      <c r="M99" s="3">
        <v>181.03</v>
      </c>
      <c r="N99" s="3">
        <v>10</v>
      </c>
      <c r="O99" s="3">
        <f t="shared" si="3"/>
        <v>814.63499999999999</v>
      </c>
      <c r="P99" s="3" t="str">
        <f t="shared" si="4"/>
        <v>Low Price</v>
      </c>
      <c r="Q99" s="3" t="str" cm="1">
        <f t="array" ref="Q99">_xlfn.IFS(N99&gt;=10,"High",N99&gt;=5,"Medium",N99&lt;5,"Low")</f>
        <v>High</v>
      </c>
      <c r="R99" s="3" t="str">
        <f t="shared" si="5"/>
        <v>Medium</v>
      </c>
    </row>
    <row r="100" spans="1:18" x14ac:dyDescent="0.25">
      <c r="A100" s="3">
        <v>10106</v>
      </c>
      <c r="B100" s="3">
        <v>1269</v>
      </c>
      <c r="C100" s="4">
        <v>45112</v>
      </c>
      <c r="D100" s="4">
        <v>45113</v>
      </c>
      <c r="E100" s="3" t="s">
        <v>45</v>
      </c>
      <c r="F100" s="3" t="s">
        <v>22</v>
      </c>
      <c r="G100" s="3" t="s">
        <v>29</v>
      </c>
      <c r="H100" s="3" t="s">
        <v>24</v>
      </c>
      <c r="I100" s="3" t="s">
        <v>48</v>
      </c>
      <c r="J100" s="3" t="s">
        <v>62</v>
      </c>
      <c r="K100" s="3" t="s">
        <v>46</v>
      </c>
      <c r="L100" s="3">
        <v>3</v>
      </c>
      <c r="M100" s="3">
        <v>3781.22</v>
      </c>
      <c r="N100" s="3">
        <v>5</v>
      </c>
      <c r="O100" s="3">
        <f t="shared" si="3"/>
        <v>10776.476999999999</v>
      </c>
      <c r="P100" s="3" t="str">
        <f t="shared" si="4"/>
        <v>Low Price</v>
      </c>
      <c r="Q100" s="3" t="str" cm="1">
        <f t="array" ref="Q100">_xlfn.IFS(N100&gt;=10,"High",N100&gt;=5,"Medium",N100&lt;5,"Low")</f>
        <v>Medium</v>
      </c>
      <c r="R100" s="3" t="str">
        <f t="shared" si="5"/>
        <v>Low</v>
      </c>
    </row>
    <row r="101" spans="1:18" x14ac:dyDescent="0.25">
      <c r="A101" s="3">
        <v>10107</v>
      </c>
      <c r="B101" s="3">
        <v>1862</v>
      </c>
      <c r="C101" s="4">
        <v>45058</v>
      </c>
      <c r="D101" s="4">
        <v>45064</v>
      </c>
      <c r="E101" s="3" t="s">
        <v>45</v>
      </c>
      <c r="F101" s="3" t="s">
        <v>37</v>
      </c>
      <c r="G101" s="3" t="s">
        <v>16</v>
      </c>
      <c r="H101" s="3" t="s">
        <v>43</v>
      </c>
      <c r="I101" s="3" t="s">
        <v>51</v>
      </c>
      <c r="J101" s="3" t="s">
        <v>59</v>
      </c>
      <c r="K101" s="3" t="s">
        <v>44</v>
      </c>
      <c r="L101" s="3">
        <v>5</v>
      </c>
      <c r="M101" s="3">
        <v>1063.01</v>
      </c>
      <c r="N101" s="3">
        <v>15</v>
      </c>
      <c r="O101" s="3">
        <f t="shared" si="3"/>
        <v>4517.7925000000005</v>
      </c>
      <c r="P101" s="3" t="str">
        <f t="shared" si="4"/>
        <v>Low Price</v>
      </c>
      <c r="Q101" s="3" t="str" cm="1">
        <f t="array" ref="Q101">_xlfn.IFS(N101&gt;=10,"High",N101&gt;=5,"Medium",N101&lt;5,"Low")</f>
        <v>High</v>
      </c>
      <c r="R101" s="3" t="str">
        <f t="shared" si="5"/>
        <v>Medium</v>
      </c>
    </row>
    <row r="102" spans="1:18" x14ac:dyDescent="0.25">
      <c r="A102" s="3">
        <v>10108</v>
      </c>
      <c r="B102" s="3">
        <v>1815</v>
      </c>
      <c r="C102" s="4">
        <v>45037</v>
      </c>
      <c r="D102" s="4">
        <v>45045</v>
      </c>
      <c r="E102" s="3" t="s">
        <v>14</v>
      </c>
      <c r="F102" s="3" t="s">
        <v>28</v>
      </c>
      <c r="G102" s="3" t="s">
        <v>23</v>
      </c>
      <c r="H102" s="3" t="s">
        <v>17</v>
      </c>
      <c r="I102" s="3" t="s">
        <v>25</v>
      </c>
      <c r="J102" s="3" t="s">
        <v>35</v>
      </c>
      <c r="K102" s="3" t="s">
        <v>20</v>
      </c>
      <c r="L102" s="3">
        <v>2</v>
      </c>
      <c r="M102" s="3">
        <v>564.30999999999995</v>
      </c>
      <c r="N102" s="3">
        <v>15</v>
      </c>
      <c r="O102" s="3">
        <f t="shared" si="3"/>
        <v>959.32699999999988</v>
      </c>
      <c r="P102" s="3" t="str">
        <f t="shared" si="4"/>
        <v>Low Price</v>
      </c>
      <c r="Q102" s="3" t="str" cm="1">
        <f t="array" ref="Q102">_xlfn.IFS(N102&gt;=10,"High",N102&gt;=5,"Medium",N102&lt;5,"Low")</f>
        <v>High</v>
      </c>
      <c r="R102" s="3" t="str">
        <f t="shared" si="5"/>
        <v>Low</v>
      </c>
    </row>
    <row r="103" spans="1:18" x14ac:dyDescent="0.25">
      <c r="A103" s="3">
        <v>10110</v>
      </c>
      <c r="B103" s="3">
        <v>1455</v>
      </c>
      <c r="C103" s="4">
        <v>44946</v>
      </c>
      <c r="D103" s="4">
        <v>44947</v>
      </c>
      <c r="E103" s="3" t="s">
        <v>45</v>
      </c>
      <c r="F103" s="3" t="s">
        <v>15</v>
      </c>
      <c r="G103" s="3" t="s">
        <v>23</v>
      </c>
      <c r="H103" s="3" t="s">
        <v>34</v>
      </c>
      <c r="I103" s="3" t="s">
        <v>51</v>
      </c>
      <c r="J103" s="3" t="s">
        <v>55</v>
      </c>
      <c r="K103" s="3" t="s">
        <v>46</v>
      </c>
      <c r="L103" s="3">
        <v>6</v>
      </c>
      <c r="M103" s="3">
        <v>2076.84</v>
      </c>
      <c r="N103" s="3">
        <v>20</v>
      </c>
      <c r="O103" s="3">
        <f t="shared" si="3"/>
        <v>9968.8320000000022</v>
      </c>
      <c r="P103" s="3" t="str">
        <f t="shared" si="4"/>
        <v>Low Price</v>
      </c>
      <c r="Q103" s="3" t="str" cm="1">
        <f t="array" ref="Q103">_xlfn.IFS(N103&gt;=10,"High",N103&gt;=5,"Medium",N103&lt;5,"Low")</f>
        <v>High</v>
      </c>
      <c r="R103" s="3" t="str">
        <f t="shared" si="5"/>
        <v>Medium</v>
      </c>
    </row>
    <row r="104" spans="1:18" x14ac:dyDescent="0.25">
      <c r="A104" s="3">
        <v>10111</v>
      </c>
      <c r="B104" s="3">
        <v>1461</v>
      </c>
      <c r="C104" s="4">
        <v>44950</v>
      </c>
      <c r="D104" s="4">
        <v>44959</v>
      </c>
      <c r="E104" s="3" t="s">
        <v>14</v>
      </c>
      <c r="F104" s="3" t="s">
        <v>53</v>
      </c>
      <c r="G104" s="3" t="s">
        <v>29</v>
      </c>
      <c r="H104" s="3" t="s">
        <v>34</v>
      </c>
      <c r="I104" s="3" t="s">
        <v>48</v>
      </c>
      <c r="J104" s="3" t="s">
        <v>67</v>
      </c>
      <c r="K104" s="3" t="s">
        <v>32</v>
      </c>
      <c r="L104" s="3">
        <v>1</v>
      </c>
      <c r="M104" s="3">
        <v>1820.02</v>
      </c>
      <c r="N104" s="3">
        <v>10</v>
      </c>
      <c r="O104" s="3">
        <f t="shared" si="3"/>
        <v>1638.018</v>
      </c>
      <c r="P104" s="3" t="str">
        <f t="shared" si="4"/>
        <v>Low Price</v>
      </c>
      <c r="Q104" s="3" t="str" cm="1">
        <f t="array" ref="Q104">_xlfn.IFS(N104&gt;=10,"High",N104&gt;=5,"Medium",N104&lt;5,"Low")</f>
        <v>High</v>
      </c>
      <c r="R104" s="3" t="str">
        <f t="shared" si="5"/>
        <v>Low</v>
      </c>
    </row>
    <row r="105" spans="1:18" x14ac:dyDescent="0.25">
      <c r="A105" s="3">
        <v>10112</v>
      </c>
      <c r="B105" s="3">
        <v>1726</v>
      </c>
      <c r="C105" s="4">
        <v>45153</v>
      </c>
      <c r="D105" s="4">
        <v>45154</v>
      </c>
      <c r="E105" s="3" t="s">
        <v>36</v>
      </c>
      <c r="F105" s="3" t="s">
        <v>40</v>
      </c>
      <c r="G105" s="3" t="s">
        <v>29</v>
      </c>
      <c r="H105" s="3" t="s">
        <v>17</v>
      </c>
      <c r="I105" s="3" t="s">
        <v>25</v>
      </c>
      <c r="J105" s="3" t="s">
        <v>35</v>
      </c>
      <c r="K105" s="3" t="s">
        <v>20</v>
      </c>
      <c r="L105" s="3">
        <v>4</v>
      </c>
      <c r="M105" s="3">
        <v>1110.5899999999999</v>
      </c>
      <c r="N105" s="3">
        <v>20</v>
      </c>
      <c r="O105" s="3">
        <f t="shared" si="3"/>
        <v>3553.8879999999999</v>
      </c>
      <c r="P105" s="3" t="str">
        <f t="shared" si="4"/>
        <v>Low Price</v>
      </c>
      <c r="Q105" s="3" t="str" cm="1">
        <f t="array" ref="Q105">_xlfn.IFS(N105&gt;=10,"High",N105&gt;=5,"Medium",N105&lt;5,"Low")</f>
        <v>High</v>
      </c>
      <c r="R105" s="3" t="str">
        <f t="shared" si="5"/>
        <v>Low</v>
      </c>
    </row>
    <row r="106" spans="1:18" x14ac:dyDescent="0.25">
      <c r="A106" s="3">
        <v>10113</v>
      </c>
      <c r="B106" s="3">
        <v>1251</v>
      </c>
      <c r="C106" s="4">
        <v>45080</v>
      </c>
      <c r="D106" s="4">
        <v>45083</v>
      </c>
      <c r="E106" s="3" t="s">
        <v>15</v>
      </c>
      <c r="F106" s="3" t="s">
        <v>22</v>
      </c>
      <c r="G106" s="3" t="s">
        <v>16</v>
      </c>
      <c r="H106" s="3" t="s">
        <v>17</v>
      </c>
      <c r="I106" s="3" t="s">
        <v>25</v>
      </c>
      <c r="J106" s="3" t="s">
        <v>60</v>
      </c>
      <c r="K106" s="3" t="s">
        <v>20</v>
      </c>
      <c r="L106" s="3">
        <v>6</v>
      </c>
      <c r="M106" s="3">
        <v>2257.77</v>
      </c>
      <c r="N106" s="3">
        <v>20</v>
      </c>
      <c r="O106" s="3">
        <f t="shared" si="3"/>
        <v>10837.296</v>
      </c>
      <c r="P106" s="3" t="str">
        <f t="shared" si="4"/>
        <v>Low Price</v>
      </c>
      <c r="Q106" s="3" t="str" cm="1">
        <f t="array" ref="Q106">_xlfn.IFS(N106&gt;=10,"High",N106&gt;=5,"Medium",N106&lt;5,"Low")</f>
        <v>High</v>
      </c>
      <c r="R106" s="3" t="str">
        <f t="shared" si="5"/>
        <v>Medium</v>
      </c>
    </row>
    <row r="107" spans="1:18" x14ac:dyDescent="0.25">
      <c r="A107" s="3">
        <v>10114</v>
      </c>
      <c r="B107" s="3">
        <v>1701</v>
      </c>
      <c r="C107" s="4">
        <v>45219</v>
      </c>
      <c r="D107" s="4">
        <v>45227</v>
      </c>
      <c r="E107" s="3" t="s">
        <v>39</v>
      </c>
      <c r="F107" s="3" t="s">
        <v>22</v>
      </c>
      <c r="G107" s="3" t="s">
        <v>29</v>
      </c>
      <c r="H107" s="3" t="s">
        <v>24</v>
      </c>
      <c r="I107" s="3" t="s">
        <v>25</v>
      </c>
      <c r="J107" s="3" t="s">
        <v>68</v>
      </c>
      <c r="K107" s="3" t="s">
        <v>44</v>
      </c>
      <c r="L107" s="3">
        <v>9</v>
      </c>
      <c r="M107" s="3">
        <v>1206.3800000000001</v>
      </c>
      <c r="N107" s="3">
        <v>10</v>
      </c>
      <c r="O107" s="3">
        <f t="shared" si="3"/>
        <v>9771.6780000000017</v>
      </c>
      <c r="P107" s="3" t="str">
        <f t="shared" si="4"/>
        <v>Low Price</v>
      </c>
      <c r="Q107" s="3" t="str" cm="1">
        <f t="array" ref="Q107">_xlfn.IFS(N107&gt;=10,"High",N107&gt;=5,"Medium",N107&lt;5,"Low")</f>
        <v>High</v>
      </c>
      <c r="R107" s="3" t="str">
        <f t="shared" si="5"/>
        <v>High</v>
      </c>
    </row>
    <row r="108" spans="1:18" x14ac:dyDescent="0.25">
      <c r="A108" s="3">
        <v>10115</v>
      </c>
      <c r="B108" s="3">
        <v>1295</v>
      </c>
      <c r="C108" s="4">
        <v>45156</v>
      </c>
      <c r="D108" s="4">
        <v>45159</v>
      </c>
      <c r="E108" s="3" t="s">
        <v>21</v>
      </c>
      <c r="F108" s="3" t="s">
        <v>53</v>
      </c>
      <c r="G108" s="3" t="s">
        <v>23</v>
      </c>
      <c r="H108" s="3" t="s">
        <v>41</v>
      </c>
      <c r="I108" s="3" t="s">
        <v>56</v>
      </c>
      <c r="J108" s="3" t="s">
        <v>61</v>
      </c>
      <c r="K108" s="3" t="s">
        <v>27</v>
      </c>
      <c r="L108" s="3">
        <v>2</v>
      </c>
      <c r="M108" s="3">
        <v>3621.09</v>
      </c>
      <c r="N108" s="3">
        <v>0</v>
      </c>
      <c r="O108" s="3">
        <f t="shared" si="3"/>
        <v>7242.18</v>
      </c>
      <c r="P108" s="3" t="str">
        <f t="shared" si="4"/>
        <v>Low Price</v>
      </c>
      <c r="Q108" s="3" t="str" cm="1">
        <f t="array" ref="Q108">_xlfn.IFS(N108&gt;=10,"High",N108&gt;=5,"Medium",N108&lt;5,"Low")</f>
        <v>Low</v>
      </c>
      <c r="R108" s="3" t="str">
        <f t="shared" si="5"/>
        <v>Low</v>
      </c>
    </row>
    <row r="109" spans="1:18" x14ac:dyDescent="0.25">
      <c r="A109" s="3">
        <v>10116</v>
      </c>
      <c r="B109" s="3">
        <v>1724</v>
      </c>
      <c r="C109" s="4">
        <v>45236</v>
      </c>
      <c r="D109" s="4">
        <v>45240</v>
      </c>
      <c r="E109" s="3" t="s">
        <v>15</v>
      </c>
      <c r="F109" s="3" t="s">
        <v>40</v>
      </c>
      <c r="G109" s="3" t="s">
        <v>29</v>
      </c>
      <c r="H109" s="3" t="s">
        <v>17</v>
      </c>
      <c r="I109" s="3" t="s">
        <v>51</v>
      </c>
      <c r="J109" s="3" t="s">
        <v>59</v>
      </c>
      <c r="K109" s="3" t="s">
        <v>46</v>
      </c>
      <c r="L109" s="3">
        <v>7</v>
      </c>
      <c r="M109" s="3">
        <v>978.54</v>
      </c>
      <c r="N109" s="3">
        <v>15</v>
      </c>
      <c r="O109" s="3">
        <f t="shared" si="3"/>
        <v>5822.3129999999992</v>
      </c>
      <c r="P109" s="3" t="str">
        <f t="shared" si="4"/>
        <v>Low Price</v>
      </c>
      <c r="Q109" s="3" t="str" cm="1">
        <f t="array" ref="Q109">_xlfn.IFS(N109&gt;=10,"High",N109&gt;=5,"Medium",N109&lt;5,"Low")</f>
        <v>High</v>
      </c>
      <c r="R109" s="3" t="str">
        <f t="shared" si="5"/>
        <v>Medium</v>
      </c>
    </row>
    <row r="110" spans="1:18" x14ac:dyDescent="0.25">
      <c r="A110" s="3">
        <v>10117</v>
      </c>
      <c r="B110" s="3">
        <v>1719</v>
      </c>
      <c r="C110" s="4">
        <v>45285</v>
      </c>
      <c r="D110" s="4">
        <v>45293</v>
      </c>
      <c r="E110" s="3" t="s">
        <v>39</v>
      </c>
      <c r="F110" s="3" t="s">
        <v>53</v>
      </c>
      <c r="G110" s="3" t="s">
        <v>16</v>
      </c>
      <c r="H110" s="3" t="s">
        <v>41</v>
      </c>
      <c r="I110" s="3" t="s">
        <v>56</v>
      </c>
      <c r="J110" s="3" t="s">
        <v>57</v>
      </c>
      <c r="K110" s="3" t="s">
        <v>46</v>
      </c>
      <c r="L110" s="3">
        <v>6</v>
      </c>
      <c r="M110" s="3">
        <v>3554.77</v>
      </c>
      <c r="N110" s="3">
        <v>20</v>
      </c>
      <c r="O110" s="3">
        <f t="shared" si="3"/>
        <v>17062.896000000001</v>
      </c>
      <c r="P110" s="3" t="str">
        <f t="shared" si="4"/>
        <v>High Price</v>
      </c>
      <c r="Q110" s="3" t="str" cm="1">
        <f t="array" ref="Q110">_xlfn.IFS(N110&gt;=10,"High",N110&gt;=5,"Medium",N110&lt;5,"Low")</f>
        <v>High</v>
      </c>
      <c r="R110" s="3" t="str">
        <f t="shared" si="5"/>
        <v>Medium</v>
      </c>
    </row>
    <row r="111" spans="1:18" x14ac:dyDescent="0.25">
      <c r="A111" s="3">
        <v>10118</v>
      </c>
      <c r="B111" s="3">
        <v>1748</v>
      </c>
      <c r="C111" s="4">
        <v>45128</v>
      </c>
      <c r="D111" s="4">
        <v>45129</v>
      </c>
      <c r="E111" s="3" t="s">
        <v>21</v>
      </c>
      <c r="F111" s="3" t="s">
        <v>15</v>
      </c>
      <c r="G111" s="3" t="s">
        <v>16</v>
      </c>
      <c r="H111" s="3" t="s">
        <v>43</v>
      </c>
      <c r="I111" s="3" t="s">
        <v>30</v>
      </c>
      <c r="J111" s="3" t="s">
        <v>47</v>
      </c>
      <c r="K111" s="3" t="s">
        <v>32</v>
      </c>
      <c r="L111" s="3">
        <v>2</v>
      </c>
      <c r="M111" s="3">
        <v>2303.71</v>
      </c>
      <c r="N111" s="3">
        <v>20</v>
      </c>
      <c r="O111" s="3">
        <f t="shared" si="3"/>
        <v>3685.9360000000001</v>
      </c>
      <c r="P111" s="3" t="str">
        <f t="shared" si="4"/>
        <v>Low Price</v>
      </c>
      <c r="Q111" s="3" t="str" cm="1">
        <f t="array" ref="Q111">_xlfn.IFS(N111&gt;=10,"High",N111&gt;=5,"Medium",N111&lt;5,"Low")</f>
        <v>High</v>
      </c>
      <c r="R111" s="3" t="str">
        <f t="shared" si="5"/>
        <v>Low</v>
      </c>
    </row>
    <row r="112" spans="1:18" x14ac:dyDescent="0.25">
      <c r="A112" s="3">
        <v>10119</v>
      </c>
      <c r="B112" s="3">
        <v>1337</v>
      </c>
      <c r="C112" s="4">
        <v>44964</v>
      </c>
      <c r="D112" s="4">
        <v>44970</v>
      </c>
      <c r="E112" s="3" t="s">
        <v>15</v>
      </c>
      <c r="F112" s="3" t="s">
        <v>37</v>
      </c>
      <c r="G112" s="3" t="s">
        <v>16</v>
      </c>
      <c r="H112" s="3" t="s">
        <v>34</v>
      </c>
      <c r="I112" s="3" t="s">
        <v>30</v>
      </c>
      <c r="J112" s="3" t="s">
        <v>31</v>
      </c>
      <c r="K112" s="3" t="s">
        <v>32</v>
      </c>
      <c r="L112" s="3">
        <v>8</v>
      </c>
      <c r="M112" s="3">
        <v>3339.68</v>
      </c>
      <c r="N112" s="3">
        <v>0</v>
      </c>
      <c r="O112" s="3">
        <f t="shared" si="3"/>
        <v>26717.439999999999</v>
      </c>
      <c r="P112" s="3" t="str">
        <f t="shared" si="4"/>
        <v>High Price</v>
      </c>
      <c r="Q112" s="3" t="str" cm="1">
        <f t="array" ref="Q112">_xlfn.IFS(N112&gt;=10,"High",N112&gt;=5,"Medium",N112&lt;5,"Low")</f>
        <v>Low</v>
      </c>
      <c r="R112" s="3" t="str">
        <f t="shared" si="5"/>
        <v>Medium</v>
      </c>
    </row>
    <row r="113" spans="1:18" x14ac:dyDescent="0.25">
      <c r="A113" s="3">
        <v>10120</v>
      </c>
      <c r="B113" s="3">
        <v>1878</v>
      </c>
      <c r="C113" s="4">
        <v>45186</v>
      </c>
      <c r="D113" s="4">
        <v>45187</v>
      </c>
      <c r="E113" s="3" t="s">
        <v>39</v>
      </c>
      <c r="F113" s="3" t="s">
        <v>22</v>
      </c>
      <c r="G113" s="3" t="s">
        <v>23</v>
      </c>
      <c r="H113" s="3" t="s">
        <v>41</v>
      </c>
      <c r="I113" s="3" t="s">
        <v>51</v>
      </c>
      <c r="J113" s="3" t="s">
        <v>52</v>
      </c>
      <c r="K113" s="3" t="s">
        <v>46</v>
      </c>
      <c r="L113" s="3">
        <v>7</v>
      </c>
      <c r="M113" s="3">
        <v>2894.46</v>
      </c>
      <c r="N113" s="3">
        <v>5</v>
      </c>
      <c r="O113" s="3">
        <f t="shared" si="3"/>
        <v>19248.159</v>
      </c>
      <c r="P113" s="3" t="str">
        <f t="shared" si="4"/>
        <v>High Price</v>
      </c>
      <c r="Q113" s="3" t="str" cm="1">
        <f t="array" ref="Q113">_xlfn.IFS(N113&gt;=10,"High",N113&gt;=5,"Medium",N113&lt;5,"Low")</f>
        <v>Medium</v>
      </c>
      <c r="R113" s="3" t="str">
        <f t="shared" si="5"/>
        <v>Medium</v>
      </c>
    </row>
    <row r="114" spans="1:18" x14ac:dyDescent="0.25">
      <c r="A114" s="3">
        <v>10121</v>
      </c>
      <c r="B114" s="3">
        <v>1052</v>
      </c>
      <c r="C114" s="4">
        <v>45114</v>
      </c>
      <c r="D114" s="4">
        <v>45115</v>
      </c>
      <c r="E114" s="3" t="s">
        <v>15</v>
      </c>
      <c r="F114" s="3" t="s">
        <v>15</v>
      </c>
      <c r="G114" s="3" t="s">
        <v>23</v>
      </c>
      <c r="H114" s="3" t="s">
        <v>34</v>
      </c>
      <c r="I114" s="3" t="s">
        <v>56</v>
      </c>
      <c r="J114" s="3" t="s">
        <v>61</v>
      </c>
      <c r="K114" s="3" t="s">
        <v>32</v>
      </c>
      <c r="L114" s="3">
        <v>5</v>
      </c>
      <c r="M114" s="3">
        <v>2832.28</v>
      </c>
      <c r="N114" s="3">
        <v>0</v>
      </c>
      <c r="O114" s="3">
        <f t="shared" si="3"/>
        <v>14161.400000000001</v>
      </c>
      <c r="P114" s="3" t="str">
        <f t="shared" si="4"/>
        <v>Low Price</v>
      </c>
      <c r="Q114" s="3" t="str" cm="1">
        <f t="array" ref="Q114">_xlfn.IFS(N114&gt;=10,"High",N114&gt;=5,"Medium",N114&lt;5,"Low")</f>
        <v>Low</v>
      </c>
      <c r="R114" s="3" t="str">
        <f t="shared" si="5"/>
        <v>Medium</v>
      </c>
    </row>
    <row r="115" spans="1:18" x14ac:dyDescent="0.25">
      <c r="A115" s="3">
        <v>10122</v>
      </c>
      <c r="B115" s="3">
        <v>1791</v>
      </c>
      <c r="C115" s="4">
        <v>44983</v>
      </c>
      <c r="D115" s="4">
        <v>44991</v>
      </c>
      <c r="E115" s="3" t="s">
        <v>15</v>
      </c>
      <c r="F115" s="3" t="s">
        <v>37</v>
      </c>
      <c r="G115" s="3" t="s">
        <v>23</v>
      </c>
      <c r="H115" s="3" t="s">
        <v>41</v>
      </c>
      <c r="I115" s="3" t="s">
        <v>48</v>
      </c>
      <c r="J115" s="3" t="s">
        <v>62</v>
      </c>
      <c r="K115" s="3" t="s">
        <v>44</v>
      </c>
      <c r="L115" s="3">
        <v>5</v>
      </c>
      <c r="M115" s="3">
        <v>1398.73</v>
      </c>
      <c r="N115" s="3">
        <v>0</v>
      </c>
      <c r="O115" s="3">
        <f t="shared" si="3"/>
        <v>6993.65</v>
      </c>
      <c r="P115" s="3" t="str">
        <f t="shared" si="4"/>
        <v>Low Price</v>
      </c>
      <c r="Q115" s="3" t="str" cm="1">
        <f t="array" ref="Q115">_xlfn.IFS(N115&gt;=10,"High",N115&gt;=5,"Medium",N115&lt;5,"Low")</f>
        <v>Low</v>
      </c>
      <c r="R115" s="3" t="str">
        <f t="shared" si="5"/>
        <v>Medium</v>
      </c>
    </row>
    <row r="116" spans="1:18" x14ac:dyDescent="0.25">
      <c r="A116" s="3">
        <v>10123</v>
      </c>
      <c r="B116" s="3">
        <v>1921</v>
      </c>
      <c r="C116" s="4">
        <v>44946</v>
      </c>
      <c r="D116" s="4">
        <v>44950</v>
      </c>
      <c r="E116" s="3" t="s">
        <v>21</v>
      </c>
      <c r="F116" s="3" t="s">
        <v>15</v>
      </c>
      <c r="G116" s="3" t="s">
        <v>23</v>
      </c>
      <c r="H116" s="3" t="s">
        <v>43</v>
      </c>
      <c r="I116" s="3" t="s">
        <v>25</v>
      </c>
      <c r="J116" s="3" t="s">
        <v>68</v>
      </c>
      <c r="K116" s="3" t="s">
        <v>46</v>
      </c>
      <c r="L116" s="3">
        <v>7</v>
      </c>
      <c r="M116" s="3">
        <v>1050.5</v>
      </c>
      <c r="N116" s="3">
        <v>20</v>
      </c>
      <c r="O116" s="3">
        <f t="shared" si="3"/>
        <v>5882.8</v>
      </c>
      <c r="P116" s="3" t="str">
        <f t="shared" si="4"/>
        <v>Low Price</v>
      </c>
      <c r="Q116" s="3" t="str" cm="1">
        <f t="array" ref="Q116">_xlfn.IFS(N116&gt;=10,"High",N116&gt;=5,"Medium",N116&lt;5,"Low")</f>
        <v>High</v>
      </c>
      <c r="R116" s="3" t="str">
        <f t="shared" si="5"/>
        <v>Medium</v>
      </c>
    </row>
    <row r="117" spans="1:18" x14ac:dyDescent="0.25">
      <c r="A117" s="3">
        <v>10124</v>
      </c>
      <c r="B117" s="3">
        <v>1216</v>
      </c>
      <c r="C117" s="4">
        <v>45199</v>
      </c>
      <c r="D117" s="4">
        <v>45200</v>
      </c>
      <c r="E117" s="3" t="s">
        <v>15</v>
      </c>
      <c r="F117" s="3" t="s">
        <v>40</v>
      </c>
      <c r="G117" s="3" t="s">
        <v>23</v>
      </c>
      <c r="H117" s="3" t="s">
        <v>17</v>
      </c>
      <c r="I117" s="3" t="s">
        <v>25</v>
      </c>
      <c r="J117" s="3" t="s">
        <v>60</v>
      </c>
      <c r="K117" s="3" t="s">
        <v>32</v>
      </c>
      <c r="L117" s="3">
        <v>9</v>
      </c>
      <c r="M117" s="3">
        <v>961.91</v>
      </c>
      <c r="N117" s="3">
        <v>15</v>
      </c>
      <c r="O117" s="3">
        <f t="shared" si="3"/>
        <v>7358.6115</v>
      </c>
      <c r="P117" s="3" t="str">
        <f t="shared" si="4"/>
        <v>Low Price</v>
      </c>
      <c r="Q117" s="3" t="str" cm="1">
        <f t="array" ref="Q117">_xlfn.IFS(N117&gt;=10,"High",N117&gt;=5,"Medium",N117&lt;5,"Low")</f>
        <v>High</v>
      </c>
      <c r="R117" s="3" t="str">
        <f t="shared" si="5"/>
        <v>High</v>
      </c>
    </row>
    <row r="118" spans="1:18" x14ac:dyDescent="0.25">
      <c r="A118" s="3">
        <v>10125</v>
      </c>
      <c r="B118" s="3">
        <v>1763</v>
      </c>
      <c r="C118" s="4">
        <v>45045</v>
      </c>
      <c r="D118" s="4">
        <v>45052</v>
      </c>
      <c r="E118" s="3" t="s">
        <v>15</v>
      </c>
      <c r="F118" s="3" t="s">
        <v>22</v>
      </c>
      <c r="G118" s="3" t="s">
        <v>29</v>
      </c>
      <c r="H118" s="3" t="s">
        <v>43</v>
      </c>
      <c r="I118" s="3" t="s">
        <v>51</v>
      </c>
      <c r="J118" s="3" t="s">
        <v>63</v>
      </c>
      <c r="K118" s="3" t="s">
        <v>46</v>
      </c>
      <c r="L118" s="3">
        <v>9</v>
      </c>
      <c r="M118" s="3">
        <v>3450.19</v>
      </c>
      <c r="N118" s="3">
        <v>0</v>
      </c>
      <c r="O118" s="3">
        <f t="shared" si="3"/>
        <v>31051.71</v>
      </c>
      <c r="P118" s="3" t="str">
        <f t="shared" si="4"/>
        <v>High Price</v>
      </c>
      <c r="Q118" s="3" t="str" cm="1">
        <f t="array" ref="Q118">_xlfn.IFS(N118&gt;=10,"High",N118&gt;=5,"Medium",N118&lt;5,"Low")</f>
        <v>Low</v>
      </c>
      <c r="R118" s="3" t="str">
        <f t="shared" si="5"/>
        <v>High</v>
      </c>
    </row>
    <row r="119" spans="1:18" x14ac:dyDescent="0.25">
      <c r="A119" s="3">
        <v>10126</v>
      </c>
      <c r="B119" s="3">
        <v>1187</v>
      </c>
      <c r="C119" s="4">
        <v>44997</v>
      </c>
      <c r="D119" s="4">
        <v>45002</v>
      </c>
      <c r="E119" s="3" t="s">
        <v>21</v>
      </c>
      <c r="F119" s="3" t="s">
        <v>53</v>
      </c>
      <c r="G119" s="3" t="s">
        <v>23</v>
      </c>
      <c r="H119" s="3" t="s">
        <v>17</v>
      </c>
      <c r="I119" s="3" t="s">
        <v>30</v>
      </c>
      <c r="J119" s="3" t="s">
        <v>47</v>
      </c>
      <c r="K119" s="3" t="s">
        <v>27</v>
      </c>
      <c r="L119" s="3">
        <v>9</v>
      </c>
      <c r="M119" s="3">
        <v>3308.64</v>
      </c>
      <c r="N119" s="3">
        <v>5</v>
      </c>
      <c r="O119" s="3">
        <f t="shared" si="3"/>
        <v>28288.871999999996</v>
      </c>
      <c r="P119" s="3" t="str">
        <f t="shared" si="4"/>
        <v>High Price</v>
      </c>
      <c r="Q119" s="3" t="str" cm="1">
        <f t="array" ref="Q119">_xlfn.IFS(N119&gt;=10,"High",N119&gt;=5,"Medium",N119&lt;5,"Low")</f>
        <v>Medium</v>
      </c>
      <c r="R119" s="3" t="str">
        <f t="shared" si="5"/>
        <v>High</v>
      </c>
    </row>
    <row r="120" spans="1:18" x14ac:dyDescent="0.25">
      <c r="A120" s="3">
        <v>10127</v>
      </c>
      <c r="B120" s="3">
        <v>1379</v>
      </c>
      <c r="C120" s="4">
        <v>44930</v>
      </c>
      <c r="D120" s="4">
        <v>44935</v>
      </c>
      <c r="E120" s="3" t="s">
        <v>36</v>
      </c>
      <c r="F120" s="3" t="s">
        <v>53</v>
      </c>
      <c r="G120" s="3" t="s">
        <v>23</v>
      </c>
      <c r="H120" s="3" t="s">
        <v>17</v>
      </c>
      <c r="I120" s="3" t="s">
        <v>30</v>
      </c>
      <c r="J120" s="3" t="s">
        <v>38</v>
      </c>
      <c r="K120" s="3" t="s">
        <v>20</v>
      </c>
      <c r="L120" s="3">
        <v>6</v>
      </c>
      <c r="M120" s="3">
        <v>1846.21</v>
      </c>
      <c r="N120" s="3">
        <v>10</v>
      </c>
      <c r="O120" s="3">
        <f t="shared" si="3"/>
        <v>9969.5339999999997</v>
      </c>
      <c r="P120" s="3" t="str">
        <f t="shared" si="4"/>
        <v>Low Price</v>
      </c>
      <c r="Q120" s="3" t="str" cm="1">
        <f t="array" ref="Q120">_xlfn.IFS(N120&gt;=10,"High",N120&gt;=5,"Medium",N120&lt;5,"Low")</f>
        <v>High</v>
      </c>
      <c r="R120" s="3" t="str">
        <f t="shared" si="5"/>
        <v>Medium</v>
      </c>
    </row>
    <row r="121" spans="1:18" x14ac:dyDescent="0.25">
      <c r="A121" s="3">
        <v>10128</v>
      </c>
      <c r="B121" s="3">
        <v>1492</v>
      </c>
      <c r="C121" s="4">
        <v>45147</v>
      </c>
      <c r="D121" s="4">
        <v>45148</v>
      </c>
      <c r="E121" s="3" t="s">
        <v>45</v>
      </c>
      <c r="F121" s="3" t="s">
        <v>37</v>
      </c>
      <c r="G121" s="3" t="s">
        <v>29</v>
      </c>
      <c r="H121" s="3" t="s">
        <v>34</v>
      </c>
      <c r="I121" s="3" t="s">
        <v>25</v>
      </c>
      <c r="J121" s="3" t="s">
        <v>60</v>
      </c>
      <c r="K121" s="3" t="s">
        <v>46</v>
      </c>
      <c r="L121" s="3">
        <v>6</v>
      </c>
      <c r="M121" s="3">
        <v>659.76</v>
      </c>
      <c r="N121" s="3">
        <v>0</v>
      </c>
      <c r="O121" s="3">
        <f t="shared" si="3"/>
        <v>3958.56</v>
      </c>
      <c r="P121" s="3" t="str">
        <f t="shared" si="4"/>
        <v>Low Price</v>
      </c>
      <c r="Q121" s="3" t="str" cm="1">
        <f t="array" ref="Q121">_xlfn.IFS(N121&gt;=10,"High",N121&gt;=5,"Medium",N121&lt;5,"Low")</f>
        <v>Low</v>
      </c>
      <c r="R121" s="3" t="str">
        <f t="shared" si="5"/>
        <v>Medium</v>
      </c>
    </row>
    <row r="122" spans="1:18" x14ac:dyDescent="0.25">
      <c r="A122" s="3">
        <v>10129</v>
      </c>
      <c r="B122" s="3">
        <v>1040</v>
      </c>
      <c r="C122" s="4">
        <v>44940</v>
      </c>
      <c r="D122" s="4">
        <v>44946</v>
      </c>
      <c r="E122" s="3" t="s">
        <v>33</v>
      </c>
      <c r="F122" s="3" t="s">
        <v>28</v>
      </c>
      <c r="G122" s="3" t="s">
        <v>23</v>
      </c>
      <c r="H122" s="3" t="s">
        <v>43</v>
      </c>
      <c r="I122" s="3" t="s">
        <v>51</v>
      </c>
      <c r="J122" s="3" t="s">
        <v>55</v>
      </c>
      <c r="K122" s="3" t="s">
        <v>20</v>
      </c>
      <c r="L122" s="3">
        <v>3</v>
      </c>
      <c r="M122" s="3">
        <v>1621.67</v>
      </c>
      <c r="N122" s="3">
        <v>0</v>
      </c>
      <c r="O122" s="3">
        <f t="shared" si="3"/>
        <v>4865.01</v>
      </c>
      <c r="P122" s="3" t="str">
        <f t="shared" si="4"/>
        <v>Low Price</v>
      </c>
      <c r="Q122" s="3" t="str" cm="1">
        <f t="array" ref="Q122">_xlfn.IFS(N122&gt;=10,"High",N122&gt;=5,"Medium",N122&lt;5,"Low")</f>
        <v>Low</v>
      </c>
      <c r="R122" s="3" t="str">
        <f t="shared" si="5"/>
        <v>Low</v>
      </c>
    </row>
    <row r="123" spans="1:18" x14ac:dyDescent="0.25">
      <c r="A123" s="3">
        <v>10130</v>
      </c>
      <c r="B123" s="3">
        <v>1156</v>
      </c>
      <c r="C123" s="4">
        <v>44929</v>
      </c>
      <c r="D123" s="4">
        <v>44938</v>
      </c>
      <c r="E123" s="3" t="s">
        <v>14</v>
      </c>
      <c r="F123" s="3" t="s">
        <v>40</v>
      </c>
      <c r="G123" s="3" t="s">
        <v>16</v>
      </c>
      <c r="H123" s="3" t="s">
        <v>41</v>
      </c>
      <c r="I123" s="3" t="s">
        <v>56</v>
      </c>
      <c r="J123" s="3" t="s">
        <v>61</v>
      </c>
      <c r="K123" s="3" t="s">
        <v>32</v>
      </c>
      <c r="L123" s="3">
        <v>1</v>
      </c>
      <c r="M123" s="3">
        <v>2534.4699999999998</v>
      </c>
      <c r="N123" s="3">
        <v>5</v>
      </c>
      <c r="O123" s="3">
        <f t="shared" si="3"/>
        <v>2407.7464999999997</v>
      </c>
      <c r="P123" s="3" t="str">
        <f t="shared" si="4"/>
        <v>Low Price</v>
      </c>
      <c r="Q123" s="3" t="str" cm="1">
        <f t="array" ref="Q123">_xlfn.IFS(N123&gt;=10,"High",N123&gt;=5,"Medium",N123&lt;5,"Low")</f>
        <v>Medium</v>
      </c>
      <c r="R123" s="3" t="str">
        <f t="shared" si="5"/>
        <v>Low</v>
      </c>
    </row>
    <row r="124" spans="1:18" x14ac:dyDescent="0.25">
      <c r="A124" s="3">
        <v>10131</v>
      </c>
      <c r="B124" s="3">
        <v>1014</v>
      </c>
      <c r="C124" s="4">
        <v>45142</v>
      </c>
      <c r="D124" s="4">
        <v>45151</v>
      </c>
      <c r="E124" s="3" t="s">
        <v>33</v>
      </c>
      <c r="F124" s="3" t="s">
        <v>37</v>
      </c>
      <c r="G124" s="3" t="s">
        <v>23</v>
      </c>
      <c r="H124" s="3" t="s">
        <v>43</v>
      </c>
      <c r="I124" s="3" t="s">
        <v>30</v>
      </c>
      <c r="J124" s="3" t="s">
        <v>31</v>
      </c>
      <c r="K124" s="3" t="s">
        <v>20</v>
      </c>
      <c r="L124" s="3">
        <v>7</v>
      </c>
      <c r="M124" s="3">
        <v>1899.45</v>
      </c>
      <c r="N124" s="3">
        <v>15</v>
      </c>
      <c r="O124" s="3">
        <f t="shared" si="3"/>
        <v>11301.727499999999</v>
      </c>
      <c r="P124" s="3" t="str">
        <f t="shared" si="4"/>
        <v>Low Price</v>
      </c>
      <c r="Q124" s="3" t="str" cm="1">
        <f t="array" ref="Q124">_xlfn.IFS(N124&gt;=10,"High",N124&gt;=5,"Medium",N124&lt;5,"Low")</f>
        <v>High</v>
      </c>
      <c r="R124" s="3" t="str">
        <f t="shared" si="5"/>
        <v>Medium</v>
      </c>
    </row>
    <row r="125" spans="1:18" x14ac:dyDescent="0.25">
      <c r="A125" s="3">
        <v>10132</v>
      </c>
      <c r="B125" s="3">
        <v>1812</v>
      </c>
      <c r="C125" s="4">
        <v>45155</v>
      </c>
      <c r="D125" s="4">
        <v>45163</v>
      </c>
      <c r="E125" s="3" t="s">
        <v>33</v>
      </c>
      <c r="F125" s="3" t="s">
        <v>28</v>
      </c>
      <c r="G125" s="3" t="s">
        <v>23</v>
      </c>
      <c r="H125" s="3" t="s">
        <v>34</v>
      </c>
      <c r="I125" s="3" t="s">
        <v>56</v>
      </c>
      <c r="J125" s="3" t="s">
        <v>57</v>
      </c>
      <c r="K125" s="3" t="s">
        <v>46</v>
      </c>
      <c r="L125" s="3">
        <v>4</v>
      </c>
      <c r="M125" s="3">
        <v>3153.73</v>
      </c>
      <c r="N125" s="3">
        <v>0</v>
      </c>
      <c r="O125" s="3">
        <f t="shared" si="3"/>
        <v>12614.92</v>
      </c>
      <c r="P125" s="3" t="str">
        <f t="shared" si="4"/>
        <v>Low Price</v>
      </c>
      <c r="Q125" s="3" t="str" cm="1">
        <f t="array" ref="Q125">_xlfn.IFS(N125&gt;=10,"High",N125&gt;=5,"Medium",N125&lt;5,"Low")</f>
        <v>Low</v>
      </c>
      <c r="R125" s="3" t="str">
        <f t="shared" si="5"/>
        <v>Low</v>
      </c>
    </row>
    <row r="126" spans="1:18" x14ac:dyDescent="0.25">
      <c r="A126" s="3">
        <v>10133</v>
      </c>
      <c r="B126" s="3">
        <v>1064</v>
      </c>
      <c r="C126" s="4">
        <v>45262</v>
      </c>
      <c r="D126" s="4">
        <v>45267</v>
      </c>
      <c r="E126" s="3" t="s">
        <v>39</v>
      </c>
      <c r="F126" s="3" t="s">
        <v>15</v>
      </c>
      <c r="G126" s="3" t="s">
        <v>16</v>
      </c>
      <c r="H126" s="3" t="s">
        <v>17</v>
      </c>
      <c r="I126" s="3" t="s">
        <v>30</v>
      </c>
      <c r="J126" s="3" t="s">
        <v>47</v>
      </c>
      <c r="K126" s="3" t="s">
        <v>27</v>
      </c>
      <c r="L126" s="3">
        <v>1</v>
      </c>
      <c r="M126" s="3">
        <v>3990.85</v>
      </c>
      <c r="N126" s="3">
        <v>0</v>
      </c>
      <c r="O126" s="3">
        <f t="shared" si="3"/>
        <v>3990.85</v>
      </c>
      <c r="P126" s="3" t="str">
        <f t="shared" si="4"/>
        <v>Low Price</v>
      </c>
      <c r="Q126" s="3" t="str" cm="1">
        <f t="array" ref="Q126">_xlfn.IFS(N126&gt;=10,"High",N126&gt;=5,"Medium",N126&lt;5,"Low")</f>
        <v>Low</v>
      </c>
      <c r="R126" s="3" t="str">
        <f t="shared" si="5"/>
        <v>Low</v>
      </c>
    </row>
    <row r="127" spans="1:18" x14ac:dyDescent="0.25">
      <c r="A127" s="3">
        <v>10135</v>
      </c>
      <c r="B127" s="3">
        <v>1838</v>
      </c>
      <c r="C127" s="4">
        <v>44981</v>
      </c>
      <c r="D127" s="4">
        <v>44990</v>
      </c>
      <c r="E127" s="3" t="s">
        <v>39</v>
      </c>
      <c r="F127" s="3" t="s">
        <v>15</v>
      </c>
      <c r="G127" s="3" t="s">
        <v>16</v>
      </c>
      <c r="H127" s="3" t="s">
        <v>24</v>
      </c>
      <c r="I127" s="3" t="s">
        <v>18</v>
      </c>
      <c r="J127" s="3" t="s">
        <v>42</v>
      </c>
      <c r="K127" s="3" t="s">
        <v>46</v>
      </c>
      <c r="L127" s="3">
        <v>6</v>
      </c>
      <c r="M127" s="3">
        <v>1919.66</v>
      </c>
      <c r="N127" s="3">
        <v>5</v>
      </c>
      <c r="O127" s="3">
        <f t="shared" si="3"/>
        <v>10942.062</v>
      </c>
      <c r="P127" s="3" t="str">
        <f t="shared" si="4"/>
        <v>Low Price</v>
      </c>
      <c r="Q127" s="3" t="str" cm="1">
        <f t="array" ref="Q127">_xlfn.IFS(N127&gt;=10,"High",N127&gt;=5,"Medium",N127&lt;5,"Low")</f>
        <v>Medium</v>
      </c>
      <c r="R127" s="3" t="str">
        <f t="shared" si="5"/>
        <v>Medium</v>
      </c>
    </row>
    <row r="128" spans="1:18" x14ac:dyDescent="0.25">
      <c r="A128" s="3">
        <v>10136</v>
      </c>
      <c r="B128" s="3">
        <v>1520</v>
      </c>
      <c r="C128" s="4">
        <v>45180</v>
      </c>
      <c r="D128" s="4">
        <v>45181</v>
      </c>
      <c r="E128" s="3" t="s">
        <v>45</v>
      </c>
      <c r="F128" s="3" t="s">
        <v>22</v>
      </c>
      <c r="G128" s="3" t="s">
        <v>16</v>
      </c>
      <c r="H128" s="3" t="s">
        <v>24</v>
      </c>
      <c r="I128" s="3" t="s">
        <v>30</v>
      </c>
      <c r="J128" s="3" t="s">
        <v>38</v>
      </c>
      <c r="K128" s="3" t="s">
        <v>32</v>
      </c>
      <c r="L128" s="3">
        <v>6</v>
      </c>
      <c r="M128" s="3">
        <v>1809.29</v>
      </c>
      <c r="N128" s="3">
        <v>0</v>
      </c>
      <c r="O128" s="3">
        <f t="shared" si="3"/>
        <v>10855.74</v>
      </c>
      <c r="P128" s="3" t="str">
        <f t="shared" si="4"/>
        <v>Low Price</v>
      </c>
      <c r="Q128" s="3" t="str" cm="1">
        <f t="array" ref="Q128">_xlfn.IFS(N128&gt;=10,"High",N128&gt;=5,"Medium",N128&lt;5,"Low")</f>
        <v>Low</v>
      </c>
      <c r="R128" s="3" t="str">
        <f t="shared" si="5"/>
        <v>Medium</v>
      </c>
    </row>
    <row r="129" spans="1:18" x14ac:dyDescent="0.25">
      <c r="A129" s="3">
        <v>10138</v>
      </c>
      <c r="B129" s="3">
        <v>1128</v>
      </c>
      <c r="C129" s="4">
        <v>45088</v>
      </c>
      <c r="D129" s="4">
        <v>45093</v>
      </c>
      <c r="E129" s="3" t="s">
        <v>21</v>
      </c>
      <c r="F129" s="3" t="s">
        <v>28</v>
      </c>
      <c r="G129" s="3" t="s">
        <v>16</v>
      </c>
      <c r="H129" s="3" t="s">
        <v>34</v>
      </c>
      <c r="I129" s="3" t="s">
        <v>51</v>
      </c>
      <c r="J129" s="3" t="s">
        <v>52</v>
      </c>
      <c r="K129" s="3" t="s">
        <v>20</v>
      </c>
      <c r="L129" s="3">
        <v>1</v>
      </c>
      <c r="M129" s="3">
        <v>912.67</v>
      </c>
      <c r="N129" s="3">
        <v>0</v>
      </c>
      <c r="O129" s="3">
        <f t="shared" si="3"/>
        <v>912.67</v>
      </c>
      <c r="P129" s="3" t="str">
        <f t="shared" si="4"/>
        <v>Low Price</v>
      </c>
      <c r="Q129" s="3" t="str" cm="1">
        <f t="array" ref="Q129">_xlfn.IFS(N129&gt;=10,"High",N129&gt;=5,"Medium",N129&lt;5,"Low")</f>
        <v>Low</v>
      </c>
      <c r="R129" s="3" t="str">
        <f t="shared" si="5"/>
        <v>Low</v>
      </c>
    </row>
    <row r="130" spans="1:18" x14ac:dyDescent="0.25">
      <c r="A130" s="3">
        <v>10139</v>
      </c>
      <c r="B130" s="3">
        <v>1647</v>
      </c>
      <c r="C130" s="4">
        <v>45084</v>
      </c>
      <c r="D130" s="4">
        <v>45087</v>
      </c>
      <c r="E130" s="3" t="s">
        <v>45</v>
      </c>
      <c r="F130" s="3" t="s">
        <v>22</v>
      </c>
      <c r="G130" s="3" t="s">
        <v>16</v>
      </c>
      <c r="H130" s="3" t="s">
        <v>41</v>
      </c>
      <c r="I130" s="3" t="s">
        <v>51</v>
      </c>
      <c r="J130" s="3" t="s">
        <v>52</v>
      </c>
      <c r="K130" s="3" t="s">
        <v>44</v>
      </c>
      <c r="L130" s="3">
        <v>2</v>
      </c>
      <c r="M130" s="3">
        <v>402.91</v>
      </c>
      <c r="N130" s="3">
        <v>10</v>
      </c>
      <c r="O130" s="3">
        <f t="shared" si="3"/>
        <v>725.23800000000006</v>
      </c>
      <c r="P130" s="3" t="str">
        <f t="shared" si="4"/>
        <v>Low Price</v>
      </c>
      <c r="Q130" s="3" t="str" cm="1">
        <f t="array" ref="Q130">_xlfn.IFS(N130&gt;=10,"High",N130&gt;=5,"Medium",N130&lt;5,"Low")</f>
        <v>High</v>
      </c>
      <c r="R130" s="3" t="str">
        <f t="shared" si="5"/>
        <v>Low</v>
      </c>
    </row>
    <row r="131" spans="1:18" x14ac:dyDescent="0.25">
      <c r="A131" s="3">
        <v>10140</v>
      </c>
      <c r="B131" s="3">
        <v>1471</v>
      </c>
      <c r="C131" s="4">
        <v>45008</v>
      </c>
      <c r="D131" s="4">
        <v>45015</v>
      </c>
      <c r="E131" s="3" t="s">
        <v>15</v>
      </c>
      <c r="F131" s="3" t="s">
        <v>53</v>
      </c>
      <c r="G131" s="3" t="s">
        <v>29</v>
      </c>
      <c r="H131" s="3" t="s">
        <v>41</v>
      </c>
      <c r="I131" s="3" t="s">
        <v>56</v>
      </c>
      <c r="J131" s="3" t="s">
        <v>58</v>
      </c>
      <c r="K131" s="3" t="s">
        <v>46</v>
      </c>
      <c r="L131" s="3">
        <v>4</v>
      </c>
      <c r="M131" s="3">
        <v>3565.41</v>
      </c>
      <c r="N131" s="3">
        <v>20</v>
      </c>
      <c r="O131" s="3">
        <f t="shared" ref="O131:O194" si="6">(L131*M131)*(1-N131/100)</f>
        <v>11409.312</v>
      </c>
      <c r="P131" s="3" t="str">
        <f t="shared" ref="P131:P194" si="7">IF(O131&gt;=15000,"High Price","Low Price")</f>
        <v>Low Price</v>
      </c>
      <c r="Q131" s="3" t="str" cm="1">
        <f t="array" ref="Q131">_xlfn.IFS(N131&gt;=10,"High",N131&gt;=5,"Medium",N131&lt;5,"Low")</f>
        <v>High</v>
      </c>
      <c r="R131" s="3" t="str">
        <f t="shared" ref="R131:R194" si="8">IF(L131&gt;8,"High",IF(L131&gt;4,"Medium","Low"))</f>
        <v>Low</v>
      </c>
    </row>
    <row r="132" spans="1:18" x14ac:dyDescent="0.25">
      <c r="A132" s="3">
        <v>10141</v>
      </c>
      <c r="B132" s="3">
        <v>1062</v>
      </c>
      <c r="C132" s="4">
        <v>45085</v>
      </c>
      <c r="D132" s="4">
        <v>45092</v>
      </c>
      <c r="E132" s="3" t="s">
        <v>36</v>
      </c>
      <c r="F132" s="3" t="s">
        <v>28</v>
      </c>
      <c r="G132" s="3" t="s">
        <v>16</v>
      </c>
      <c r="H132" s="3" t="s">
        <v>24</v>
      </c>
      <c r="I132" s="3" t="s">
        <v>30</v>
      </c>
      <c r="J132" s="3" t="s">
        <v>38</v>
      </c>
      <c r="K132" s="3" t="s">
        <v>27</v>
      </c>
      <c r="L132" s="3">
        <v>2</v>
      </c>
      <c r="M132" s="3">
        <v>1766.42</v>
      </c>
      <c r="N132" s="3">
        <v>10</v>
      </c>
      <c r="O132" s="3">
        <f t="shared" si="6"/>
        <v>3179.556</v>
      </c>
      <c r="P132" s="3" t="str">
        <f t="shared" si="7"/>
        <v>Low Price</v>
      </c>
      <c r="Q132" s="3" t="str" cm="1">
        <f t="array" ref="Q132">_xlfn.IFS(N132&gt;=10,"High",N132&gt;=5,"Medium",N132&lt;5,"Low")</f>
        <v>High</v>
      </c>
      <c r="R132" s="3" t="str">
        <f t="shared" si="8"/>
        <v>Low</v>
      </c>
    </row>
    <row r="133" spans="1:18" x14ac:dyDescent="0.25">
      <c r="A133" s="3">
        <v>10142</v>
      </c>
      <c r="B133" s="3">
        <v>1138</v>
      </c>
      <c r="C133" s="4">
        <v>45114</v>
      </c>
      <c r="D133" s="4">
        <v>45123</v>
      </c>
      <c r="E133" s="3" t="s">
        <v>15</v>
      </c>
      <c r="F133" s="3" t="s">
        <v>37</v>
      </c>
      <c r="G133" s="3" t="s">
        <v>16</v>
      </c>
      <c r="H133" s="3" t="s">
        <v>41</v>
      </c>
      <c r="I133" s="3" t="s">
        <v>48</v>
      </c>
      <c r="J133" s="3" t="s">
        <v>50</v>
      </c>
      <c r="K133" s="3" t="s">
        <v>32</v>
      </c>
      <c r="L133" s="3">
        <v>1</v>
      </c>
      <c r="M133" s="3">
        <v>2063.0500000000002</v>
      </c>
      <c r="N133" s="3">
        <v>0</v>
      </c>
      <c r="O133" s="3">
        <f t="shared" si="6"/>
        <v>2063.0500000000002</v>
      </c>
      <c r="P133" s="3" t="str">
        <f t="shared" si="7"/>
        <v>Low Price</v>
      </c>
      <c r="Q133" s="3" t="str" cm="1">
        <f t="array" ref="Q133">_xlfn.IFS(N133&gt;=10,"High",N133&gt;=5,"Medium",N133&lt;5,"Low")</f>
        <v>Low</v>
      </c>
      <c r="R133" s="3" t="str">
        <f t="shared" si="8"/>
        <v>Low</v>
      </c>
    </row>
    <row r="134" spans="1:18" x14ac:dyDescent="0.25">
      <c r="A134" s="3">
        <v>10143</v>
      </c>
      <c r="B134" s="3">
        <v>1498</v>
      </c>
      <c r="C134" s="4">
        <v>44986</v>
      </c>
      <c r="D134" s="4">
        <v>44993</v>
      </c>
      <c r="E134" s="3" t="s">
        <v>36</v>
      </c>
      <c r="F134" s="3" t="s">
        <v>53</v>
      </c>
      <c r="G134" s="3" t="s">
        <v>29</v>
      </c>
      <c r="H134" s="3" t="s">
        <v>24</v>
      </c>
      <c r="I134" s="3" t="s">
        <v>56</v>
      </c>
      <c r="J134" s="3" t="s">
        <v>57</v>
      </c>
      <c r="K134" s="3" t="s">
        <v>20</v>
      </c>
      <c r="L134" s="3">
        <v>7</v>
      </c>
      <c r="M134" s="3">
        <v>3680.23</v>
      </c>
      <c r="N134" s="3">
        <v>5</v>
      </c>
      <c r="O134" s="3">
        <f t="shared" si="6"/>
        <v>24473.529500000001</v>
      </c>
      <c r="P134" s="3" t="str">
        <f t="shared" si="7"/>
        <v>High Price</v>
      </c>
      <c r="Q134" s="3" t="str" cm="1">
        <f t="array" ref="Q134">_xlfn.IFS(N134&gt;=10,"High",N134&gt;=5,"Medium",N134&lt;5,"Low")</f>
        <v>Medium</v>
      </c>
      <c r="R134" s="3" t="str">
        <f t="shared" si="8"/>
        <v>Medium</v>
      </c>
    </row>
    <row r="135" spans="1:18" x14ac:dyDescent="0.25">
      <c r="A135" s="3">
        <v>10144</v>
      </c>
      <c r="B135" s="3">
        <v>1592</v>
      </c>
      <c r="C135" s="4">
        <v>45231</v>
      </c>
      <c r="D135" s="4">
        <v>45234</v>
      </c>
      <c r="E135" s="3" t="s">
        <v>39</v>
      </c>
      <c r="F135" s="3" t="s">
        <v>53</v>
      </c>
      <c r="G135" s="3" t="s">
        <v>29</v>
      </c>
      <c r="H135" s="3" t="s">
        <v>17</v>
      </c>
      <c r="I135" s="3" t="s">
        <v>18</v>
      </c>
      <c r="J135" s="3" t="s">
        <v>54</v>
      </c>
      <c r="K135" s="3" t="s">
        <v>32</v>
      </c>
      <c r="L135" s="3">
        <v>8</v>
      </c>
      <c r="M135" s="3">
        <v>3138.72</v>
      </c>
      <c r="N135" s="3">
        <v>20</v>
      </c>
      <c r="O135" s="3">
        <f t="shared" si="6"/>
        <v>20087.808000000001</v>
      </c>
      <c r="P135" s="3" t="str">
        <f t="shared" si="7"/>
        <v>High Price</v>
      </c>
      <c r="Q135" s="3" t="str" cm="1">
        <f t="array" ref="Q135">_xlfn.IFS(N135&gt;=10,"High",N135&gt;=5,"Medium",N135&lt;5,"Low")</f>
        <v>High</v>
      </c>
      <c r="R135" s="3" t="str">
        <f t="shared" si="8"/>
        <v>Medium</v>
      </c>
    </row>
    <row r="136" spans="1:18" x14ac:dyDescent="0.25">
      <c r="A136" s="3">
        <v>10145</v>
      </c>
      <c r="B136" s="3">
        <v>1391</v>
      </c>
      <c r="C136" s="4">
        <v>45245</v>
      </c>
      <c r="D136" s="4">
        <v>45246</v>
      </c>
      <c r="E136" s="3" t="s">
        <v>36</v>
      </c>
      <c r="F136" s="3" t="s">
        <v>37</v>
      </c>
      <c r="G136" s="3" t="s">
        <v>23</v>
      </c>
      <c r="H136" s="3" t="s">
        <v>34</v>
      </c>
      <c r="I136" s="3" t="s">
        <v>56</v>
      </c>
      <c r="J136" s="3" t="s">
        <v>58</v>
      </c>
      <c r="K136" s="3" t="s">
        <v>46</v>
      </c>
      <c r="L136" s="3">
        <v>6</v>
      </c>
      <c r="M136" s="3">
        <v>652.42999999999995</v>
      </c>
      <c r="N136" s="3">
        <v>10</v>
      </c>
      <c r="O136" s="3">
        <f t="shared" si="6"/>
        <v>3523.1219999999998</v>
      </c>
      <c r="P136" s="3" t="str">
        <f t="shared" si="7"/>
        <v>Low Price</v>
      </c>
      <c r="Q136" s="3" t="str" cm="1">
        <f t="array" ref="Q136">_xlfn.IFS(N136&gt;=10,"High",N136&gt;=5,"Medium",N136&lt;5,"Low")</f>
        <v>High</v>
      </c>
      <c r="R136" s="3" t="str">
        <f t="shared" si="8"/>
        <v>Medium</v>
      </c>
    </row>
    <row r="137" spans="1:18" x14ac:dyDescent="0.25">
      <c r="A137" s="3">
        <v>10146</v>
      </c>
      <c r="B137" s="3">
        <v>1674</v>
      </c>
      <c r="C137" s="4">
        <v>45137</v>
      </c>
      <c r="D137" s="4">
        <v>45145</v>
      </c>
      <c r="E137" s="3" t="s">
        <v>39</v>
      </c>
      <c r="F137" s="3" t="s">
        <v>40</v>
      </c>
      <c r="G137" s="3" t="s">
        <v>29</v>
      </c>
      <c r="H137" s="3" t="s">
        <v>41</v>
      </c>
      <c r="I137" s="3" t="s">
        <v>56</v>
      </c>
      <c r="J137" s="3" t="s">
        <v>61</v>
      </c>
      <c r="K137" s="3" t="s">
        <v>32</v>
      </c>
      <c r="L137" s="3">
        <v>4</v>
      </c>
      <c r="M137" s="3">
        <v>2326.87</v>
      </c>
      <c r="N137" s="3">
        <v>15</v>
      </c>
      <c r="O137" s="3">
        <f t="shared" si="6"/>
        <v>7911.3579999999993</v>
      </c>
      <c r="P137" s="3" t="str">
        <f t="shared" si="7"/>
        <v>Low Price</v>
      </c>
      <c r="Q137" s="3" t="str" cm="1">
        <f t="array" ref="Q137">_xlfn.IFS(N137&gt;=10,"High",N137&gt;=5,"Medium",N137&lt;5,"Low")</f>
        <v>High</v>
      </c>
      <c r="R137" s="3" t="str">
        <f t="shared" si="8"/>
        <v>Low</v>
      </c>
    </row>
    <row r="138" spans="1:18" x14ac:dyDescent="0.25">
      <c r="A138" s="3">
        <v>10147</v>
      </c>
      <c r="B138" s="3">
        <v>1418</v>
      </c>
      <c r="C138" s="4">
        <v>45078</v>
      </c>
      <c r="D138" s="4">
        <v>45081</v>
      </c>
      <c r="E138" s="3" t="s">
        <v>21</v>
      </c>
      <c r="F138" s="3" t="s">
        <v>53</v>
      </c>
      <c r="G138" s="3" t="s">
        <v>23</v>
      </c>
      <c r="H138" s="3" t="s">
        <v>24</v>
      </c>
      <c r="I138" s="3" t="s">
        <v>30</v>
      </c>
      <c r="J138" s="3" t="s">
        <v>47</v>
      </c>
      <c r="K138" s="3" t="s">
        <v>20</v>
      </c>
      <c r="L138" s="3">
        <v>6</v>
      </c>
      <c r="M138" s="3">
        <v>1852.67</v>
      </c>
      <c r="N138" s="3">
        <v>5</v>
      </c>
      <c r="O138" s="3">
        <f t="shared" si="6"/>
        <v>10560.218999999999</v>
      </c>
      <c r="P138" s="3" t="str">
        <f t="shared" si="7"/>
        <v>Low Price</v>
      </c>
      <c r="Q138" s="3" t="str" cm="1">
        <f t="array" ref="Q138">_xlfn.IFS(N138&gt;=10,"High",N138&gt;=5,"Medium",N138&lt;5,"Low")</f>
        <v>Medium</v>
      </c>
      <c r="R138" s="3" t="str">
        <f t="shared" si="8"/>
        <v>Medium</v>
      </c>
    </row>
    <row r="139" spans="1:18" x14ac:dyDescent="0.25">
      <c r="A139" s="3">
        <v>10148</v>
      </c>
      <c r="B139" s="3">
        <v>1288</v>
      </c>
      <c r="C139" s="4">
        <v>45035</v>
      </c>
      <c r="D139" s="4">
        <v>45043</v>
      </c>
      <c r="E139" s="3" t="s">
        <v>33</v>
      </c>
      <c r="F139" s="3" t="s">
        <v>28</v>
      </c>
      <c r="G139" s="3" t="s">
        <v>29</v>
      </c>
      <c r="H139" s="3" t="s">
        <v>43</v>
      </c>
      <c r="I139" s="3" t="s">
        <v>18</v>
      </c>
      <c r="J139" s="3" t="s">
        <v>19</v>
      </c>
      <c r="K139" s="3" t="s">
        <v>46</v>
      </c>
      <c r="L139" s="3">
        <v>3</v>
      </c>
      <c r="M139" s="3">
        <v>3219.26</v>
      </c>
      <c r="N139" s="3">
        <v>10</v>
      </c>
      <c r="O139" s="3">
        <f t="shared" si="6"/>
        <v>8692.0020000000004</v>
      </c>
      <c r="P139" s="3" t="str">
        <f t="shared" si="7"/>
        <v>Low Price</v>
      </c>
      <c r="Q139" s="3" t="str" cm="1">
        <f t="array" ref="Q139">_xlfn.IFS(N139&gt;=10,"High",N139&gt;=5,"Medium",N139&lt;5,"Low")</f>
        <v>High</v>
      </c>
      <c r="R139" s="3" t="str">
        <f t="shared" si="8"/>
        <v>Low</v>
      </c>
    </row>
    <row r="140" spans="1:18" x14ac:dyDescent="0.25">
      <c r="A140" s="3">
        <v>10149</v>
      </c>
      <c r="B140" s="3">
        <v>1378</v>
      </c>
      <c r="C140" s="4">
        <v>45002</v>
      </c>
      <c r="D140" s="4">
        <v>45010</v>
      </c>
      <c r="E140" s="3" t="s">
        <v>21</v>
      </c>
      <c r="F140" s="3" t="s">
        <v>22</v>
      </c>
      <c r="G140" s="3" t="s">
        <v>29</v>
      </c>
      <c r="H140" s="3" t="s">
        <v>41</v>
      </c>
      <c r="I140" s="3" t="s">
        <v>56</v>
      </c>
      <c r="J140" s="3" t="s">
        <v>61</v>
      </c>
      <c r="K140" s="3" t="s">
        <v>32</v>
      </c>
      <c r="L140" s="3">
        <v>8</v>
      </c>
      <c r="M140" s="3">
        <v>2938.3</v>
      </c>
      <c r="N140" s="3">
        <v>15</v>
      </c>
      <c r="O140" s="3">
        <f t="shared" si="6"/>
        <v>19980.440000000002</v>
      </c>
      <c r="P140" s="3" t="str">
        <f t="shared" si="7"/>
        <v>High Price</v>
      </c>
      <c r="Q140" s="3" t="str" cm="1">
        <f t="array" ref="Q140">_xlfn.IFS(N140&gt;=10,"High",N140&gt;=5,"Medium",N140&lt;5,"Low")</f>
        <v>High</v>
      </c>
      <c r="R140" s="3" t="str">
        <f t="shared" si="8"/>
        <v>Medium</v>
      </c>
    </row>
    <row r="141" spans="1:18" x14ac:dyDescent="0.25">
      <c r="A141" s="3">
        <v>10150</v>
      </c>
      <c r="B141" s="3">
        <v>1772</v>
      </c>
      <c r="C141" s="4">
        <v>44956</v>
      </c>
      <c r="D141" s="4">
        <v>44961</v>
      </c>
      <c r="E141" s="3" t="s">
        <v>21</v>
      </c>
      <c r="F141" s="3" t="s">
        <v>53</v>
      </c>
      <c r="G141" s="3" t="s">
        <v>23</v>
      </c>
      <c r="H141" s="3" t="s">
        <v>17</v>
      </c>
      <c r="I141" s="3" t="s">
        <v>48</v>
      </c>
      <c r="J141" s="3" t="s">
        <v>50</v>
      </c>
      <c r="K141" s="3" t="s">
        <v>27</v>
      </c>
      <c r="L141" s="3">
        <v>2</v>
      </c>
      <c r="M141" s="3">
        <v>2808.06</v>
      </c>
      <c r="N141" s="3">
        <v>0</v>
      </c>
      <c r="O141" s="3">
        <f t="shared" si="6"/>
        <v>5616.12</v>
      </c>
      <c r="P141" s="3" t="str">
        <f t="shared" si="7"/>
        <v>Low Price</v>
      </c>
      <c r="Q141" s="3" t="str" cm="1">
        <f t="array" ref="Q141">_xlfn.IFS(N141&gt;=10,"High",N141&gt;=5,"Medium",N141&lt;5,"Low")</f>
        <v>Low</v>
      </c>
      <c r="R141" s="3" t="str">
        <f t="shared" si="8"/>
        <v>Low</v>
      </c>
    </row>
    <row r="142" spans="1:18" x14ac:dyDescent="0.25">
      <c r="A142" s="3">
        <v>10151</v>
      </c>
      <c r="B142" s="3">
        <v>1489</v>
      </c>
      <c r="C142" s="4">
        <v>45240</v>
      </c>
      <c r="D142" s="4">
        <v>45241</v>
      </c>
      <c r="E142" s="3" t="s">
        <v>33</v>
      </c>
      <c r="F142" s="3" t="s">
        <v>28</v>
      </c>
      <c r="G142" s="3" t="s">
        <v>29</v>
      </c>
      <c r="H142" s="3" t="s">
        <v>17</v>
      </c>
      <c r="I142" s="3" t="s">
        <v>48</v>
      </c>
      <c r="J142" s="3" t="s">
        <v>62</v>
      </c>
      <c r="K142" s="3" t="s">
        <v>46</v>
      </c>
      <c r="L142" s="3">
        <v>5</v>
      </c>
      <c r="M142" s="3">
        <v>1461.1</v>
      </c>
      <c r="N142" s="3">
        <v>15</v>
      </c>
      <c r="O142" s="3">
        <f t="shared" si="6"/>
        <v>6209.6750000000002</v>
      </c>
      <c r="P142" s="3" t="str">
        <f t="shared" si="7"/>
        <v>Low Price</v>
      </c>
      <c r="Q142" s="3" t="str" cm="1">
        <f t="array" ref="Q142">_xlfn.IFS(N142&gt;=10,"High",N142&gt;=5,"Medium",N142&lt;5,"Low")</f>
        <v>High</v>
      </c>
      <c r="R142" s="3" t="str">
        <f t="shared" si="8"/>
        <v>Medium</v>
      </c>
    </row>
    <row r="143" spans="1:18" x14ac:dyDescent="0.25">
      <c r="A143" s="3">
        <v>10152</v>
      </c>
      <c r="B143" s="3">
        <v>1230</v>
      </c>
      <c r="C143" s="4">
        <v>45043</v>
      </c>
      <c r="D143" s="4">
        <v>45050</v>
      </c>
      <c r="E143" s="3" t="s">
        <v>36</v>
      </c>
      <c r="F143" s="3" t="s">
        <v>15</v>
      </c>
      <c r="G143" s="3" t="s">
        <v>23</v>
      </c>
      <c r="H143" s="3" t="s">
        <v>43</v>
      </c>
      <c r="I143" s="3" t="s">
        <v>51</v>
      </c>
      <c r="J143" s="3" t="s">
        <v>55</v>
      </c>
      <c r="K143" s="3" t="s">
        <v>46</v>
      </c>
      <c r="L143" s="3">
        <v>1</v>
      </c>
      <c r="M143" s="3">
        <v>3249.11</v>
      </c>
      <c r="N143" s="3">
        <v>10</v>
      </c>
      <c r="O143" s="3">
        <f t="shared" si="6"/>
        <v>2924.1990000000001</v>
      </c>
      <c r="P143" s="3" t="str">
        <f t="shared" si="7"/>
        <v>Low Price</v>
      </c>
      <c r="Q143" s="3" t="str" cm="1">
        <f t="array" ref="Q143">_xlfn.IFS(N143&gt;=10,"High",N143&gt;=5,"Medium",N143&lt;5,"Low")</f>
        <v>High</v>
      </c>
      <c r="R143" s="3" t="str">
        <f t="shared" si="8"/>
        <v>Low</v>
      </c>
    </row>
    <row r="144" spans="1:18" x14ac:dyDescent="0.25">
      <c r="A144" s="3">
        <v>10154</v>
      </c>
      <c r="B144" s="3">
        <v>1027</v>
      </c>
      <c r="C144" s="4">
        <v>45118</v>
      </c>
      <c r="D144" s="4">
        <v>45126</v>
      </c>
      <c r="E144" s="3" t="s">
        <v>39</v>
      </c>
      <c r="F144" s="3" t="s">
        <v>22</v>
      </c>
      <c r="G144" s="3" t="s">
        <v>16</v>
      </c>
      <c r="H144" s="3" t="s">
        <v>41</v>
      </c>
      <c r="I144" s="3" t="s">
        <v>18</v>
      </c>
      <c r="J144" s="3" t="s">
        <v>42</v>
      </c>
      <c r="K144" s="3" t="s">
        <v>44</v>
      </c>
      <c r="L144" s="3">
        <v>2</v>
      </c>
      <c r="M144" s="3">
        <v>764.56</v>
      </c>
      <c r="N144" s="3">
        <v>0</v>
      </c>
      <c r="O144" s="3">
        <f t="shared" si="6"/>
        <v>1529.12</v>
      </c>
      <c r="P144" s="3" t="str">
        <f t="shared" si="7"/>
        <v>Low Price</v>
      </c>
      <c r="Q144" s="3" t="str" cm="1">
        <f t="array" ref="Q144">_xlfn.IFS(N144&gt;=10,"High",N144&gt;=5,"Medium",N144&lt;5,"Low")</f>
        <v>Low</v>
      </c>
      <c r="R144" s="3" t="str">
        <f t="shared" si="8"/>
        <v>Low</v>
      </c>
    </row>
    <row r="145" spans="1:18" x14ac:dyDescent="0.25">
      <c r="A145" s="3">
        <v>10155</v>
      </c>
      <c r="B145" s="3">
        <v>1134</v>
      </c>
      <c r="C145" s="4">
        <v>44945</v>
      </c>
      <c r="D145" s="4">
        <v>44954</v>
      </c>
      <c r="E145" s="3" t="s">
        <v>15</v>
      </c>
      <c r="F145" s="3" t="s">
        <v>28</v>
      </c>
      <c r="G145" s="3" t="s">
        <v>29</v>
      </c>
      <c r="H145" s="3" t="s">
        <v>24</v>
      </c>
      <c r="I145" s="3" t="s">
        <v>51</v>
      </c>
      <c r="J145" s="3" t="s">
        <v>55</v>
      </c>
      <c r="K145" s="3" t="s">
        <v>20</v>
      </c>
      <c r="L145" s="3">
        <v>4</v>
      </c>
      <c r="M145" s="3">
        <v>1442.15</v>
      </c>
      <c r="N145" s="3">
        <v>15</v>
      </c>
      <c r="O145" s="3">
        <f t="shared" si="6"/>
        <v>4903.3100000000004</v>
      </c>
      <c r="P145" s="3" t="str">
        <f t="shared" si="7"/>
        <v>Low Price</v>
      </c>
      <c r="Q145" s="3" t="str" cm="1">
        <f t="array" ref="Q145">_xlfn.IFS(N145&gt;=10,"High",N145&gt;=5,"Medium",N145&lt;5,"Low")</f>
        <v>High</v>
      </c>
      <c r="R145" s="3" t="str">
        <f t="shared" si="8"/>
        <v>Low</v>
      </c>
    </row>
    <row r="146" spans="1:18" x14ac:dyDescent="0.25">
      <c r="A146" s="3">
        <v>10156</v>
      </c>
      <c r="B146" s="3">
        <v>1200</v>
      </c>
      <c r="C146" s="4">
        <v>45099</v>
      </c>
      <c r="D146" s="4">
        <v>45106</v>
      </c>
      <c r="E146" s="3" t="s">
        <v>39</v>
      </c>
      <c r="F146" s="3" t="s">
        <v>37</v>
      </c>
      <c r="G146" s="3" t="s">
        <v>23</v>
      </c>
      <c r="H146" s="3" t="s">
        <v>17</v>
      </c>
      <c r="I146" s="3" t="s">
        <v>56</v>
      </c>
      <c r="J146" s="3" t="s">
        <v>58</v>
      </c>
      <c r="K146" s="3" t="s">
        <v>44</v>
      </c>
      <c r="L146" s="3">
        <v>6</v>
      </c>
      <c r="M146" s="3">
        <v>445.71</v>
      </c>
      <c r="N146" s="3">
        <v>15</v>
      </c>
      <c r="O146" s="3">
        <f t="shared" si="6"/>
        <v>2273.1209999999996</v>
      </c>
      <c r="P146" s="3" t="str">
        <f t="shared" si="7"/>
        <v>Low Price</v>
      </c>
      <c r="Q146" s="3" t="str" cm="1">
        <f t="array" ref="Q146">_xlfn.IFS(N146&gt;=10,"High",N146&gt;=5,"Medium",N146&lt;5,"Low")</f>
        <v>High</v>
      </c>
      <c r="R146" s="3" t="str">
        <f t="shared" si="8"/>
        <v>Medium</v>
      </c>
    </row>
    <row r="147" spans="1:18" x14ac:dyDescent="0.25">
      <c r="A147" s="3">
        <v>10157</v>
      </c>
      <c r="B147" s="3">
        <v>1839</v>
      </c>
      <c r="C147" s="4">
        <v>45154</v>
      </c>
      <c r="D147" s="4">
        <v>45161</v>
      </c>
      <c r="E147" s="3" t="s">
        <v>15</v>
      </c>
      <c r="F147" s="3" t="s">
        <v>22</v>
      </c>
      <c r="G147" s="3" t="s">
        <v>29</v>
      </c>
      <c r="H147" s="3" t="s">
        <v>24</v>
      </c>
      <c r="I147" s="3" t="s">
        <v>18</v>
      </c>
      <c r="J147" s="3" t="s">
        <v>19</v>
      </c>
      <c r="K147" s="3" t="s">
        <v>32</v>
      </c>
      <c r="L147" s="3">
        <v>8</v>
      </c>
      <c r="M147" s="3">
        <v>1054.73</v>
      </c>
      <c r="N147" s="3">
        <v>0</v>
      </c>
      <c r="O147" s="3">
        <f t="shared" si="6"/>
        <v>8437.84</v>
      </c>
      <c r="P147" s="3" t="str">
        <f t="shared" si="7"/>
        <v>Low Price</v>
      </c>
      <c r="Q147" s="3" t="str" cm="1">
        <f t="array" ref="Q147">_xlfn.IFS(N147&gt;=10,"High",N147&gt;=5,"Medium",N147&lt;5,"Low")</f>
        <v>Low</v>
      </c>
      <c r="R147" s="3" t="str">
        <f t="shared" si="8"/>
        <v>Medium</v>
      </c>
    </row>
    <row r="148" spans="1:18" x14ac:dyDescent="0.25">
      <c r="A148" s="3">
        <v>10158</v>
      </c>
      <c r="B148" s="3">
        <v>1779</v>
      </c>
      <c r="C148" s="4">
        <v>45276</v>
      </c>
      <c r="D148" s="4">
        <v>45277</v>
      </c>
      <c r="E148" s="3" t="s">
        <v>21</v>
      </c>
      <c r="F148" s="3" t="s">
        <v>40</v>
      </c>
      <c r="G148" s="3" t="s">
        <v>23</v>
      </c>
      <c r="H148" s="3" t="s">
        <v>17</v>
      </c>
      <c r="I148" s="3" t="s">
        <v>48</v>
      </c>
      <c r="J148" s="3" t="s">
        <v>62</v>
      </c>
      <c r="K148" s="3" t="s">
        <v>27</v>
      </c>
      <c r="L148" s="3">
        <v>8</v>
      </c>
      <c r="M148" s="3">
        <v>3346.08</v>
      </c>
      <c r="N148" s="3">
        <v>15</v>
      </c>
      <c r="O148" s="3">
        <f t="shared" si="6"/>
        <v>22753.343999999997</v>
      </c>
      <c r="P148" s="3" t="str">
        <f t="shared" si="7"/>
        <v>High Price</v>
      </c>
      <c r="Q148" s="3" t="str" cm="1">
        <f t="array" ref="Q148">_xlfn.IFS(N148&gt;=10,"High",N148&gt;=5,"Medium",N148&lt;5,"Low")</f>
        <v>High</v>
      </c>
      <c r="R148" s="3" t="str">
        <f t="shared" si="8"/>
        <v>Medium</v>
      </c>
    </row>
    <row r="149" spans="1:18" x14ac:dyDescent="0.25">
      <c r="A149" s="3">
        <v>10159</v>
      </c>
      <c r="B149" s="3">
        <v>1929</v>
      </c>
      <c r="C149" s="4">
        <v>45109</v>
      </c>
      <c r="D149" s="4">
        <v>45113</v>
      </c>
      <c r="E149" s="3" t="s">
        <v>33</v>
      </c>
      <c r="F149" s="3" t="s">
        <v>15</v>
      </c>
      <c r="G149" s="3" t="s">
        <v>23</v>
      </c>
      <c r="H149" s="3" t="s">
        <v>24</v>
      </c>
      <c r="I149" s="3" t="s">
        <v>48</v>
      </c>
      <c r="J149" s="3" t="s">
        <v>67</v>
      </c>
      <c r="K149" s="3" t="s">
        <v>44</v>
      </c>
      <c r="L149" s="3">
        <v>6</v>
      </c>
      <c r="M149" s="3">
        <v>3800.77</v>
      </c>
      <c r="N149" s="3">
        <v>0</v>
      </c>
      <c r="O149" s="3">
        <f t="shared" si="6"/>
        <v>22804.62</v>
      </c>
      <c r="P149" s="3" t="str">
        <f t="shared" si="7"/>
        <v>High Price</v>
      </c>
      <c r="Q149" s="3" t="str" cm="1">
        <f t="array" ref="Q149">_xlfn.IFS(N149&gt;=10,"High",N149&gt;=5,"Medium",N149&lt;5,"Low")</f>
        <v>Low</v>
      </c>
      <c r="R149" s="3" t="str">
        <f t="shared" si="8"/>
        <v>Medium</v>
      </c>
    </row>
    <row r="150" spans="1:18" x14ac:dyDescent="0.25">
      <c r="A150" s="3">
        <v>10160</v>
      </c>
      <c r="B150" s="3">
        <v>1032</v>
      </c>
      <c r="C150" s="4">
        <v>45039</v>
      </c>
      <c r="D150" s="4">
        <v>45041</v>
      </c>
      <c r="E150" s="3" t="s">
        <v>21</v>
      </c>
      <c r="F150" s="3" t="s">
        <v>37</v>
      </c>
      <c r="G150" s="3" t="s">
        <v>16</v>
      </c>
      <c r="H150" s="3" t="s">
        <v>43</v>
      </c>
      <c r="I150" s="3" t="s">
        <v>30</v>
      </c>
      <c r="J150" s="3" t="s">
        <v>47</v>
      </c>
      <c r="K150" s="3" t="s">
        <v>46</v>
      </c>
      <c r="L150" s="3">
        <v>4</v>
      </c>
      <c r="M150" s="3">
        <v>1322.72</v>
      </c>
      <c r="N150" s="3">
        <v>5</v>
      </c>
      <c r="O150" s="3">
        <f t="shared" si="6"/>
        <v>5026.3360000000002</v>
      </c>
      <c r="P150" s="3" t="str">
        <f t="shared" si="7"/>
        <v>Low Price</v>
      </c>
      <c r="Q150" s="3" t="str" cm="1">
        <f t="array" ref="Q150">_xlfn.IFS(N150&gt;=10,"High",N150&gt;=5,"Medium",N150&lt;5,"Low")</f>
        <v>Medium</v>
      </c>
      <c r="R150" s="3" t="str">
        <f t="shared" si="8"/>
        <v>Low</v>
      </c>
    </row>
    <row r="151" spans="1:18" x14ac:dyDescent="0.25">
      <c r="A151" s="3">
        <v>10161</v>
      </c>
      <c r="B151" s="3">
        <v>1047</v>
      </c>
      <c r="C151" s="4">
        <v>45109</v>
      </c>
      <c r="D151" s="4">
        <v>45111</v>
      </c>
      <c r="E151" s="3" t="s">
        <v>45</v>
      </c>
      <c r="F151" s="3" t="s">
        <v>40</v>
      </c>
      <c r="G151" s="3" t="s">
        <v>16</v>
      </c>
      <c r="H151" s="3" t="s">
        <v>34</v>
      </c>
      <c r="I151" s="3" t="s">
        <v>18</v>
      </c>
      <c r="J151" s="3" t="s">
        <v>19</v>
      </c>
      <c r="K151" s="3" t="s">
        <v>32</v>
      </c>
      <c r="L151" s="3">
        <v>8</v>
      </c>
      <c r="M151" s="3">
        <v>1168.3900000000001</v>
      </c>
      <c r="N151" s="3">
        <v>10</v>
      </c>
      <c r="O151" s="3">
        <f t="shared" si="6"/>
        <v>8412.4080000000013</v>
      </c>
      <c r="P151" s="3" t="str">
        <f t="shared" si="7"/>
        <v>Low Price</v>
      </c>
      <c r="Q151" s="3" t="str" cm="1">
        <f t="array" ref="Q151">_xlfn.IFS(N151&gt;=10,"High",N151&gt;=5,"Medium",N151&lt;5,"Low")</f>
        <v>High</v>
      </c>
      <c r="R151" s="3" t="str">
        <f t="shared" si="8"/>
        <v>Medium</v>
      </c>
    </row>
    <row r="152" spans="1:18" x14ac:dyDescent="0.25">
      <c r="A152" s="3">
        <v>10162</v>
      </c>
      <c r="B152" s="3">
        <v>1502</v>
      </c>
      <c r="C152" s="4">
        <v>45072</v>
      </c>
      <c r="D152" s="4">
        <v>45074</v>
      </c>
      <c r="E152" s="3" t="s">
        <v>36</v>
      </c>
      <c r="F152" s="3" t="s">
        <v>28</v>
      </c>
      <c r="G152" s="3" t="s">
        <v>23</v>
      </c>
      <c r="H152" s="3" t="s">
        <v>43</v>
      </c>
      <c r="I152" s="3" t="s">
        <v>56</v>
      </c>
      <c r="J152" s="3" t="s">
        <v>57</v>
      </c>
      <c r="K152" s="3" t="s">
        <v>32</v>
      </c>
      <c r="L152" s="3">
        <v>8</v>
      </c>
      <c r="M152" s="3">
        <v>1227.5899999999999</v>
      </c>
      <c r="N152" s="3">
        <v>5</v>
      </c>
      <c r="O152" s="3">
        <f t="shared" si="6"/>
        <v>9329.6839999999993</v>
      </c>
      <c r="P152" s="3" t="str">
        <f t="shared" si="7"/>
        <v>Low Price</v>
      </c>
      <c r="Q152" s="3" t="str" cm="1">
        <f t="array" ref="Q152">_xlfn.IFS(N152&gt;=10,"High",N152&gt;=5,"Medium",N152&lt;5,"Low")</f>
        <v>Medium</v>
      </c>
      <c r="R152" s="3" t="str">
        <f t="shared" si="8"/>
        <v>Medium</v>
      </c>
    </row>
    <row r="153" spans="1:18" x14ac:dyDescent="0.25">
      <c r="A153" s="3">
        <v>10163</v>
      </c>
      <c r="B153" s="3">
        <v>1406</v>
      </c>
      <c r="C153" s="4">
        <v>45245</v>
      </c>
      <c r="D153" s="4">
        <v>45249</v>
      </c>
      <c r="E153" s="3" t="s">
        <v>15</v>
      </c>
      <c r="F153" s="3" t="s">
        <v>22</v>
      </c>
      <c r="G153" s="3" t="s">
        <v>29</v>
      </c>
      <c r="H153" s="3" t="s">
        <v>43</v>
      </c>
      <c r="I153" s="3" t="s">
        <v>51</v>
      </c>
      <c r="J153" s="3" t="s">
        <v>52</v>
      </c>
      <c r="K153" s="3" t="s">
        <v>44</v>
      </c>
      <c r="L153" s="3">
        <v>1</v>
      </c>
      <c r="M153" s="3">
        <v>1219.22</v>
      </c>
      <c r="N153" s="3">
        <v>20</v>
      </c>
      <c r="O153" s="3">
        <f t="shared" si="6"/>
        <v>975.37600000000009</v>
      </c>
      <c r="P153" s="3" t="str">
        <f t="shared" si="7"/>
        <v>Low Price</v>
      </c>
      <c r="Q153" s="3" t="str" cm="1">
        <f t="array" ref="Q153">_xlfn.IFS(N153&gt;=10,"High",N153&gt;=5,"Medium",N153&lt;5,"Low")</f>
        <v>High</v>
      </c>
      <c r="R153" s="3" t="str">
        <f t="shared" si="8"/>
        <v>Low</v>
      </c>
    </row>
    <row r="154" spans="1:18" x14ac:dyDescent="0.25">
      <c r="A154" s="3">
        <v>10164</v>
      </c>
      <c r="B154" s="3">
        <v>1573</v>
      </c>
      <c r="C154" s="4">
        <v>45042</v>
      </c>
      <c r="D154" s="4">
        <v>45043</v>
      </c>
      <c r="E154" s="3" t="s">
        <v>39</v>
      </c>
      <c r="F154" s="3" t="s">
        <v>15</v>
      </c>
      <c r="G154" s="3" t="s">
        <v>23</v>
      </c>
      <c r="H154" s="3" t="s">
        <v>34</v>
      </c>
      <c r="I154" s="3" t="s">
        <v>51</v>
      </c>
      <c r="J154" s="3" t="s">
        <v>63</v>
      </c>
      <c r="K154" s="3" t="s">
        <v>44</v>
      </c>
      <c r="L154" s="3">
        <v>4</v>
      </c>
      <c r="M154" s="3">
        <v>288.33</v>
      </c>
      <c r="N154" s="3">
        <v>20</v>
      </c>
      <c r="O154" s="3">
        <f t="shared" si="6"/>
        <v>922.65599999999995</v>
      </c>
      <c r="P154" s="3" t="str">
        <f t="shared" si="7"/>
        <v>Low Price</v>
      </c>
      <c r="Q154" s="3" t="str" cm="1">
        <f t="array" ref="Q154">_xlfn.IFS(N154&gt;=10,"High",N154&gt;=5,"Medium",N154&lt;5,"Low")</f>
        <v>High</v>
      </c>
      <c r="R154" s="3" t="str">
        <f t="shared" si="8"/>
        <v>Low</v>
      </c>
    </row>
    <row r="155" spans="1:18" x14ac:dyDescent="0.25">
      <c r="A155" s="3">
        <v>10165</v>
      </c>
      <c r="B155" s="3">
        <v>1727</v>
      </c>
      <c r="C155" s="4">
        <v>45039</v>
      </c>
      <c r="D155" s="4">
        <v>45043</v>
      </c>
      <c r="E155" s="3" t="s">
        <v>33</v>
      </c>
      <c r="F155" s="3" t="s">
        <v>37</v>
      </c>
      <c r="G155" s="3" t="s">
        <v>23</v>
      </c>
      <c r="H155" s="3" t="s">
        <v>34</v>
      </c>
      <c r="I155" s="3" t="s">
        <v>56</v>
      </c>
      <c r="J155" s="3" t="s">
        <v>61</v>
      </c>
      <c r="K155" s="3" t="s">
        <v>27</v>
      </c>
      <c r="L155" s="3">
        <v>4</v>
      </c>
      <c r="M155" s="3">
        <v>3718.63</v>
      </c>
      <c r="N155" s="3">
        <v>20</v>
      </c>
      <c r="O155" s="3">
        <f t="shared" si="6"/>
        <v>11899.616000000002</v>
      </c>
      <c r="P155" s="3" t="str">
        <f t="shared" si="7"/>
        <v>Low Price</v>
      </c>
      <c r="Q155" s="3" t="str" cm="1">
        <f t="array" ref="Q155">_xlfn.IFS(N155&gt;=10,"High",N155&gt;=5,"Medium",N155&lt;5,"Low")</f>
        <v>High</v>
      </c>
      <c r="R155" s="3" t="str">
        <f t="shared" si="8"/>
        <v>Low</v>
      </c>
    </row>
    <row r="156" spans="1:18" x14ac:dyDescent="0.25">
      <c r="A156" s="3">
        <v>10166</v>
      </c>
      <c r="B156" s="3">
        <v>1804</v>
      </c>
      <c r="C156" s="4">
        <v>45177</v>
      </c>
      <c r="D156" s="4">
        <v>45179</v>
      </c>
      <c r="E156" s="3" t="s">
        <v>15</v>
      </c>
      <c r="F156" s="3" t="s">
        <v>40</v>
      </c>
      <c r="G156" s="3" t="s">
        <v>29</v>
      </c>
      <c r="H156" s="3" t="s">
        <v>41</v>
      </c>
      <c r="I156" s="3" t="s">
        <v>25</v>
      </c>
      <c r="J156" s="3" t="s">
        <v>26</v>
      </c>
      <c r="K156" s="3" t="s">
        <v>20</v>
      </c>
      <c r="L156" s="3">
        <v>7</v>
      </c>
      <c r="M156" s="3">
        <v>972.74</v>
      </c>
      <c r="N156" s="3">
        <v>0</v>
      </c>
      <c r="O156" s="3">
        <f t="shared" si="6"/>
        <v>6809.18</v>
      </c>
      <c r="P156" s="3" t="str">
        <f t="shared" si="7"/>
        <v>Low Price</v>
      </c>
      <c r="Q156" s="3" t="str" cm="1">
        <f t="array" ref="Q156">_xlfn.IFS(N156&gt;=10,"High",N156&gt;=5,"Medium",N156&lt;5,"Low")</f>
        <v>Low</v>
      </c>
      <c r="R156" s="3" t="str">
        <f t="shared" si="8"/>
        <v>Medium</v>
      </c>
    </row>
    <row r="157" spans="1:18" x14ac:dyDescent="0.25">
      <c r="A157" s="3">
        <v>10167</v>
      </c>
      <c r="B157" s="3">
        <v>1098</v>
      </c>
      <c r="C157" s="4">
        <v>45177</v>
      </c>
      <c r="D157" s="4">
        <v>45182</v>
      </c>
      <c r="E157" s="3" t="s">
        <v>39</v>
      </c>
      <c r="F157" s="3" t="s">
        <v>40</v>
      </c>
      <c r="G157" s="3" t="s">
        <v>29</v>
      </c>
      <c r="H157" s="3" t="s">
        <v>41</v>
      </c>
      <c r="I157" s="3" t="s">
        <v>30</v>
      </c>
      <c r="J157" s="3" t="s">
        <v>31</v>
      </c>
      <c r="K157" s="3" t="s">
        <v>44</v>
      </c>
      <c r="L157" s="3">
        <v>7</v>
      </c>
      <c r="M157" s="3">
        <v>1767.02</v>
      </c>
      <c r="N157" s="3">
        <v>15</v>
      </c>
      <c r="O157" s="3">
        <f t="shared" si="6"/>
        <v>10513.768999999998</v>
      </c>
      <c r="P157" s="3" t="str">
        <f t="shared" si="7"/>
        <v>Low Price</v>
      </c>
      <c r="Q157" s="3" t="str" cm="1">
        <f t="array" ref="Q157">_xlfn.IFS(N157&gt;=10,"High",N157&gt;=5,"Medium",N157&lt;5,"Low")</f>
        <v>High</v>
      </c>
      <c r="R157" s="3" t="str">
        <f t="shared" si="8"/>
        <v>Medium</v>
      </c>
    </row>
    <row r="158" spans="1:18" x14ac:dyDescent="0.25">
      <c r="A158" s="3">
        <v>10168</v>
      </c>
      <c r="B158" s="3">
        <v>1683</v>
      </c>
      <c r="C158" s="4">
        <v>45229</v>
      </c>
      <c r="D158" s="4">
        <v>45232</v>
      </c>
      <c r="E158" s="3" t="s">
        <v>36</v>
      </c>
      <c r="F158" s="3" t="s">
        <v>15</v>
      </c>
      <c r="G158" s="3" t="s">
        <v>29</v>
      </c>
      <c r="H158" s="3" t="s">
        <v>43</v>
      </c>
      <c r="I158" s="3" t="s">
        <v>51</v>
      </c>
      <c r="J158" s="3" t="s">
        <v>55</v>
      </c>
      <c r="K158" s="3" t="s">
        <v>44</v>
      </c>
      <c r="L158" s="3">
        <v>8</v>
      </c>
      <c r="M158" s="3">
        <v>187.29</v>
      </c>
      <c r="N158" s="3">
        <v>5</v>
      </c>
      <c r="O158" s="3">
        <f t="shared" si="6"/>
        <v>1423.4039999999998</v>
      </c>
      <c r="P158" s="3" t="str">
        <f t="shared" si="7"/>
        <v>Low Price</v>
      </c>
      <c r="Q158" s="3" t="str" cm="1">
        <f t="array" ref="Q158">_xlfn.IFS(N158&gt;=10,"High",N158&gt;=5,"Medium",N158&lt;5,"Low")</f>
        <v>Medium</v>
      </c>
      <c r="R158" s="3" t="str">
        <f t="shared" si="8"/>
        <v>Medium</v>
      </c>
    </row>
    <row r="159" spans="1:18" x14ac:dyDescent="0.25">
      <c r="A159" s="3">
        <v>10170</v>
      </c>
      <c r="B159" s="3">
        <v>1725</v>
      </c>
      <c r="C159" s="4">
        <v>45044</v>
      </c>
      <c r="D159" s="4">
        <v>45048</v>
      </c>
      <c r="E159" s="3" t="s">
        <v>36</v>
      </c>
      <c r="F159" s="3" t="s">
        <v>15</v>
      </c>
      <c r="G159" s="3" t="s">
        <v>23</v>
      </c>
      <c r="H159" s="3" t="s">
        <v>17</v>
      </c>
      <c r="I159" s="3" t="s">
        <v>30</v>
      </c>
      <c r="J159" s="3" t="s">
        <v>64</v>
      </c>
      <c r="K159" s="3" t="s">
        <v>32</v>
      </c>
      <c r="L159" s="3">
        <v>7</v>
      </c>
      <c r="M159" s="3">
        <v>2964.96</v>
      </c>
      <c r="N159" s="3">
        <v>5</v>
      </c>
      <c r="O159" s="3">
        <f t="shared" si="6"/>
        <v>19716.984</v>
      </c>
      <c r="P159" s="3" t="str">
        <f t="shared" si="7"/>
        <v>High Price</v>
      </c>
      <c r="Q159" s="3" t="str" cm="1">
        <f t="array" ref="Q159">_xlfn.IFS(N159&gt;=10,"High",N159&gt;=5,"Medium",N159&lt;5,"Low")</f>
        <v>Medium</v>
      </c>
      <c r="R159" s="3" t="str">
        <f t="shared" si="8"/>
        <v>Medium</v>
      </c>
    </row>
    <row r="160" spans="1:18" x14ac:dyDescent="0.25">
      <c r="A160" s="3">
        <v>10171</v>
      </c>
      <c r="B160" s="3">
        <v>1986</v>
      </c>
      <c r="C160" s="4">
        <v>45227</v>
      </c>
      <c r="D160" s="4">
        <v>45228</v>
      </c>
      <c r="E160" s="3" t="s">
        <v>14</v>
      </c>
      <c r="F160" s="3" t="s">
        <v>40</v>
      </c>
      <c r="G160" s="3" t="s">
        <v>23</v>
      </c>
      <c r="H160" s="3" t="s">
        <v>17</v>
      </c>
      <c r="I160" s="3" t="s">
        <v>18</v>
      </c>
      <c r="J160" s="3" t="s">
        <v>42</v>
      </c>
      <c r="K160" s="3" t="s">
        <v>20</v>
      </c>
      <c r="L160" s="3">
        <v>8</v>
      </c>
      <c r="M160" s="3">
        <v>3795.01</v>
      </c>
      <c r="N160" s="3">
        <v>5</v>
      </c>
      <c r="O160" s="3">
        <f t="shared" si="6"/>
        <v>28842.076000000001</v>
      </c>
      <c r="P160" s="3" t="str">
        <f t="shared" si="7"/>
        <v>High Price</v>
      </c>
      <c r="Q160" s="3" t="str" cm="1">
        <f t="array" ref="Q160">_xlfn.IFS(N160&gt;=10,"High",N160&gt;=5,"Medium",N160&lt;5,"Low")</f>
        <v>Medium</v>
      </c>
      <c r="R160" s="3" t="str">
        <f t="shared" si="8"/>
        <v>Medium</v>
      </c>
    </row>
    <row r="161" spans="1:18" x14ac:dyDescent="0.25">
      <c r="A161" s="3">
        <v>10172</v>
      </c>
      <c r="B161" s="3">
        <v>1546</v>
      </c>
      <c r="C161" s="4">
        <v>45087</v>
      </c>
      <c r="D161" s="4">
        <v>45088</v>
      </c>
      <c r="E161" s="3" t="s">
        <v>45</v>
      </c>
      <c r="F161" s="3" t="s">
        <v>53</v>
      </c>
      <c r="G161" s="3" t="s">
        <v>16</v>
      </c>
      <c r="H161" s="3" t="s">
        <v>41</v>
      </c>
      <c r="I161" s="3" t="s">
        <v>48</v>
      </c>
      <c r="J161" s="3" t="s">
        <v>62</v>
      </c>
      <c r="K161" s="3" t="s">
        <v>46</v>
      </c>
      <c r="L161" s="3">
        <v>9</v>
      </c>
      <c r="M161" s="3">
        <v>3159.22</v>
      </c>
      <c r="N161" s="3">
        <v>20</v>
      </c>
      <c r="O161" s="3">
        <f t="shared" si="6"/>
        <v>22746.384000000002</v>
      </c>
      <c r="P161" s="3" t="str">
        <f t="shared" si="7"/>
        <v>High Price</v>
      </c>
      <c r="Q161" s="3" t="str" cm="1">
        <f t="array" ref="Q161">_xlfn.IFS(N161&gt;=10,"High",N161&gt;=5,"Medium",N161&lt;5,"Low")</f>
        <v>High</v>
      </c>
      <c r="R161" s="3" t="str">
        <f t="shared" si="8"/>
        <v>High</v>
      </c>
    </row>
    <row r="162" spans="1:18" x14ac:dyDescent="0.25">
      <c r="A162" s="3">
        <v>10173</v>
      </c>
      <c r="B162" s="3">
        <v>1960</v>
      </c>
      <c r="C162" s="4">
        <v>45124</v>
      </c>
      <c r="D162" s="4">
        <v>45127</v>
      </c>
      <c r="E162" s="3" t="s">
        <v>14</v>
      </c>
      <c r="F162" s="3" t="s">
        <v>37</v>
      </c>
      <c r="G162" s="3" t="s">
        <v>23</v>
      </c>
      <c r="H162" s="3" t="s">
        <v>41</v>
      </c>
      <c r="I162" s="3" t="s">
        <v>30</v>
      </c>
      <c r="J162" s="3" t="s">
        <v>64</v>
      </c>
      <c r="K162" s="3" t="s">
        <v>27</v>
      </c>
      <c r="L162" s="3">
        <v>3</v>
      </c>
      <c r="M162" s="3">
        <v>1357.77</v>
      </c>
      <c r="N162" s="3">
        <v>5</v>
      </c>
      <c r="O162" s="3">
        <f t="shared" si="6"/>
        <v>3869.6444999999999</v>
      </c>
      <c r="P162" s="3" t="str">
        <f t="shared" si="7"/>
        <v>Low Price</v>
      </c>
      <c r="Q162" s="3" t="str" cm="1">
        <f t="array" ref="Q162">_xlfn.IFS(N162&gt;=10,"High",N162&gt;=5,"Medium",N162&lt;5,"Low")</f>
        <v>Medium</v>
      </c>
      <c r="R162" s="3" t="str">
        <f t="shared" si="8"/>
        <v>Low</v>
      </c>
    </row>
    <row r="163" spans="1:18" x14ac:dyDescent="0.25">
      <c r="A163" s="3">
        <v>10174</v>
      </c>
      <c r="B163" s="3">
        <v>1738</v>
      </c>
      <c r="C163" s="4">
        <v>45186</v>
      </c>
      <c r="D163" s="4">
        <v>45195</v>
      </c>
      <c r="E163" s="3" t="s">
        <v>33</v>
      </c>
      <c r="F163" s="3" t="s">
        <v>15</v>
      </c>
      <c r="G163" s="3" t="s">
        <v>29</v>
      </c>
      <c r="H163" s="3" t="s">
        <v>17</v>
      </c>
      <c r="I163" s="3" t="s">
        <v>51</v>
      </c>
      <c r="J163" s="3" t="s">
        <v>52</v>
      </c>
      <c r="K163" s="3" t="s">
        <v>27</v>
      </c>
      <c r="L163" s="3">
        <v>3</v>
      </c>
      <c r="M163" s="3">
        <v>1104.31</v>
      </c>
      <c r="N163" s="3">
        <v>15</v>
      </c>
      <c r="O163" s="3">
        <f t="shared" si="6"/>
        <v>2815.9904999999999</v>
      </c>
      <c r="P163" s="3" t="str">
        <f t="shared" si="7"/>
        <v>Low Price</v>
      </c>
      <c r="Q163" s="3" t="str" cm="1">
        <f t="array" ref="Q163">_xlfn.IFS(N163&gt;=10,"High",N163&gt;=5,"Medium",N163&lt;5,"Low")</f>
        <v>High</v>
      </c>
      <c r="R163" s="3" t="str">
        <f t="shared" si="8"/>
        <v>Low</v>
      </c>
    </row>
    <row r="164" spans="1:18" x14ac:dyDescent="0.25">
      <c r="A164" s="3">
        <v>10175</v>
      </c>
      <c r="B164" s="3">
        <v>1612</v>
      </c>
      <c r="C164" s="4">
        <v>45074</v>
      </c>
      <c r="D164" s="4">
        <v>45081</v>
      </c>
      <c r="E164" s="3" t="s">
        <v>15</v>
      </c>
      <c r="F164" s="3" t="s">
        <v>40</v>
      </c>
      <c r="G164" s="3" t="s">
        <v>16</v>
      </c>
      <c r="H164" s="3" t="s">
        <v>17</v>
      </c>
      <c r="I164" s="3" t="s">
        <v>30</v>
      </c>
      <c r="J164" s="3" t="s">
        <v>31</v>
      </c>
      <c r="K164" s="3" t="s">
        <v>44</v>
      </c>
      <c r="L164" s="3">
        <v>4</v>
      </c>
      <c r="M164" s="3">
        <v>2836.21</v>
      </c>
      <c r="N164" s="3">
        <v>20</v>
      </c>
      <c r="O164" s="3">
        <f t="shared" si="6"/>
        <v>9075.8720000000012</v>
      </c>
      <c r="P164" s="3" t="str">
        <f t="shared" si="7"/>
        <v>Low Price</v>
      </c>
      <c r="Q164" s="3" t="str" cm="1">
        <f t="array" ref="Q164">_xlfn.IFS(N164&gt;=10,"High",N164&gt;=5,"Medium",N164&lt;5,"Low")</f>
        <v>High</v>
      </c>
      <c r="R164" s="3" t="str">
        <f t="shared" si="8"/>
        <v>Low</v>
      </c>
    </row>
    <row r="165" spans="1:18" x14ac:dyDescent="0.25">
      <c r="A165" s="3">
        <v>10178</v>
      </c>
      <c r="B165" s="3">
        <v>1642</v>
      </c>
      <c r="C165" s="4">
        <v>45124</v>
      </c>
      <c r="D165" s="4">
        <v>45126</v>
      </c>
      <c r="E165" s="3" t="s">
        <v>39</v>
      </c>
      <c r="F165" s="3" t="s">
        <v>28</v>
      </c>
      <c r="G165" s="3" t="s">
        <v>16</v>
      </c>
      <c r="H165" s="3" t="s">
        <v>17</v>
      </c>
      <c r="I165" s="3" t="s">
        <v>25</v>
      </c>
      <c r="J165" s="3" t="s">
        <v>60</v>
      </c>
      <c r="K165" s="3" t="s">
        <v>44</v>
      </c>
      <c r="L165" s="3">
        <v>7</v>
      </c>
      <c r="M165" s="3">
        <v>174.09</v>
      </c>
      <c r="N165" s="3">
        <v>10</v>
      </c>
      <c r="O165" s="3">
        <f t="shared" si="6"/>
        <v>1096.7670000000001</v>
      </c>
      <c r="P165" s="3" t="str">
        <f t="shared" si="7"/>
        <v>Low Price</v>
      </c>
      <c r="Q165" s="3" t="str" cm="1">
        <f t="array" ref="Q165">_xlfn.IFS(N165&gt;=10,"High",N165&gt;=5,"Medium",N165&lt;5,"Low")</f>
        <v>High</v>
      </c>
      <c r="R165" s="3" t="str">
        <f t="shared" si="8"/>
        <v>Medium</v>
      </c>
    </row>
    <row r="166" spans="1:18" x14ac:dyDescent="0.25">
      <c r="A166" s="3">
        <v>10179</v>
      </c>
      <c r="B166" s="3">
        <v>1768</v>
      </c>
      <c r="C166" s="4">
        <v>44973</v>
      </c>
      <c r="D166" s="4">
        <v>44976</v>
      </c>
      <c r="E166" s="3" t="s">
        <v>36</v>
      </c>
      <c r="F166" s="3" t="s">
        <v>15</v>
      </c>
      <c r="G166" s="3" t="s">
        <v>29</v>
      </c>
      <c r="H166" s="3" t="s">
        <v>24</v>
      </c>
      <c r="I166" s="3" t="s">
        <v>30</v>
      </c>
      <c r="J166" s="3" t="s">
        <v>31</v>
      </c>
      <c r="K166" s="3" t="s">
        <v>20</v>
      </c>
      <c r="L166" s="3">
        <v>9</v>
      </c>
      <c r="M166" s="3">
        <v>388.26</v>
      </c>
      <c r="N166" s="3">
        <v>10</v>
      </c>
      <c r="O166" s="3">
        <f t="shared" si="6"/>
        <v>3144.9060000000004</v>
      </c>
      <c r="P166" s="3" t="str">
        <f t="shared" si="7"/>
        <v>Low Price</v>
      </c>
      <c r="Q166" s="3" t="str" cm="1">
        <f t="array" ref="Q166">_xlfn.IFS(N166&gt;=10,"High",N166&gt;=5,"Medium",N166&lt;5,"Low")</f>
        <v>High</v>
      </c>
      <c r="R166" s="3" t="str">
        <f t="shared" si="8"/>
        <v>High</v>
      </c>
    </row>
    <row r="167" spans="1:18" x14ac:dyDescent="0.25">
      <c r="A167" s="3">
        <v>10180</v>
      </c>
      <c r="B167" s="3">
        <v>1004</v>
      </c>
      <c r="C167" s="4">
        <v>45004</v>
      </c>
      <c r="D167" s="4">
        <v>45006</v>
      </c>
      <c r="E167" s="3" t="s">
        <v>14</v>
      </c>
      <c r="F167" s="3" t="s">
        <v>28</v>
      </c>
      <c r="G167" s="3" t="s">
        <v>16</v>
      </c>
      <c r="H167" s="3" t="s">
        <v>34</v>
      </c>
      <c r="I167" s="3" t="s">
        <v>18</v>
      </c>
      <c r="J167" s="3" t="s">
        <v>42</v>
      </c>
      <c r="K167" s="3" t="s">
        <v>44</v>
      </c>
      <c r="L167" s="3">
        <v>8</v>
      </c>
      <c r="M167" s="3">
        <v>2211.17</v>
      </c>
      <c r="N167" s="3">
        <v>10</v>
      </c>
      <c r="O167" s="3">
        <f t="shared" si="6"/>
        <v>15920.424000000001</v>
      </c>
      <c r="P167" s="3" t="str">
        <f t="shared" si="7"/>
        <v>High Price</v>
      </c>
      <c r="Q167" s="3" t="str" cm="1">
        <f t="array" ref="Q167">_xlfn.IFS(N167&gt;=10,"High",N167&gt;=5,"Medium",N167&lt;5,"Low")</f>
        <v>High</v>
      </c>
      <c r="R167" s="3" t="str">
        <f t="shared" si="8"/>
        <v>Medium</v>
      </c>
    </row>
    <row r="168" spans="1:18" x14ac:dyDescent="0.25">
      <c r="A168" s="3">
        <v>10181</v>
      </c>
      <c r="B168" s="3">
        <v>1217</v>
      </c>
      <c r="C168" s="4">
        <v>45050</v>
      </c>
      <c r="D168" s="4">
        <v>45053</v>
      </c>
      <c r="E168" s="3" t="s">
        <v>14</v>
      </c>
      <c r="F168" s="3" t="s">
        <v>22</v>
      </c>
      <c r="G168" s="3" t="s">
        <v>16</v>
      </c>
      <c r="H168" s="3" t="s">
        <v>41</v>
      </c>
      <c r="I168" s="3" t="s">
        <v>48</v>
      </c>
      <c r="J168" s="3" t="s">
        <v>49</v>
      </c>
      <c r="K168" s="3" t="s">
        <v>32</v>
      </c>
      <c r="L168" s="3">
        <v>5</v>
      </c>
      <c r="M168" s="3">
        <v>2329.38</v>
      </c>
      <c r="N168" s="3">
        <v>20</v>
      </c>
      <c r="O168" s="3">
        <f t="shared" si="6"/>
        <v>9317.5200000000023</v>
      </c>
      <c r="P168" s="3" t="str">
        <f t="shared" si="7"/>
        <v>Low Price</v>
      </c>
      <c r="Q168" s="3" t="str" cm="1">
        <f t="array" ref="Q168">_xlfn.IFS(N168&gt;=10,"High",N168&gt;=5,"Medium",N168&lt;5,"Low")</f>
        <v>High</v>
      </c>
      <c r="R168" s="3" t="str">
        <f t="shared" si="8"/>
        <v>Medium</v>
      </c>
    </row>
    <row r="169" spans="1:18" x14ac:dyDescent="0.25">
      <c r="A169" s="3">
        <v>10183</v>
      </c>
      <c r="B169" s="3">
        <v>1766</v>
      </c>
      <c r="C169" s="4">
        <v>45285</v>
      </c>
      <c r="D169" s="4">
        <v>45294</v>
      </c>
      <c r="E169" s="3" t="s">
        <v>14</v>
      </c>
      <c r="F169" s="3" t="s">
        <v>22</v>
      </c>
      <c r="G169" s="3" t="s">
        <v>29</v>
      </c>
      <c r="H169" s="3" t="s">
        <v>17</v>
      </c>
      <c r="I169" s="3" t="s">
        <v>30</v>
      </c>
      <c r="J169" s="3" t="s">
        <v>38</v>
      </c>
      <c r="K169" s="3" t="s">
        <v>46</v>
      </c>
      <c r="L169" s="3">
        <v>7</v>
      </c>
      <c r="M169" s="3">
        <v>658.07</v>
      </c>
      <c r="N169" s="3">
        <v>20</v>
      </c>
      <c r="O169" s="3">
        <f t="shared" si="6"/>
        <v>3685.1920000000009</v>
      </c>
      <c r="P169" s="3" t="str">
        <f t="shared" si="7"/>
        <v>Low Price</v>
      </c>
      <c r="Q169" s="3" t="str" cm="1">
        <f t="array" ref="Q169">_xlfn.IFS(N169&gt;=10,"High",N169&gt;=5,"Medium",N169&lt;5,"Low")</f>
        <v>High</v>
      </c>
      <c r="R169" s="3" t="str">
        <f t="shared" si="8"/>
        <v>Medium</v>
      </c>
    </row>
    <row r="170" spans="1:18" x14ac:dyDescent="0.25">
      <c r="A170" s="3">
        <v>10184</v>
      </c>
      <c r="B170" s="3">
        <v>1397</v>
      </c>
      <c r="C170" s="4">
        <v>45063</v>
      </c>
      <c r="D170" s="4">
        <v>45072</v>
      </c>
      <c r="E170" s="3" t="s">
        <v>21</v>
      </c>
      <c r="F170" s="3" t="s">
        <v>53</v>
      </c>
      <c r="G170" s="3" t="s">
        <v>16</v>
      </c>
      <c r="H170" s="3" t="s">
        <v>43</v>
      </c>
      <c r="I170" s="3" t="s">
        <v>51</v>
      </c>
      <c r="J170" s="3" t="s">
        <v>63</v>
      </c>
      <c r="K170" s="3" t="s">
        <v>20</v>
      </c>
      <c r="L170" s="3">
        <v>5</v>
      </c>
      <c r="M170" s="3">
        <v>2125.75</v>
      </c>
      <c r="N170" s="3">
        <v>15</v>
      </c>
      <c r="O170" s="3">
        <f t="shared" si="6"/>
        <v>9034.4375</v>
      </c>
      <c r="P170" s="3" t="str">
        <f t="shared" si="7"/>
        <v>Low Price</v>
      </c>
      <c r="Q170" s="3" t="str" cm="1">
        <f t="array" ref="Q170">_xlfn.IFS(N170&gt;=10,"High",N170&gt;=5,"Medium",N170&lt;5,"Low")</f>
        <v>High</v>
      </c>
      <c r="R170" s="3" t="str">
        <f t="shared" si="8"/>
        <v>Medium</v>
      </c>
    </row>
    <row r="171" spans="1:18" x14ac:dyDescent="0.25">
      <c r="A171" s="3">
        <v>10185</v>
      </c>
      <c r="B171" s="3">
        <v>1870</v>
      </c>
      <c r="C171" s="4">
        <v>45016</v>
      </c>
      <c r="D171" s="4">
        <v>45023</v>
      </c>
      <c r="E171" s="3" t="s">
        <v>33</v>
      </c>
      <c r="F171" s="3" t="s">
        <v>15</v>
      </c>
      <c r="G171" s="3" t="s">
        <v>16</v>
      </c>
      <c r="H171" s="3" t="s">
        <v>17</v>
      </c>
      <c r="I171" s="3" t="s">
        <v>30</v>
      </c>
      <c r="J171" s="3" t="s">
        <v>38</v>
      </c>
      <c r="K171" s="3" t="s">
        <v>46</v>
      </c>
      <c r="L171" s="3">
        <v>7</v>
      </c>
      <c r="M171" s="3">
        <v>898.62</v>
      </c>
      <c r="N171" s="3">
        <v>0</v>
      </c>
      <c r="O171" s="3">
        <f t="shared" si="6"/>
        <v>6290.34</v>
      </c>
      <c r="P171" s="3" t="str">
        <f t="shared" si="7"/>
        <v>Low Price</v>
      </c>
      <c r="Q171" s="3" t="str" cm="1">
        <f t="array" ref="Q171">_xlfn.IFS(N171&gt;=10,"High",N171&gt;=5,"Medium",N171&lt;5,"Low")</f>
        <v>Low</v>
      </c>
      <c r="R171" s="3" t="str">
        <f t="shared" si="8"/>
        <v>Medium</v>
      </c>
    </row>
    <row r="172" spans="1:18" x14ac:dyDescent="0.25">
      <c r="A172" s="3">
        <v>10186</v>
      </c>
      <c r="B172" s="3">
        <v>1794</v>
      </c>
      <c r="C172" s="4">
        <v>45251</v>
      </c>
      <c r="D172" s="4">
        <v>45254</v>
      </c>
      <c r="E172" s="3" t="s">
        <v>36</v>
      </c>
      <c r="F172" s="3" t="s">
        <v>40</v>
      </c>
      <c r="G172" s="3" t="s">
        <v>29</v>
      </c>
      <c r="H172" s="3" t="s">
        <v>24</v>
      </c>
      <c r="I172" s="3" t="s">
        <v>51</v>
      </c>
      <c r="J172" s="3" t="s">
        <v>55</v>
      </c>
      <c r="K172" s="3" t="s">
        <v>46</v>
      </c>
      <c r="L172" s="3">
        <v>1</v>
      </c>
      <c r="M172" s="3">
        <v>508.81</v>
      </c>
      <c r="N172" s="3">
        <v>0</v>
      </c>
      <c r="O172" s="3">
        <f t="shared" si="6"/>
        <v>508.81</v>
      </c>
      <c r="P172" s="3" t="str">
        <f t="shared" si="7"/>
        <v>Low Price</v>
      </c>
      <c r="Q172" s="3" t="str" cm="1">
        <f t="array" ref="Q172">_xlfn.IFS(N172&gt;=10,"High",N172&gt;=5,"Medium",N172&lt;5,"Low")</f>
        <v>Low</v>
      </c>
      <c r="R172" s="3" t="str">
        <f t="shared" si="8"/>
        <v>Low</v>
      </c>
    </row>
    <row r="173" spans="1:18" x14ac:dyDescent="0.25">
      <c r="A173" s="3">
        <v>10187</v>
      </c>
      <c r="B173" s="3">
        <v>1392</v>
      </c>
      <c r="C173" s="4">
        <v>44987</v>
      </c>
      <c r="D173" s="4">
        <v>44991</v>
      </c>
      <c r="E173" s="3" t="s">
        <v>15</v>
      </c>
      <c r="F173" s="3" t="s">
        <v>40</v>
      </c>
      <c r="G173" s="3" t="s">
        <v>16</v>
      </c>
      <c r="H173" s="3" t="s">
        <v>43</v>
      </c>
      <c r="I173" s="3" t="s">
        <v>18</v>
      </c>
      <c r="J173" s="3" t="s">
        <v>42</v>
      </c>
      <c r="K173" s="3" t="s">
        <v>32</v>
      </c>
      <c r="L173" s="3">
        <v>1</v>
      </c>
      <c r="M173" s="3">
        <v>1730.41</v>
      </c>
      <c r="N173" s="3">
        <v>10</v>
      </c>
      <c r="O173" s="3">
        <f t="shared" si="6"/>
        <v>1557.3690000000001</v>
      </c>
      <c r="P173" s="3" t="str">
        <f t="shared" si="7"/>
        <v>Low Price</v>
      </c>
      <c r="Q173" s="3" t="str" cm="1">
        <f t="array" ref="Q173">_xlfn.IFS(N173&gt;=10,"High",N173&gt;=5,"Medium",N173&lt;5,"Low")</f>
        <v>High</v>
      </c>
      <c r="R173" s="3" t="str">
        <f t="shared" si="8"/>
        <v>Low</v>
      </c>
    </row>
    <row r="174" spans="1:18" x14ac:dyDescent="0.25">
      <c r="A174" s="3">
        <v>10188</v>
      </c>
      <c r="B174" s="3">
        <v>1206</v>
      </c>
      <c r="C174" s="4">
        <v>45064</v>
      </c>
      <c r="D174" s="4">
        <v>45070</v>
      </c>
      <c r="E174" s="3" t="s">
        <v>39</v>
      </c>
      <c r="F174" s="3" t="s">
        <v>53</v>
      </c>
      <c r="G174" s="3" t="s">
        <v>16</v>
      </c>
      <c r="H174" s="3" t="s">
        <v>24</v>
      </c>
      <c r="I174" s="3" t="s">
        <v>51</v>
      </c>
      <c r="J174" s="3" t="s">
        <v>52</v>
      </c>
      <c r="K174" s="3" t="s">
        <v>20</v>
      </c>
      <c r="L174" s="3">
        <v>3</v>
      </c>
      <c r="M174" s="3">
        <v>778.85</v>
      </c>
      <c r="N174" s="3">
        <v>10</v>
      </c>
      <c r="O174" s="3">
        <f t="shared" si="6"/>
        <v>2102.8950000000004</v>
      </c>
      <c r="P174" s="3" t="str">
        <f t="shared" si="7"/>
        <v>Low Price</v>
      </c>
      <c r="Q174" s="3" t="str" cm="1">
        <f t="array" ref="Q174">_xlfn.IFS(N174&gt;=10,"High",N174&gt;=5,"Medium",N174&lt;5,"Low")</f>
        <v>High</v>
      </c>
      <c r="R174" s="3" t="str">
        <f t="shared" si="8"/>
        <v>Low</v>
      </c>
    </row>
    <row r="175" spans="1:18" x14ac:dyDescent="0.25">
      <c r="A175" s="3">
        <v>10190</v>
      </c>
      <c r="B175" s="3">
        <v>1857</v>
      </c>
      <c r="C175" s="4">
        <v>45185</v>
      </c>
      <c r="D175" s="4">
        <v>45187</v>
      </c>
      <c r="E175" s="3" t="s">
        <v>33</v>
      </c>
      <c r="F175" s="3" t="s">
        <v>53</v>
      </c>
      <c r="G175" s="3" t="s">
        <v>29</v>
      </c>
      <c r="H175" s="3" t="s">
        <v>24</v>
      </c>
      <c r="I175" s="3" t="s">
        <v>48</v>
      </c>
      <c r="J175" s="3" t="s">
        <v>50</v>
      </c>
      <c r="K175" s="3" t="s">
        <v>20</v>
      </c>
      <c r="L175" s="3">
        <v>2</v>
      </c>
      <c r="M175" s="3">
        <v>1372.59</v>
      </c>
      <c r="N175" s="3">
        <v>5</v>
      </c>
      <c r="O175" s="3">
        <f t="shared" si="6"/>
        <v>2607.9209999999998</v>
      </c>
      <c r="P175" s="3" t="str">
        <f t="shared" si="7"/>
        <v>Low Price</v>
      </c>
      <c r="Q175" s="3" t="str" cm="1">
        <f t="array" ref="Q175">_xlfn.IFS(N175&gt;=10,"High",N175&gt;=5,"Medium",N175&lt;5,"Low")</f>
        <v>Medium</v>
      </c>
      <c r="R175" s="3" t="str">
        <f t="shared" si="8"/>
        <v>Low</v>
      </c>
    </row>
    <row r="176" spans="1:18" x14ac:dyDescent="0.25">
      <c r="A176" s="3">
        <v>10191</v>
      </c>
      <c r="B176" s="3">
        <v>1553</v>
      </c>
      <c r="C176" s="4">
        <v>45033</v>
      </c>
      <c r="D176" s="4">
        <v>45039</v>
      </c>
      <c r="E176" s="3" t="s">
        <v>39</v>
      </c>
      <c r="F176" s="3" t="s">
        <v>28</v>
      </c>
      <c r="G176" s="3" t="s">
        <v>29</v>
      </c>
      <c r="H176" s="3" t="s">
        <v>34</v>
      </c>
      <c r="I176" s="3" t="s">
        <v>51</v>
      </c>
      <c r="J176" s="3" t="s">
        <v>55</v>
      </c>
      <c r="K176" s="3" t="s">
        <v>20</v>
      </c>
      <c r="L176" s="3">
        <v>7</v>
      </c>
      <c r="M176" s="3">
        <v>1148.6500000000001</v>
      </c>
      <c r="N176" s="3">
        <v>15</v>
      </c>
      <c r="O176" s="3">
        <f t="shared" si="6"/>
        <v>6834.4675000000007</v>
      </c>
      <c r="P176" s="3" t="str">
        <f t="shared" si="7"/>
        <v>Low Price</v>
      </c>
      <c r="Q176" s="3" t="str" cm="1">
        <f t="array" ref="Q176">_xlfn.IFS(N176&gt;=10,"High",N176&gt;=5,"Medium",N176&lt;5,"Low")</f>
        <v>High</v>
      </c>
      <c r="R176" s="3" t="str">
        <f t="shared" si="8"/>
        <v>Medium</v>
      </c>
    </row>
    <row r="177" spans="1:18" x14ac:dyDescent="0.25">
      <c r="A177" s="3">
        <v>10192</v>
      </c>
      <c r="B177" s="3">
        <v>1891</v>
      </c>
      <c r="C177" s="4">
        <v>45039</v>
      </c>
      <c r="D177" s="4">
        <v>45042</v>
      </c>
      <c r="E177" s="3" t="s">
        <v>14</v>
      </c>
      <c r="F177" s="3" t="s">
        <v>28</v>
      </c>
      <c r="G177" s="3" t="s">
        <v>29</v>
      </c>
      <c r="H177" s="3" t="s">
        <v>34</v>
      </c>
      <c r="I177" s="3" t="s">
        <v>51</v>
      </c>
      <c r="J177" s="3" t="s">
        <v>59</v>
      </c>
      <c r="K177" s="3" t="s">
        <v>20</v>
      </c>
      <c r="L177" s="3">
        <v>2</v>
      </c>
      <c r="M177" s="3">
        <v>487.23</v>
      </c>
      <c r="N177" s="3">
        <v>15</v>
      </c>
      <c r="O177" s="3">
        <f t="shared" si="6"/>
        <v>828.29100000000005</v>
      </c>
      <c r="P177" s="3" t="str">
        <f t="shared" si="7"/>
        <v>Low Price</v>
      </c>
      <c r="Q177" s="3" t="str" cm="1">
        <f t="array" ref="Q177">_xlfn.IFS(N177&gt;=10,"High",N177&gt;=5,"Medium",N177&lt;5,"Low")</f>
        <v>High</v>
      </c>
      <c r="R177" s="3" t="str">
        <f t="shared" si="8"/>
        <v>Low</v>
      </c>
    </row>
    <row r="178" spans="1:18" x14ac:dyDescent="0.25">
      <c r="A178" s="3">
        <v>10193</v>
      </c>
      <c r="B178" s="3">
        <v>1460</v>
      </c>
      <c r="C178" s="4">
        <v>45276</v>
      </c>
      <c r="D178" s="4">
        <v>45284</v>
      </c>
      <c r="E178" s="3" t="s">
        <v>45</v>
      </c>
      <c r="F178" s="3" t="s">
        <v>37</v>
      </c>
      <c r="G178" s="3" t="s">
        <v>29</v>
      </c>
      <c r="H178" s="3" t="s">
        <v>24</v>
      </c>
      <c r="I178" s="3" t="s">
        <v>48</v>
      </c>
      <c r="J178" s="3" t="s">
        <v>50</v>
      </c>
      <c r="K178" s="3" t="s">
        <v>32</v>
      </c>
      <c r="L178" s="3">
        <v>4</v>
      </c>
      <c r="M178" s="3">
        <v>496.18</v>
      </c>
      <c r="N178" s="3">
        <v>15</v>
      </c>
      <c r="O178" s="3">
        <f t="shared" si="6"/>
        <v>1687.0119999999999</v>
      </c>
      <c r="P178" s="3" t="str">
        <f t="shared" si="7"/>
        <v>Low Price</v>
      </c>
      <c r="Q178" s="3" t="str" cm="1">
        <f t="array" ref="Q178">_xlfn.IFS(N178&gt;=10,"High",N178&gt;=5,"Medium",N178&lt;5,"Low")</f>
        <v>High</v>
      </c>
      <c r="R178" s="3" t="str">
        <f t="shared" si="8"/>
        <v>Low</v>
      </c>
    </row>
    <row r="179" spans="1:18" x14ac:dyDescent="0.25">
      <c r="A179" s="3">
        <v>10194</v>
      </c>
      <c r="B179" s="3">
        <v>1690</v>
      </c>
      <c r="C179" s="4">
        <v>45180</v>
      </c>
      <c r="D179" s="4">
        <v>45182</v>
      </c>
      <c r="E179" s="3" t="s">
        <v>33</v>
      </c>
      <c r="F179" s="3" t="s">
        <v>40</v>
      </c>
      <c r="G179" s="3" t="s">
        <v>23</v>
      </c>
      <c r="H179" s="3" t="s">
        <v>24</v>
      </c>
      <c r="I179" s="3" t="s">
        <v>56</v>
      </c>
      <c r="J179" s="3" t="s">
        <v>58</v>
      </c>
      <c r="K179" s="3" t="s">
        <v>44</v>
      </c>
      <c r="L179" s="3">
        <v>2</v>
      </c>
      <c r="M179" s="3">
        <v>894.01</v>
      </c>
      <c r="N179" s="3">
        <v>15</v>
      </c>
      <c r="O179" s="3">
        <f t="shared" si="6"/>
        <v>1519.817</v>
      </c>
      <c r="P179" s="3" t="str">
        <f t="shared" si="7"/>
        <v>Low Price</v>
      </c>
      <c r="Q179" s="3" t="str" cm="1">
        <f t="array" ref="Q179">_xlfn.IFS(N179&gt;=10,"High",N179&gt;=5,"Medium",N179&lt;5,"Low")</f>
        <v>High</v>
      </c>
      <c r="R179" s="3" t="str">
        <f t="shared" si="8"/>
        <v>Low</v>
      </c>
    </row>
    <row r="180" spans="1:18" x14ac:dyDescent="0.25">
      <c r="A180" s="3">
        <v>10195</v>
      </c>
      <c r="B180" s="3">
        <v>1574</v>
      </c>
      <c r="C180" s="4">
        <v>45044</v>
      </c>
      <c r="D180" s="4">
        <v>45045</v>
      </c>
      <c r="E180" s="3" t="s">
        <v>33</v>
      </c>
      <c r="F180" s="3" t="s">
        <v>22</v>
      </c>
      <c r="G180" s="3" t="s">
        <v>16</v>
      </c>
      <c r="H180" s="3" t="s">
        <v>34</v>
      </c>
      <c r="I180" s="3" t="s">
        <v>30</v>
      </c>
      <c r="J180" s="3" t="s">
        <v>64</v>
      </c>
      <c r="K180" s="3" t="s">
        <v>46</v>
      </c>
      <c r="L180" s="3">
        <v>6</v>
      </c>
      <c r="M180" s="3">
        <v>344.65</v>
      </c>
      <c r="N180" s="3">
        <v>10</v>
      </c>
      <c r="O180" s="3">
        <f t="shared" si="6"/>
        <v>1861.1099999999997</v>
      </c>
      <c r="P180" s="3" t="str">
        <f t="shared" si="7"/>
        <v>Low Price</v>
      </c>
      <c r="Q180" s="3" t="str" cm="1">
        <f t="array" ref="Q180">_xlfn.IFS(N180&gt;=10,"High",N180&gt;=5,"Medium",N180&lt;5,"Low")</f>
        <v>High</v>
      </c>
      <c r="R180" s="3" t="str">
        <f t="shared" si="8"/>
        <v>Medium</v>
      </c>
    </row>
    <row r="181" spans="1:18" x14ac:dyDescent="0.25">
      <c r="A181" s="3">
        <v>10196</v>
      </c>
      <c r="B181" s="3">
        <v>1863</v>
      </c>
      <c r="C181" s="4">
        <v>45124</v>
      </c>
      <c r="D181" s="4">
        <v>45133</v>
      </c>
      <c r="E181" s="3" t="s">
        <v>36</v>
      </c>
      <c r="F181" s="3" t="s">
        <v>28</v>
      </c>
      <c r="G181" s="3" t="s">
        <v>29</v>
      </c>
      <c r="H181" s="3" t="s">
        <v>43</v>
      </c>
      <c r="I181" s="3" t="s">
        <v>51</v>
      </c>
      <c r="J181" s="3" t="s">
        <v>52</v>
      </c>
      <c r="K181" s="3" t="s">
        <v>20</v>
      </c>
      <c r="L181" s="3">
        <v>8</v>
      </c>
      <c r="M181" s="3">
        <v>2561.86</v>
      </c>
      <c r="N181" s="3">
        <v>0</v>
      </c>
      <c r="O181" s="3">
        <f t="shared" si="6"/>
        <v>20494.88</v>
      </c>
      <c r="P181" s="3" t="str">
        <f t="shared" si="7"/>
        <v>High Price</v>
      </c>
      <c r="Q181" s="3" t="str" cm="1">
        <f t="array" ref="Q181">_xlfn.IFS(N181&gt;=10,"High",N181&gt;=5,"Medium",N181&lt;5,"Low")</f>
        <v>Low</v>
      </c>
      <c r="R181" s="3" t="str">
        <f t="shared" si="8"/>
        <v>Medium</v>
      </c>
    </row>
    <row r="182" spans="1:18" x14ac:dyDescent="0.25">
      <c r="A182" s="3">
        <v>10197</v>
      </c>
      <c r="B182" s="3">
        <v>1742</v>
      </c>
      <c r="C182" s="4">
        <v>45263</v>
      </c>
      <c r="D182" s="4">
        <v>45266</v>
      </c>
      <c r="E182" s="3" t="s">
        <v>15</v>
      </c>
      <c r="F182" s="3" t="s">
        <v>37</v>
      </c>
      <c r="G182" s="3" t="s">
        <v>16</v>
      </c>
      <c r="H182" s="3" t="s">
        <v>34</v>
      </c>
      <c r="I182" s="3" t="s">
        <v>48</v>
      </c>
      <c r="J182" s="3" t="s">
        <v>67</v>
      </c>
      <c r="K182" s="3" t="s">
        <v>44</v>
      </c>
      <c r="L182" s="3">
        <v>4</v>
      </c>
      <c r="M182" s="3">
        <v>1256.21</v>
      </c>
      <c r="N182" s="3">
        <v>10</v>
      </c>
      <c r="O182" s="3">
        <f t="shared" si="6"/>
        <v>4522.3560000000007</v>
      </c>
      <c r="P182" s="3" t="str">
        <f t="shared" si="7"/>
        <v>Low Price</v>
      </c>
      <c r="Q182" s="3" t="str" cm="1">
        <f t="array" ref="Q182">_xlfn.IFS(N182&gt;=10,"High",N182&gt;=5,"Medium",N182&lt;5,"Low")</f>
        <v>High</v>
      </c>
      <c r="R182" s="3" t="str">
        <f t="shared" si="8"/>
        <v>Low</v>
      </c>
    </row>
    <row r="183" spans="1:18" x14ac:dyDescent="0.25">
      <c r="A183" s="3">
        <v>10198</v>
      </c>
      <c r="B183" s="3">
        <v>1240</v>
      </c>
      <c r="C183" s="4">
        <v>45291</v>
      </c>
      <c r="D183" s="4">
        <v>45292</v>
      </c>
      <c r="E183" s="3" t="s">
        <v>33</v>
      </c>
      <c r="F183" s="3" t="s">
        <v>40</v>
      </c>
      <c r="G183" s="3" t="s">
        <v>16</v>
      </c>
      <c r="H183" s="3" t="s">
        <v>41</v>
      </c>
      <c r="I183" s="3" t="s">
        <v>18</v>
      </c>
      <c r="J183" s="3" t="s">
        <v>65</v>
      </c>
      <c r="K183" s="3" t="s">
        <v>44</v>
      </c>
      <c r="L183" s="3">
        <v>5</v>
      </c>
      <c r="M183" s="3">
        <v>1227.02</v>
      </c>
      <c r="N183" s="3">
        <v>15</v>
      </c>
      <c r="O183" s="3">
        <f t="shared" si="6"/>
        <v>5214.835</v>
      </c>
      <c r="P183" s="3" t="str">
        <f t="shared" si="7"/>
        <v>Low Price</v>
      </c>
      <c r="Q183" s="3" t="str" cm="1">
        <f t="array" ref="Q183">_xlfn.IFS(N183&gt;=10,"High",N183&gt;=5,"Medium",N183&lt;5,"Low")</f>
        <v>High</v>
      </c>
      <c r="R183" s="3" t="str">
        <f t="shared" si="8"/>
        <v>Medium</v>
      </c>
    </row>
    <row r="184" spans="1:18" x14ac:dyDescent="0.25">
      <c r="A184" s="3">
        <v>10199</v>
      </c>
      <c r="B184" s="3">
        <v>1563</v>
      </c>
      <c r="C184" s="4">
        <v>44977</v>
      </c>
      <c r="D184" s="4">
        <v>44984</v>
      </c>
      <c r="E184" s="3" t="s">
        <v>33</v>
      </c>
      <c r="F184" s="3" t="s">
        <v>22</v>
      </c>
      <c r="G184" s="3" t="s">
        <v>23</v>
      </c>
      <c r="H184" s="3" t="s">
        <v>34</v>
      </c>
      <c r="I184" s="3" t="s">
        <v>48</v>
      </c>
      <c r="J184" s="3" t="s">
        <v>50</v>
      </c>
      <c r="K184" s="3" t="s">
        <v>46</v>
      </c>
      <c r="L184" s="3">
        <v>4</v>
      </c>
      <c r="M184" s="3">
        <v>1428.19</v>
      </c>
      <c r="N184" s="3">
        <v>10</v>
      </c>
      <c r="O184" s="3">
        <f t="shared" si="6"/>
        <v>5141.4840000000004</v>
      </c>
      <c r="P184" s="3" t="str">
        <f t="shared" si="7"/>
        <v>Low Price</v>
      </c>
      <c r="Q184" s="3" t="str" cm="1">
        <f t="array" ref="Q184">_xlfn.IFS(N184&gt;=10,"High",N184&gt;=5,"Medium",N184&lt;5,"Low")</f>
        <v>High</v>
      </c>
      <c r="R184" s="3" t="str">
        <f t="shared" si="8"/>
        <v>Low</v>
      </c>
    </row>
    <row r="185" spans="1:18" x14ac:dyDescent="0.25">
      <c r="A185" s="3">
        <v>10200</v>
      </c>
      <c r="B185" s="3">
        <v>1095</v>
      </c>
      <c r="C185" s="4">
        <v>45171</v>
      </c>
      <c r="D185" s="4">
        <v>45176</v>
      </c>
      <c r="E185" s="3" t="s">
        <v>14</v>
      </c>
      <c r="F185" s="3" t="s">
        <v>28</v>
      </c>
      <c r="G185" s="3" t="s">
        <v>29</v>
      </c>
      <c r="H185" s="3" t="s">
        <v>43</v>
      </c>
      <c r="I185" s="3" t="s">
        <v>18</v>
      </c>
      <c r="J185" s="3" t="s">
        <v>65</v>
      </c>
      <c r="K185" s="3" t="s">
        <v>32</v>
      </c>
      <c r="L185" s="3">
        <v>3</v>
      </c>
      <c r="M185" s="3">
        <v>2701.77</v>
      </c>
      <c r="N185" s="3">
        <v>15</v>
      </c>
      <c r="O185" s="3">
        <f t="shared" si="6"/>
        <v>6889.5134999999991</v>
      </c>
      <c r="P185" s="3" t="str">
        <f t="shared" si="7"/>
        <v>Low Price</v>
      </c>
      <c r="Q185" s="3" t="str" cm="1">
        <f t="array" ref="Q185">_xlfn.IFS(N185&gt;=10,"High",N185&gt;=5,"Medium",N185&lt;5,"Low")</f>
        <v>High</v>
      </c>
      <c r="R185" s="3" t="str">
        <f t="shared" si="8"/>
        <v>Low</v>
      </c>
    </row>
    <row r="186" spans="1:18" x14ac:dyDescent="0.25">
      <c r="A186" s="3">
        <v>10201</v>
      </c>
      <c r="B186" s="3">
        <v>1899</v>
      </c>
      <c r="C186" s="4">
        <v>44961</v>
      </c>
      <c r="D186" s="4">
        <v>44966</v>
      </c>
      <c r="E186" s="3" t="s">
        <v>14</v>
      </c>
      <c r="F186" s="3" t="s">
        <v>28</v>
      </c>
      <c r="G186" s="3" t="s">
        <v>29</v>
      </c>
      <c r="H186" s="3" t="s">
        <v>41</v>
      </c>
      <c r="I186" s="3" t="s">
        <v>56</v>
      </c>
      <c r="J186" s="3" t="s">
        <v>58</v>
      </c>
      <c r="K186" s="3" t="s">
        <v>27</v>
      </c>
      <c r="L186" s="3">
        <v>5</v>
      </c>
      <c r="M186" s="3">
        <v>3501.94</v>
      </c>
      <c r="N186" s="3">
        <v>20</v>
      </c>
      <c r="O186" s="3">
        <f t="shared" si="6"/>
        <v>14007.760000000002</v>
      </c>
      <c r="P186" s="3" t="str">
        <f t="shared" si="7"/>
        <v>Low Price</v>
      </c>
      <c r="Q186" s="3" t="str" cm="1">
        <f t="array" ref="Q186">_xlfn.IFS(N186&gt;=10,"High",N186&gt;=5,"Medium",N186&lt;5,"Low")</f>
        <v>High</v>
      </c>
      <c r="R186" s="3" t="str">
        <f t="shared" si="8"/>
        <v>Medium</v>
      </c>
    </row>
    <row r="187" spans="1:18" x14ac:dyDescent="0.25">
      <c r="A187" s="3">
        <v>10202</v>
      </c>
      <c r="B187" s="3">
        <v>1733</v>
      </c>
      <c r="C187" s="4">
        <v>45228</v>
      </c>
      <c r="D187" s="4">
        <v>45229</v>
      </c>
      <c r="E187" s="3" t="s">
        <v>39</v>
      </c>
      <c r="F187" s="3" t="s">
        <v>53</v>
      </c>
      <c r="G187" s="3" t="s">
        <v>16</v>
      </c>
      <c r="H187" s="3" t="s">
        <v>17</v>
      </c>
      <c r="I187" s="3" t="s">
        <v>30</v>
      </c>
      <c r="J187" s="3" t="s">
        <v>64</v>
      </c>
      <c r="K187" s="3" t="s">
        <v>27</v>
      </c>
      <c r="L187" s="3">
        <v>9</v>
      </c>
      <c r="M187" s="3">
        <v>3072.48</v>
      </c>
      <c r="N187" s="3">
        <v>0</v>
      </c>
      <c r="O187" s="3">
        <f t="shared" si="6"/>
        <v>27652.32</v>
      </c>
      <c r="P187" s="3" t="str">
        <f t="shared" si="7"/>
        <v>High Price</v>
      </c>
      <c r="Q187" s="3" t="str" cm="1">
        <f t="array" ref="Q187">_xlfn.IFS(N187&gt;=10,"High",N187&gt;=5,"Medium",N187&lt;5,"Low")</f>
        <v>Low</v>
      </c>
      <c r="R187" s="3" t="str">
        <f t="shared" si="8"/>
        <v>High</v>
      </c>
    </row>
    <row r="188" spans="1:18" x14ac:dyDescent="0.25">
      <c r="A188" s="3">
        <v>10207</v>
      </c>
      <c r="B188" s="3">
        <v>1654</v>
      </c>
      <c r="C188" s="4">
        <v>45000</v>
      </c>
      <c r="D188" s="4">
        <v>45006</v>
      </c>
      <c r="E188" s="3" t="s">
        <v>36</v>
      </c>
      <c r="F188" s="3" t="s">
        <v>40</v>
      </c>
      <c r="G188" s="3" t="s">
        <v>23</v>
      </c>
      <c r="H188" s="3" t="s">
        <v>43</v>
      </c>
      <c r="I188" s="3" t="s">
        <v>48</v>
      </c>
      <c r="J188" s="3" t="s">
        <v>50</v>
      </c>
      <c r="K188" s="3" t="s">
        <v>32</v>
      </c>
      <c r="L188" s="3">
        <v>7</v>
      </c>
      <c r="M188" s="3">
        <v>982.56</v>
      </c>
      <c r="N188" s="3">
        <v>10</v>
      </c>
      <c r="O188" s="3">
        <f t="shared" si="6"/>
        <v>6190.1280000000006</v>
      </c>
      <c r="P188" s="3" t="str">
        <f t="shared" si="7"/>
        <v>Low Price</v>
      </c>
      <c r="Q188" s="3" t="str" cm="1">
        <f t="array" ref="Q188">_xlfn.IFS(N188&gt;=10,"High",N188&gt;=5,"Medium",N188&lt;5,"Low")</f>
        <v>High</v>
      </c>
      <c r="R188" s="3" t="str">
        <f t="shared" si="8"/>
        <v>Medium</v>
      </c>
    </row>
    <row r="189" spans="1:18" x14ac:dyDescent="0.25">
      <c r="A189" s="3">
        <v>10208</v>
      </c>
      <c r="B189" s="3">
        <v>1170</v>
      </c>
      <c r="C189" s="4">
        <v>45118</v>
      </c>
      <c r="D189" s="4">
        <v>45123</v>
      </c>
      <c r="E189" s="3" t="s">
        <v>45</v>
      </c>
      <c r="F189" s="3" t="s">
        <v>40</v>
      </c>
      <c r="G189" s="3" t="s">
        <v>23</v>
      </c>
      <c r="H189" s="3" t="s">
        <v>41</v>
      </c>
      <c r="I189" s="3" t="s">
        <v>51</v>
      </c>
      <c r="J189" s="3" t="s">
        <v>52</v>
      </c>
      <c r="K189" s="3" t="s">
        <v>27</v>
      </c>
      <c r="L189" s="3">
        <v>8</v>
      </c>
      <c r="M189" s="3">
        <v>953.07</v>
      </c>
      <c r="N189" s="3">
        <v>20</v>
      </c>
      <c r="O189" s="3">
        <f t="shared" si="6"/>
        <v>6099.648000000001</v>
      </c>
      <c r="P189" s="3" t="str">
        <f t="shared" si="7"/>
        <v>Low Price</v>
      </c>
      <c r="Q189" s="3" t="str" cm="1">
        <f t="array" ref="Q189">_xlfn.IFS(N189&gt;=10,"High",N189&gt;=5,"Medium",N189&lt;5,"Low")</f>
        <v>High</v>
      </c>
      <c r="R189" s="3" t="str">
        <f t="shared" si="8"/>
        <v>Medium</v>
      </c>
    </row>
    <row r="190" spans="1:18" x14ac:dyDescent="0.25">
      <c r="A190" s="3">
        <v>10209</v>
      </c>
      <c r="B190" s="3">
        <v>1540</v>
      </c>
      <c r="C190" s="4">
        <v>45187</v>
      </c>
      <c r="D190" s="4">
        <v>45193</v>
      </c>
      <c r="E190" s="3" t="s">
        <v>39</v>
      </c>
      <c r="F190" s="3" t="s">
        <v>15</v>
      </c>
      <c r="G190" s="3" t="s">
        <v>16</v>
      </c>
      <c r="H190" s="3" t="s">
        <v>41</v>
      </c>
      <c r="I190" s="3" t="s">
        <v>48</v>
      </c>
      <c r="J190" s="3" t="s">
        <v>49</v>
      </c>
      <c r="K190" s="3" t="s">
        <v>44</v>
      </c>
      <c r="L190" s="3">
        <v>8</v>
      </c>
      <c r="M190" s="3">
        <v>1291.1099999999999</v>
      </c>
      <c r="N190" s="3">
        <v>15</v>
      </c>
      <c r="O190" s="3">
        <f t="shared" si="6"/>
        <v>8779.5479999999989</v>
      </c>
      <c r="P190" s="3" t="str">
        <f t="shared" si="7"/>
        <v>Low Price</v>
      </c>
      <c r="Q190" s="3" t="str" cm="1">
        <f t="array" ref="Q190">_xlfn.IFS(N190&gt;=10,"High",N190&gt;=5,"Medium",N190&lt;5,"Low")</f>
        <v>High</v>
      </c>
      <c r="R190" s="3" t="str">
        <f t="shared" si="8"/>
        <v>Medium</v>
      </c>
    </row>
    <row r="191" spans="1:18" x14ac:dyDescent="0.25">
      <c r="A191" s="3">
        <v>10210</v>
      </c>
      <c r="B191" s="3">
        <v>1035</v>
      </c>
      <c r="C191" s="4">
        <v>45282</v>
      </c>
      <c r="D191" s="4">
        <v>45284</v>
      </c>
      <c r="E191" s="3" t="s">
        <v>14</v>
      </c>
      <c r="F191" s="3" t="s">
        <v>53</v>
      </c>
      <c r="G191" s="3" t="s">
        <v>29</v>
      </c>
      <c r="H191" s="3" t="s">
        <v>17</v>
      </c>
      <c r="I191" s="3" t="s">
        <v>18</v>
      </c>
      <c r="J191" s="3" t="s">
        <v>19</v>
      </c>
      <c r="K191" s="3" t="s">
        <v>44</v>
      </c>
      <c r="L191" s="3">
        <v>8</v>
      </c>
      <c r="M191" s="3">
        <v>3656.59</v>
      </c>
      <c r="N191" s="3">
        <v>15</v>
      </c>
      <c r="O191" s="3">
        <f t="shared" si="6"/>
        <v>24864.812000000002</v>
      </c>
      <c r="P191" s="3" t="str">
        <f t="shared" si="7"/>
        <v>High Price</v>
      </c>
      <c r="Q191" s="3" t="str" cm="1">
        <f t="array" ref="Q191">_xlfn.IFS(N191&gt;=10,"High",N191&gt;=5,"Medium",N191&lt;5,"Low")</f>
        <v>High</v>
      </c>
      <c r="R191" s="3" t="str">
        <f t="shared" si="8"/>
        <v>Medium</v>
      </c>
    </row>
    <row r="192" spans="1:18" x14ac:dyDescent="0.25">
      <c r="A192" s="3">
        <v>10211</v>
      </c>
      <c r="B192" s="3">
        <v>1524</v>
      </c>
      <c r="C192" s="4">
        <v>44996</v>
      </c>
      <c r="D192" s="4">
        <v>45000</v>
      </c>
      <c r="E192" s="3" t="s">
        <v>21</v>
      </c>
      <c r="F192" s="3" t="s">
        <v>22</v>
      </c>
      <c r="G192" s="3" t="s">
        <v>23</v>
      </c>
      <c r="H192" s="3" t="s">
        <v>41</v>
      </c>
      <c r="I192" s="3" t="s">
        <v>48</v>
      </c>
      <c r="J192" s="3" t="s">
        <v>50</v>
      </c>
      <c r="K192" s="3" t="s">
        <v>20</v>
      </c>
      <c r="L192" s="3">
        <v>7</v>
      </c>
      <c r="M192" s="3">
        <v>2257.5500000000002</v>
      </c>
      <c r="N192" s="3">
        <v>10</v>
      </c>
      <c r="O192" s="3">
        <f t="shared" si="6"/>
        <v>14222.565000000002</v>
      </c>
      <c r="P192" s="3" t="str">
        <f t="shared" si="7"/>
        <v>Low Price</v>
      </c>
      <c r="Q192" s="3" t="str" cm="1">
        <f t="array" ref="Q192">_xlfn.IFS(N192&gt;=10,"High",N192&gt;=5,"Medium",N192&lt;5,"Low")</f>
        <v>High</v>
      </c>
      <c r="R192" s="3" t="str">
        <f t="shared" si="8"/>
        <v>Medium</v>
      </c>
    </row>
    <row r="193" spans="1:18" x14ac:dyDescent="0.25">
      <c r="A193" s="3">
        <v>10212</v>
      </c>
      <c r="B193" s="3">
        <v>1159</v>
      </c>
      <c r="C193" s="4">
        <v>45016</v>
      </c>
      <c r="D193" s="4">
        <v>45019</v>
      </c>
      <c r="E193" s="3" t="s">
        <v>15</v>
      </c>
      <c r="F193" s="3" t="s">
        <v>28</v>
      </c>
      <c r="G193" s="3" t="s">
        <v>29</v>
      </c>
      <c r="H193" s="3" t="s">
        <v>43</v>
      </c>
      <c r="I193" s="3" t="s">
        <v>25</v>
      </c>
      <c r="J193" s="3" t="s">
        <v>60</v>
      </c>
      <c r="K193" s="3" t="s">
        <v>32</v>
      </c>
      <c r="L193" s="3">
        <v>1</v>
      </c>
      <c r="M193" s="3">
        <v>2975.54</v>
      </c>
      <c r="N193" s="3">
        <v>15</v>
      </c>
      <c r="O193" s="3">
        <f t="shared" si="6"/>
        <v>2529.2089999999998</v>
      </c>
      <c r="P193" s="3" t="str">
        <f t="shared" si="7"/>
        <v>Low Price</v>
      </c>
      <c r="Q193" s="3" t="str" cm="1">
        <f t="array" ref="Q193">_xlfn.IFS(N193&gt;=10,"High",N193&gt;=5,"Medium",N193&lt;5,"Low")</f>
        <v>High</v>
      </c>
      <c r="R193" s="3" t="str">
        <f t="shared" si="8"/>
        <v>Low</v>
      </c>
    </row>
    <row r="194" spans="1:18" x14ac:dyDescent="0.25">
      <c r="A194" s="3">
        <v>10214</v>
      </c>
      <c r="B194" s="3">
        <v>1698</v>
      </c>
      <c r="C194" s="4">
        <v>45052</v>
      </c>
      <c r="D194" s="4">
        <v>45061</v>
      </c>
      <c r="E194" s="3" t="s">
        <v>36</v>
      </c>
      <c r="F194" s="3" t="s">
        <v>28</v>
      </c>
      <c r="G194" s="3" t="s">
        <v>23</v>
      </c>
      <c r="H194" s="3" t="s">
        <v>43</v>
      </c>
      <c r="I194" s="3" t="s">
        <v>48</v>
      </c>
      <c r="J194" s="3" t="s">
        <v>62</v>
      </c>
      <c r="K194" s="3" t="s">
        <v>46</v>
      </c>
      <c r="L194" s="3">
        <v>4</v>
      </c>
      <c r="M194" s="3">
        <v>1719.71</v>
      </c>
      <c r="N194" s="3">
        <v>15</v>
      </c>
      <c r="O194" s="3">
        <f t="shared" si="6"/>
        <v>5847.0140000000001</v>
      </c>
      <c r="P194" s="3" t="str">
        <f t="shared" si="7"/>
        <v>Low Price</v>
      </c>
      <c r="Q194" s="3" t="str" cm="1">
        <f t="array" ref="Q194">_xlfn.IFS(N194&gt;=10,"High",N194&gt;=5,"Medium",N194&lt;5,"Low")</f>
        <v>High</v>
      </c>
      <c r="R194" s="3" t="str">
        <f t="shared" si="8"/>
        <v>Low</v>
      </c>
    </row>
    <row r="195" spans="1:18" x14ac:dyDescent="0.25">
      <c r="A195" s="3">
        <v>10215</v>
      </c>
      <c r="B195" s="3">
        <v>1242</v>
      </c>
      <c r="C195" s="4">
        <v>45157</v>
      </c>
      <c r="D195" s="4">
        <v>45162</v>
      </c>
      <c r="E195" s="3" t="s">
        <v>14</v>
      </c>
      <c r="F195" s="3" t="s">
        <v>15</v>
      </c>
      <c r="G195" s="3" t="s">
        <v>16</v>
      </c>
      <c r="H195" s="3" t="s">
        <v>24</v>
      </c>
      <c r="I195" s="3" t="s">
        <v>25</v>
      </c>
      <c r="J195" s="3" t="s">
        <v>26</v>
      </c>
      <c r="K195" s="3" t="s">
        <v>20</v>
      </c>
      <c r="L195" s="3">
        <v>5</v>
      </c>
      <c r="M195" s="3">
        <v>633.42999999999995</v>
      </c>
      <c r="N195" s="3">
        <v>20</v>
      </c>
      <c r="O195" s="3">
        <f t="shared" ref="O195:O258" si="9">(L195*M195)*(1-N195/100)</f>
        <v>2533.7199999999998</v>
      </c>
      <c r="P195" s="3" t="str">
        <f t="shared" ref="P195:P258" si="10">IF(O195&gt;=15000,"High Price","Low Price")</f>
        <v>Low Price</v>
      </c>
      <c r="Q195" s="3" t="str" cm="1">
        <f t="array" ref="Q195">_xlfn.IFS(N195&gt;=10,"High",N195&gt;=5,"Medium",N195&lt;5,"Low")</f>
        <v>High</v>
      </c>
      <c r="R195" s="3" t="str">
        <f t="shared" ref="R195:R258" si="11">IF(L195&gt;8,"High",IF(L195&gt;4,"Medium","Low"))</f>
        <v>Medium</v>
      </c>
    </row>
    <row r="196" spans="1:18" x14ac:dyDescent="0.25">
      <c r="A196" s="3">
        <v>10216</v>
      </c>
      <c r="B196" s="3">
        <v>1085</v>
      </c>
      <c r="C196" s="4">
        <v>45221</v>
      </c>
      <c r="D196" s="4">
        <v>45227</v>
      </c>
      <c r="E196" s="3" t="s">
        <v>36</v>
      </c>
      <c r="F196" s="3" t="s">
        <v>22</v>
      </c>
      <c r="G196" s="3" t="s">
        <v>23</v>
      </c>
      <c r="H196" s="3" t="s">
        <v>17</v>
      </c>
      <c r="I196" s="3" t="s">
        <v>56</v>
      </c>
      <c r="J196" s="3" t="s">
        <v>66</v>
      </c>
      <c r="K196" s="3" t="s">
        <v>20</v>
      </c>
      <c r="L196" s="3">
        <v>6</v>
      </c>
      <c r="M196" s="3">
        <v>809.49</v>
      </c>
      <c r="N196" s="3">
        <v>5</v>
      </c>
      <c r="O196" s="3">
        <f t="shared" si="9"/>
        <v>4614.0929999999998</v>
      </c>
      <c r="P196" s="3" t="str">
        <f t="shared" si="10"/>
        <v>Low Price</v>
      </c>
      <c r="Q196" s="3" t="str" cm="1">
        <f t="array" ref="Q196">_xlfn.IFS(N196&gt;=10,"High",N196&gt;=5,"Medium",N196&lt;5,"Low")</f>
        <v>Medium</v>
      </c>
      <c r="R196" s="3" t="str">
        <f t="shared" si="11"/>
        <v>Medium</v>
      </c>
    </row>
    <row r="197" spans="1:18" x14ac:dyDescent="0.25">
      <c r="A197" s="3">
        <v>10217</v>
      </c>
      <c r="B197" s="3">
        <v>1795</v>
      </c>
      <c r="C197" s="4">
        <v>45055</v>
      </c>
      <c r="D197" s="4">
        <v>45057</v>
      </c>
      <c r="E197" s="3" t="s">
        <v>36</v>
      </c>
      <c r="F197" s="3" t="s">
        <v>40</v>
      </c>
      <c r="G197" s="3" t="s">
        <v>23</v>
      </c>
      <c r="H197" s="3" t="s">
        <v>41</v>
      </c>
      <c r="I197" s="3" t="s">
        <v>48</v>
      </c>
      <c r="J197" s="3" t="s">
        <v>49</v>
      </c>
      <c r="K197" s="3" t="s">
        <v>27</v>
      </c>
      <c r="L197" s="3">
        <v>4</v>
      </c>
      <c r="M197" s="3">
        <v>3335.32</v>
      </c>
      <c r="N197" s="3">
        <v>20</v>
      </c>
      <c r="O197" s="3">
        <f t="shared" si="9"/>
        <v>10673.024000000001</v>
      </c>
      <c r="P197" s="3" t="str">
        <f t="shared" si="10"/>
        <v>Low Price</v>
      </c>
      <c r="Q197" s="3" t="str" cm="1">
        <f t="array" ref="Q197">_xlfn.IFS(N197&gt;=10,"High",N197&gt;=5,"Medium",N197&lt;5,"Low")</f>
        <v>High</v>
      </c>
      <c r="R197" s="3" t="str">
        <f t="shared" si="11"/>
        <v>Low</v>
      </c>
    </row>
    <row r="198" spans="1:18" x14ac:dyDescent="0.25">
      <c r="A198" s="3">
        <v>10218</v>
      </c>
      <c r="B198" s="3">
        <v>1577</v>
      </c>
      <c r="C198" s="4">
        <v>45206</v>
      </c>
      <c r="D198" s="4">
        <v>45209</v>
      </c>
      <c r="E198" s="3" t="s">
        <v>36</v>
      </c>
      <c r="F198" s="3" t="s">
        <v>28</v>
      </c>
      <c r="G198" s="3" t="s">
        <v>16</v>
      </c>
      <c r="H198" s="3" t="s">
        <v>43</v>
      </c>
      <c r="I198" s="3" t="s">
        <v>25</v>
      </c>
      <c r="J198" s="3" t="s">
        <v>68</v>
      </c>
      <c r="K198" s="3" t="s">
        <v>44</v>
      </c>
      <c r="L198" s="3">
        <v>2</v>
      </c>
      <c r="M198" s="3">
        <v>2401.63</v>
      </c>
      <c r="N198" s="3">
        <v>0</v>
      </c>
      <c r="O198" s="3">
        <f t="shared" si="9"/>
        <v>4803.26</v>
      </c>
      <c r="P198" s="3" t="str">
        <f t="shared" si="10"/>
        <v>Low Price</v>
      </c>
      <c r="Q198" s="3" t="str" cm="1">
        <f t="array" ref="Q198">_xlfn.IFS(N198&gt;=10,"High",N198&gt;=5,"Medium",N198&lt;5,"Low")</f>
        <v>Low</v>
      </c>
      <c r="R198" s="3" t="str">
        <f t="shared" si="11"/>
        <v>Low</v>
      </c>
    </row>
    <row r="199" spans="1:18" x14ac:dyDescent="0.25">
      <c r="A199" s="3">
        <v>10220</v>
      </c>
      <c r="B199" s="3">
        <v>1556</v>
      </c>
      <c r="C199" s="4">
        <v>45026</v>
      </c>
      <c r="D199" s="4">
        <v>45035</v>
      </c>
      <c r="E199" s="3" t="s">
        <v>36</v>
      </c>
      <c r="F199" s="3" t="s">
        <v>15</v>
      </c>
      <c r="G199" s="3" t="s">
        <v>23</v>
      </c>
      <c r="H199" s="3" t="s">
        <v>17</v>
      </c>
      <c r="I199" s="3" t="s">
        <v>18</v>
      </c>
      <c r="J199" s="3" t="s">
        <v>54</v>
      </c>
      <c r="K199" s="3" t="s">
        <v>20</v>
      </c>
      <c r="L199" s="3">
        <v>8</v>
      </c>
      <c r="M199" s="3">
        <v>3240.98</v>
      </c>
      <c r="N199" s="3">
        <v>0</v>
      </c>
      <c r="O199" s="3">
        <f t="shared" si="9"/>
        <v>25927.84</v>
      </c>
      <c r="P199" s="3" t="str">
        <f t="shared" si="10"/>
        <v>High Price</v>
      </c>
      <c r="Q199" s="3" t="str" cm="1">
        <f t="array" ref="Q199">_xlfn.IFS(N199&gt;=10,"High",N199&gt;=5,"Medium",N199&lt;5,"Low")</f>
        <v>Low</v>
      </c>
      <c r="R199" s="3" t="str">
        <f t="shared" si="11"/>
        <v>Medium</v>
      </c>
    </row>
    <row r="200" spans="1:18" x14ac:dyDescent="0.25">
      <c r="A200" s="3">
        <v>10222</v>
      </c>
      <c r="B200" s="3">
        <v>1952</v>
      </c>
      <c r="C200" s="4">
        <v>45223</v>
      </c>
      <c r="D200" s="4">
        <v>45231</v>
      </c>
      <c r="E200" s="3" t="s">
        <v>15</v>
      </c>
      <c r="F200" s="3" t="s">
        <v>15</v>
      </c>
      <c r="G200" s="3" t="s">
        <v>23</v>
      </c>
      <c r="H200" s="3" t="s">
        <v>43</v>
      </c>
      <c r="I200" s="3" t="s">
        <v>48</v>
      </c>
      <c r="J200" s="3" t="s">
        <v>50</v>
      </c>
      <c r="K200" s="3" t="s">
        <v>20</v>
      </c>
      <c r="L200" s="3">
        <v>7</v>
      </c>
      <c r="M200" s="3">
        <v>3907.73</v>
      </c>
      <c r="N200" s="3">
        <v>10</v>
      </c>
      <c r="O200" s="3">
        <f t="shared" si="9"/>
        <v>24618.699000000001</v>
      </c>
      <c r="P200" s="3" t="str">
        <f t="shared" si="10"/>
        <v>High Price</v>
      </c>
      <c r="Q200" s="3" t="str" cm="1">
        <f t="array" ref="Q200">_xlfn.IFS(N200&gt;=10,"High",N200&gt;=5,"Medium",N200&lt;5,"Low")</f>
        <v>High</v>
      </c>
      <c r="R200" s="3" t="str">
        <f t="shared" si="11"/>
        <v>Medium</v>
      </c>
    </row>
    <row r="201" spans="1:18" x14ac:dyDescent="0.25">
      <c r="A201" s="3">
        <v>10223</v>
      </c>
      <c r="B201" s="3">
        <v>1645</v>
      </c>
      <c r="C201" s="4">
        <v>45108</v>
      </c>
      <c r="D201" s="4">
        <v>45117</v>
      </c>
      <c r="E201" s="3" t="s">
        <v>45</v>
      </c>
      <c r="F201" s="3" t="s">
        <v>53</v>
      </c>
      <c r="G201" s="3" t="s">
        <v>16</v>
      </c>
      <c r="H201" s="3" t="s">
        <v>24</v>
      </c>
      <c r="I201" s="3" t="s">
        <v>56</v>
      </c>
      <c r="J201" s="3" t="s">
        <v>58</v>
      </c>
      <c r="K201" s="3" t="s">
        <v>46</v>
      </c>
      <c r="L201" s="3">
        <v>6</v>
      </c>
      <c r="M201" s="3">
        <v>1477.55</v>
      </c>
      <c r="N201" s="3">
        <v>10</v>
      </c>
      <c r="O201" s="3">
        <f t="shared" si="9"/>
        <v>7978.7699999999995</v>
      </c>
      <c r="P201" s="3" t="str">
        <f t="shared" si="10"/>
        <v>Low Price</v>
      </c>
      <c r="Q201" s="3" t="str" cm="1">
        <f t="array" ref="Q201">_xlfn.IFS(N201&gt;=10,"High",N201&gt;=5,"Medium",N201&lt;5,"Low")</f>
        <v>High</v>
      </c>
      <c r="R201" s="3" t="str">
        <f t="shared" si="11"/>
        <v>Medium</v>
      </c>
    </row>
    <row r="202" spans="1:18" x14ac:dyDescent="0.25">
      <c r="A202" s="3">
        <v>10226</v>
      </c>
      <c r="B202" s="3">
        <v>1619</v>
      </c>
      <c r="C202" s="4">
        <v>45290</v>
      </c>
      <c r="D202" s="4">
        <v>45291</v>
      </c>
      <c r="E202" s="3" t="s">
        <v>36</v>
      </c>
      <c r="F202" s="3" t="s">
        <v>37</v>
      </c>
      <c r="G202" s="3" t="s">
        <v>16</v>
      </c>
      <c r="H202" s="3" t="s">
        <v>41</v>
      </c>
      <c r="I202" s="3" t="s">
        <v>48</v>
      </c>
      <c r="J202" s="3" t="s">
        <v>62</v>
      </c>
      <c r="K202" s="3" t="s">
        <v>44</v>
      </c>
      <c r="L202" s="3">
        <v>5</v>
      </c>
      <c r="M202" s="3">
        <v>620.13</v>
      </c>
      <c r="N202" s="3">
        <v>5</v>
      </c>
      <c r="O202" s="3">
        <f t="shared" si="9"/>
        <v>2945.6174999999998</v>
      </c>
      <c r="P202" s="3" t="str">
        <f t="shared" si="10"/>
        <v>Low Price</v>
      </c>
      <c r="Q202" s="3" t="str" cm="1">
        <f t="array" ref="Q202">_xlfn.IFS(N202&gt;=10,"High",N202&gt;=5,"Medium",N202&lt;5,"Low")</f>
        <v>Medium</v>
      </c>
      <c r="R202" s="3" t="str">
        <f t="shared" si="11"/>
        <v>Medium</v>
      </c>
    </row>
    <row r="203" spans="1:18" x14ac:dyDescent="0.25">
      <c r="A203" s="3">
        <v>10229</v>
      </c>
      <c r="B203" s="3">
        <v>1797</v>
      </c>
      <c r="C203" s="4">
        <v>44957</v>
      </c>
      <c r="D203" s="4">
        <v>44959</v>
      </c>
      <c r="E203" s="3" t="s">
        <v>15</v>
      </c>
      <c r="F203" s="3" t="s">
        <v>53</v>
      </c>
      <c r="G203" s="3" t="s">
        <v>29</v>
      </c>
      <c r="H203" s="3" t="s">
        <v>43</v>
      </c>
      <c r="I203" s="3" t="s">
        <v>48</v>
      </c>
      <c r="J203" s="3" t="s">
        <v>67</v>
      </c>
      <c r="K203" s="3" t="s">
        <v>32</v>
      </c>
      <c r="L203" s="3">
        <v>8</v>
      </c>
      <c r="M203" s="3">
        <v>3519.2</v>
      </c>
      <c r="N203" s="3">
        <v>0</v>
      </c>
      <c r="O203" s="3">
        <f t="shared" si="9"/>
        <v>28153.599999999999</v>
      </c>
      <c r="P203" s="3" t="str">
        <f t="shared" si="10"/>
        <v>High Price</v>
      </c>
      <c r="Q203" s="3" t="str" cm="1">
        <f t="array" ref="Q203">_xlfn.IFS(N203&gt;=10,"High",N203&gt;=5,"Medium",N203&lt;5,"Low")</f>
        <v>Low</v>
      </c>
      <c r="R203" s="3" t="str">
        <f t="shared" si="11"/>
        <v>Medium</v>
      </c>
    </row>
    <row r="204" spans="1:18" x14ac:dyDescent="0.25">
      <c r="A204" s="3">
        <v>10232</v>
      </c>
      <c r="B204" s="3">
        <v>1639</v>
      </c>
      <c r="C204" s="4">
        <v>44962</v>
      </c>
      <c r="D204" s="4">
        <v>44969</v>
      </c>
      <c r="E204" s="3" t="s">
        <v>21</v>
      </c>
      <c r="F204" s="3" t="s">
        <v>28</v>
      </c>
      <c r="G204" s="3" t="s">
        <v>16</v>
      </c>
      <c r="H204" s="3" t="s">
        <v>17</v>
      </c>
      <c r="I204" s="3" t="s">
        <v>56</v>
      </c>
      <c r="J204" s="3" t="s">
        <v>58</v>
      </c>
      <c r="K204" s="3" t="s">
        <v>20</v>
      </c>
      <c r="L204" s="3">
        <v>1</v>
      </c>
      <c r="M204" s="3">
        <v>2250.4899999999998</v>
      </c>
      <c r="N204" s="3">
        <v>15</v>
      </c>
      <c r="O204" s="3">
        <f t="shared" si="9"/>
        <v>1912.9164999999998</v>
      </c>
      <c r="P204" s="3" t="str">
        <f t="shared" si="10"/>
        <v>Low Price</v>
      </c>
      <c r="Q204" s="3" t="str" cm="1">
        <f t="array" ref="Q204">_xlfn.IFS(N204&gt;=10,"High",N204&gt;=5,"Medium",N204&lt;5,"Low")</f>
        <v>High</v>
      </c>
      <c r="R204" s="3" t="str">
        <f t="shared" si="11"/>
        <v>Low</v>
      </c>
    </row>
    <row r="205" spans="1:18" x14ac:dyDescent="0.25">
      <c r="A205" s="3">
        <v>10233</v>
      </c>
      <c r="B205" s="3">
        <v>1505</v>
      </c>
      <c r="C205" s="4">
        <v>45139</v>
      </c>
      <c r="D205" s="4">
        <v>45143</v>
      </c>
      <c r="E205" s="3" t="s">
        <v>15</v>
      </c>
      <c r="F205" s="3" t="s">
        <v>40</v>
      </c>
      <c r="G205" s="3" t="s">
        <v>16</v>
      </c>
      <c r="H205" s="3" t="s">
        <v>43</v>
      </c>
      <c r="I205" s="3" t="s">
        <v>18</v>
      </c>
      <c r="J205" s="3" t="s">
        <v>54</v>
      </c>
      <c r="K205" s="3" t="s">
        <v>46</v>
      </c>
      <c r="L205" s="3">
        <v>1</v>
      </c>
      <c r="M205" s="3">
        <v>556.53</v>
      </c>
      <c r="N205" s="3">
        <v>5</v>
      </c>
      <c r="O205" s="3">
        <f t="shared" si="9"/>
        <v>528.70349999999996</v>
      </c>
      <c r="P205" s="3" t="str">
        <f t="shared" si="10"/>
        <v>Low Price</v>
      </c>
      <c r="Q205" s="3" t="str" cm="1">
        <f t="array" ref="Q205">_xlfn.IFS(N205&gt;=10,"High",N205&gt;=5,"Medium",N205&lt;5,"Low")</f>
        <v>Medium</v>
      </c>
      <c r="R205" s="3" t="str">
        <f t="shared" si="11"/>
        <v>Low</v>
      </c>
    </row>
    <row r="206" spans="1:18" x14ac:dyDescent="0.25">
      <c r="A206" s="3">
        <v>10234</v>
      </c>
      <c r="B206" s="3">
        <v>1347</v>
      </c>
      <c r="C206" s="4">
        <v>45290</v>
      </c>
      <c r="D206" s="4">
        <v>45295</v>
      </c>
      <c r="E206" s="3" t="s">
        <v>36</v>
      </c>
      <c r="F206" s="3" t="s">
        <v>15</v>
      </c>
      <c r="G206" s="3" t="s">
        <v>29</v>
      </c>
      <c r="H206" s="3" t="s">
        <v>43</v>
      </c>
      <c r="I206" s="3" t="s">
        <v>30</v>
      </c>
      <c r="J206" s="3" t="s">
        <v>47</v>
      </c>
      <c r="K206" s="3" t="s">
        <v>32</v>
      </c>
      <c r="L206" s="3">
        <v>7</v>
      </c>
      <c r="M206" s="3">
        <v>324.38</v>
      </c>
      <c r="N206" s="3">
        <v>10</v>
      </c>
      <c r="O206" s="3">
        <f t="shared" si="9"/>
        <v>2043.5939999999998</v>
      </c>
      <c r="P206" s="3" t="str">
        <f t="shared" si="10"/>
        <v>Low Price</v>
      </c>
      <c r="Q206" s="3" t="str" cm="1">
        <f t="array" ref="Q206">_xlfn.IFS(N206&gt;=10,"High",N206&gt;=5,"Medium",N206&lt;5,"Low")</f>
        <v>High</v>
      </c>
      <c r="R206" s="3" t="str">
        <f t="shared" si="11"/>
        <v>Medium</v>
      </c>
    </row>
    <row r="207" spans="1:18" x14ac:dyDescent="0.25">
      <c r="A207" s="3">
        <v>10235</v>
      </c>
      <c r="B207" s="3">
        <v>1472</v>
      </c>
      <c r="C207" s="4">
        <v>45032</v>
      </c>
      <c r="D207" s="4">
        <v>45040</v>
      </c>
      <c r="E207" s="3" t="s">
        <v>39</v>
      </c>
      <c r="F207" s="3" t="s">
        <v>28</v>
      </c>
      <c r="G207" s="3" t="s">
        <v>16</v>
      </c>
      <c r="H207" s="3" t="s">
        <v>34</v>
      </c>
      <c r="I207" s="3" t="s">
        <v>51</v>
      </c>
      <c r="J207" s="3" t="s">
        <v>59</v>
      </c>
      <c r="K207" s="3" t="s">
        <v>46</v>
      </c>
      <c r="L207" s="3">
        <v>9</v>
      </c>
      <c r="M207" s="3">
        <v>2677.09</v>
      </c>
      <c r="N207" s="3">
        <v>10</v>
      </c>
      <c r="O207" s="3">
        <f t="shared" si="9"/>
        <v>21684.429</v>
      </c>
      <c r="P207" s="3" t="str">
        <f t="shared" si="10"/>
        <v>High Price</v>
      </c>
      <c r="Q207" s="3" t="str" cm="1">
        <f t="array" ref="Q207">_xlfn.IFS(N207&gt;=10,"High",N207&gt;=5,"Medium",N207&lt;5,"Low")</f>
        <v>High</v>
      </c>
      <c r="R207" s="3" t="str">
        <f t="shared" si="11"/>
        <v>High</v>
      </c>
    </row>
    <row r="208" spans="1:18" x14ac:dyDescent="0.25">
      <c r="A208" s="3">
        <v>10238</v>
      </c>
      <c r="B208" s="3">
        <v>1224</v>
      </c>
      <c r="C208" s="4">
        <v>45089</v>
      </c>
      <c r="D208" s="4">
        <v>45093</v>
      </c>
      <c r="E208" s="3" t="s">
        <v>33</v>
      </c>
      <c r="F208" s="3" t="s">
        <v>37</v>
      </c>
      <c r="G208" s="3" t="s">
        <v>23</v>
      </c>
      <c r="H208" s="3" t="s">
        <v>34</v>
      </c>
      <c r="I208" s="3" t="s">
        <v>56</v>
      </c>
      <c r="J208" s="3" t="s">
        <v>61</v>
      </c>
      <c r="K208" s="3" t="s">
        <v>44</v>
      </c>
      <c r="L208" s="3">
        <v>8</v>
      </c>
      <c r="M208" s="3">
        <v>284.52</v>
      </c>
      <c r="N208" s="3">
        <v>15</v>
      </c>
      <c r="O208" s="3">
        <f t="shared" si="9"/>
        <v>1934.7359999999999</v>
      </c>
      <c r="P208" s="3" t="str">
        <f t="shared" si="10"/>
        <v>Low Price</v>
      </c>
      <c r="Q208" s="3" t="str" cm="1">
        <f t="array" ref="Q208">_xlfn.IFS(N208&gt;=10,"High",N208&gt;=5,"Medium",N208&lt;5,"Low")</f>
        <v>High</v>
      </c>
      <c r="R208" s="3" t="str">
        <f t="shared" si="11"/>
        <v>Medium</v>
      </c>
    </row>
    <row r="209" spans="1:18" x14ac:dyDescent="0.25">
      <c r="A209" s="3">
        <v>10239</v>
      </c>
      <c r="B209" s="3">
        <v>1384</v>
      </c>
      <c r="C209" s="4">
        <v>45146</v>
      </c>
      <c r="D209" s="4">
        <v>45149</v>
      </c>
      <c r="E209" s="3" t="s">
        <v>33</v>
      </c>
      <c r="F209" s="3" t="s">
        <v>40</v>
      </c>
      <c r="G209" s="3" t="s">
        <v>23</v>
      </c>
      <c r="H209" s="3" t="s">
        <v>24</v>
      </c>
      <c r="I209" s="3" t="s">
        <v>48</v>
      </c>
      <c r="J209" s="3" t="s">
        <v>62</v>
      </c>
      <c r="K209" s="3" t="s">
        <v>46</v>
      </c>
      <c r="L209" s="3">
        <v>2</v>
      </c>
      <c r="M209" s="3">
        <v>3960.56</v>
      </c>
      <c r="N209" s="3">
        <v>10</v>
      </c>
      <c r="O209" s="3">
        <f t="shared" si="9"/>
        <v>7129.0079999999998</v>
      </c>
      <c r="P209" s="3" t="str">
        <f t="shared" si="10"/>
        <v>Low Price</v>
      </c>
      <c r="Q209" s="3" t="str" cm="1">
        <f t="array" ref="Q209">_xlfn.IFS(N209&gt;=10,"High",N209&gt;=5,"Medium",N209&lt;5,"Low")</f>
        <v>High</v>
      </c>
      <c r="R209" s="3" t="str">
        <f t="shared" si="11"/>
        <v>Low</v>
      </c>
    </row>
    <row r="210" spans="1:18" x14ac:dyDescent="0.25">
      <c r="A210" s="3">
        <v>10240</v>
      </c>
      <c r="B210" s="3">
        <v>1376</v>
      </c>
      <c r="C210" s="4">
        <v>45196</v>
      </c>
      <c r="D210" s="4">
        <v>45198</v>
      </c>
      <c r="E210" s="3" t="s">
        <v>15</v>
      </c>
      <c r="F210" s="3" t="s">
        <v>37</v>
      </c>
      <c r="G210" s="3" t="s">
        <v>16</v>
      </c>
      <c r="H210" s="3" t="s">
        <v>41</v>
      </c>
      <c r="I210" s="3" t="s">
        <v>56</v>
      </c>
      <c r="J210" s="3" t="s">
        <v>66</v>
      </c>
      <c r="K210" s="3" t="s">
        <v>44</v>
      </c>
      <c r="L210" s="3">
        <v>9</v>
      </c>
      <c r="M210" s="3">
        <v>265.58</v>
      </c>
      <c r="N210" s="3">
        <v>10</v>
      </c>
      <c r="O210" s="3">
        <f t="shared" si="9"/>
        <v>2151.1979999999999</v>
      </c>
      <c r="P210" s="3" t="str">
        <f t="shared" si="10"/>
        <v>Low Price</v>
      </c>
      <c r="Q210" s="3" t="str" cm="1">
        <f t="array" ref="Q210">_xlfn.IFS(N210&gt;=10,"High",N210&gt;=5,"Medium",N210&lt;5,"Low")</f>
        <v>High</v>
      </c>
      <c r="R210" s="3" t="str">
        <f t="shared" si="11"/>
        <v>High</v>
      </c>
    </row>
    <row r="211" spans="1:18" x14ac:dyDescent="0.25">
      <c r="A211" s="3">
        <v>10241</v>
      </c>
      <c r="B211" s="3">
        <v>1282</v>
      </c>
      <c r="C211" s="4">
        <v>45046</v>
      </c>
      <c r="D211" s="4">
        <v>45049</v>
      </c>
      <c r="E211" s="3" t="s">
        <v>39</v>
      </c>
      <c r="F211" s="3" t="s">
        <v>40</v>
      </c>
      <c r="G211" s="3" t="s">
        <v>29</v>
      </c>
      <c r="H211" s="3" t="s">
        <v>17</v>
      </c>
      <c r="I211" s="3" t="s">
        <v>18</v>
      </c>
      <c r="J211" s="3" t="s">
        <v>65</v>
      </c>
      <c r="K211" s="3" t="s">
        <v>32</v>
      </c>
      <c r="L211" s="3">
        <v>6</v>
      </c>
      <c r="M211" s="3">
        <v>1861.43</v>
      </c>
      <c r="N211" s="3">
        <v>0</v>
      </c>
      <c r="O211" s="3">
        <f t="shared" si="9"/>
        <v>11168.58</v>
      </c>
      <c r="P211" s="3" t="str">
        <f t="shared" si="10"/>
        <v>Low Price</v>
      </c>
      <c r="Q211" s="3" t="str" cm="1">
        <f t="array" ref="Q211">_xlfn.IFS(N211&gt;=10,"High",N211&gt;=5,"Medium",N211&lt;5,"Low")</f>
        <v>Low</v>
      </c>
      <c r="R211" s="3" t="str">
        <f t="shared" si="11"/>
        <v>Medium</v>
      </c>
    </row>
    <row r="212" spans="1:18" x14ac:dyDescent="0.25">
      <c r="A212" s="3">
        <v>10243</v>
      </c>
      <c r="B212" s="3">
        <v>1632</v>
      </c>
      <c r="C212" s="4">
        <v>45108</v>
      </c>
      <c r="D212" s="4">
        <v>45109</v>
      </c>
      <c r="E212" s="3" t="s">
        <v>36</v>
      </c>
      <c r="F212" s="3" t="s">
        <v>22</v>
      </c>
      <c r="G212" s="3" t="s">
        <v>29</v>
      </c>
      <c r="H212" s="3" t="s">
        <v>17</v>
      </c>
      <c r="I212" s="3" t="s">
        <v>56</v>
      </c>
      <c r="J212" s="3" t="s">
        <v>58</v>
      </c>
      <c r="K212" s="3" t="s">
        <v>27</v>
      </c>
      <c r="L212" s="3">
        <v>2</v>
      </c>
      <c r="M212" s="3">
        <v>601.53</v>
      </c>
      <c r="N212" s="3">
        <v>20</v>
      </c>
      <c r="O212" s="3">
        <f t="shared" si="9"/>
        <v>962.44799999999998</v>
      </c>
      <c r="P212" s="3" t="str">
        <f t="shared" si="10"/>
        <v>Low Price</v>
      </c>
      <c r="Q212" s="3" t="str" cm="1">
        <f t="array" ref="Q212">_xlfn.IFS(N212&gt;=10,"High",N212&gt;=5,"Medium",N212&lt;5,"Low")</f>
        <v>High</v>
      </c>
      <c r="R212" s="3" t="str">
        <f t="shared" si="11"/>
        <v>Low</v>
      </c>
    </row>
    <row r="213" spans="1:18" x14ac:dyDescent="0.25">
      <c r="A213" s="3">
        <v>10244</v>
      </c>
      <c r="B213" s="3">
        <v>1627</v>
      </c>
      <c r="C213" s="4">
        <v>45032</v>
      </c>
      <c r="D213" s="4">
        <v>45038</v>
      </c>
      <c r="E213" s="3" t="s">
        <v>33</v>
      </c>
      <c r="F213" s="3" t="s">
        <v>28</v>
      </c>
      <c r="G213" s="3" t="s">
        <v>16</v>
      </c>
      <c r="H213" s="3" t="s">
        <v>43</v>
      </c>
      <c r="I213" s="3" t="s">
        <v>51</v>
      </c>
      <c r="J213" s="3" t="s">
        <v>52</v>
      </c>
      <c r="K213" s="3" t="s">
        <v>44</v>
      </c>
      <c r="L213" s="3">
        <v>3</v>
      </c>
      <c r="M213" s="3">
        <v>800.89</v>
      </c>
      <c r="N213" s="3">
        <v>0</v>
      </c>
      <c r="O213" s="3">
        <f t="shared" si="9"/>
        <v>2402.67</v>
      </c>
      <c r="P213" s="3" t="str">
        <f t="shared" si="10"/>
        <v>Low Price</v>
      </c>
      <c r="Q213" s="3" t="str" cm="1">
        <f t="array" ref="Q213">_xlfn.IFS(N213&gt;=10,"High",N213&gt;=5,"Medium",N213&lt;5,"Low")</f>
        <v>Low</v>
      </c>
      <c r="R213" s="3" t="str">
        <f t="shared" si="11"/>
        <v>Low</v>
      </c>
    </row>
    <row r="214" spans="1:18" x14ac:dyDescent="0.25">
      <c r="A214" s="3">
        <v>10245</v>
      </c>
      <c r="B214" s="3">
        <v>1972</v>
      </c>
      <c r="C214" s="4">
        <v>45143</v>
      </c>
      <c r="D214" s="4">
        <v>45148</v>
      </c>
      <c r="E214" s="3" t="s">
        <v>14</v>
      </c>
      <c r="F214" s="3" t="s">
        <v>15</v>
      </c>
      <c r="G214" s="3" t="s">
        <v>29</v>
      </c>
      <c r="H214" s="3" t="s">
        <v>41</v>
      </c>
      <c r="I214" s="3" t="s">
        <v>48</v>
      </c>
      <c r="J214" s="3" t="s">
        <v>50</v>
      </c>
      <c r="K214" s="3" t="s">
        <v>46</v>
      </c>
      <c r="L214" s="3">
        <v>8</v>
      </c>
      <c r="M214" s="3">
        <v>1504.45</v>
      </c>
      <c r="N214" s="3">
        <v>20</v>
      </c>
      <c r="O214" s="3">
        <f t="shared" si="9"/>
        <v>9628.4800000000014</v>
      </c>
      <c r="P214" s="3" t="str">
        <f t="shared" si="10"/>
        <v>Low Price</v>
      </c>
      <c r="Q214" s="3" t="str" cm="1">
        <f t="array" ref="Q214">_xlfn.IFS(N214&gt;=10,"High",N214&gt;=5,"Medium",N214&lt;5,"Low")</f>
        <v>High</v>
      </c>
      <c r="R214" s="3" t="str">
        <f t="shared" si="11"/>
        <v>Medium</v>
      </c>
    </row>
    <row r="215" spans="1:18" x14ac:dyDescent="0.25">
      <c r="A215" s="3">
        <v>10246</v>
      </c>
      <c r="B215" s="3">
        <v>1744</v>
      </c>
      <c r="C215" s="4">
        <v>45131</v>
      </c>
      <c r="D215" s="4">
        <v>45139</v>
      </c>
      <c r="E215" s="3" t="s">
        <v>15</v>
      </c>
      <c r="F215" s="3" t="s">
        <v>28</v>
      </c>
      <c r="G215" s="3" t="s">
        <v>23</v>
      </c>
      <c r="H215" s="3" t="s">
        <v>24</v>
      </c>
      <c r="I215" s="3" t="s">
        <v>51</v>
      </c>
      <c r="J215" s="3" t="s">
        <v>52</v>
      </c>
      <c r="K215" s="3" t="s">
        <v>44</v>
      </c>
      <c r="L215" s="3">
        <v>1</v>
      </c>
      <c r="M215" s="3">
        <v>3082.45</v>
      </c>
      <c r="N215" s="3">
        <v>5</v>
      </c>
      <c r="O215" s="3">
        <f t="shared" si="9"/>
        <v>2928.3274999999999</v>
      </c>
      <c r="P215" s="3" t="str">
        <f t="shared" si="10"/>
        <v>Low Price</v>
      </c>
      <c r="Q215" s="3" t="str" cm="1">
        <f t="array" ref="Q215">_xlfn.IFS(N215&gt;=10,"High",N215&gt;=5,"Medium",N215&lt;5,"Low")</f>
        <v>Medium</v>
      </c>
      <c r="R215" s="3" t="str">
        <f t="shared" si="11"/>
        <v>Low</v>
      </c>
    </row>
    <row r="216" spans="1:18" x14ac:dyDescent="0.25">
      <c r="A216" s="3">
        <v>10247</v>
      </c>
      <c r="B216" s="3">
        <v>1258</v>
      </c>
      <c r="C216" s="4">
        <v>44996</v>
      </c>
      <c r="D216" s="4">
        <v>44998</v>
      </c>
      <c r="E216" s="3" t="s">
        <v>14</v>
      </c>
      <c r="F216" s="3" t="s">
        <v>53</v>
      </c>
      <c r="G216" s="3" t="s">
        <v>29</v>
      </c>
      <c r="H216" s="3" t="s">
        <v>34</v>
      </c>
      <c r="I216" s="3" t="s">
        <v>51</v>
      </c>
      <c r="J216" s="3" t="s">
        <v>63</v>
      </c>
      <c r="K216" s="3" t="s">
        <v>46</v>
      </c>
      <c r="L216" s="3">
        <v>7</v>
      </c>
      <c r="M216" s="3">
        <v>2102.27</v>
      </c>
      <c r="N216" s="3">
        <v>20</v>
      </c>
      <c r="O216" s="3">
        <f t="shared" si="9"/>
        <v>11772.712</v>
      </c>
      <c r="P216" s="3" t="str">
        <f t="shared" si="10"/>
        <v>Low Price</v>
      </c>
      <c r="Q216" s="3" t="str" cm="1">
        <f t="array" ref="Q216">_xlfn.IFS(N216&gt;=10,"High",N216&gt;=5,"Medium",N216&lt;5,"Low")</f>
        <v>High</v>
      </c>
      <c r="R216" s="3" t="str">
        <f t="shared" si="11"/>
        <v>Medium</v>
      </c>
    </row>
    <row r="217" spans="1:18" x14ac:dyDescent="0.25">
      <c r="A217" s="3">
        <v>10248</v>
      </c>
      <c r="B217" s="3">
        <v>1358</v>
      </c>
      <c r="C217" s="4">
        <v>44970</v>
      </c>
      <c r="D217" s="4">
        <v>44974</v>
      </c>
      <c r="E217" s="3" t="s">
        <v>21</v>
      </c>
      <c r="F217" s="3" t="s">
        <v>15</v>
      </c>
      <c r="G217" s="3" t="s">
        <v>29</v>
      </c>
      <c r="H217" s="3" t="s">
        <v>41</v>
      </c>
      <c r="I217" s="3" t="s">
        <v>30</v>
      </c>
      <c r="J217" s="3" t="s">
        <v>38</v>
      </c>
      <c r="K217" s="3" t="s">
        <v>20</v>
      </c>
      <c r="L217" s="3">
        <v>7</v>
      </c>
      <c r="M217" s="3">
        <v>2605.92</v>
      </c>
      <c r="N217" s="3">
        <v>20</v>
      </c>
      <c r="O217" s="3">
        <f t="shared" si="9"/>
        <v>14593.152000000002</v>
      </c>
      <c r="P217" s="3" t="str">
        <f t="shared" si="10"/>
        <v>Low Price</v>
      </c>
      <c r="Q217" s="3" t="str" cm="1">
        <f t="array" ref="Q217">_xlfn.IFS(N217&gt;=10,"High",N217&gt;=5,"Medium",N217&lt;5,"Low")</f>
        <v>High</v>
      </c>
      <c r="R217" s="3" t="str">
        <f t="shared" si="11"/>
        <v>Medium</v>
      </c>
    </row>
    <row r="218" spans="1:18" x14ac:dyDescent="0.25">
      <c r="A218" s="3">
        <v>10249</v>
      </c>
      <c r="B218" s="3">
        <v>1709</v>
      </c>
      <c r="C218" s="4">
        <v>45255</v>
      </c>
      <c r="D218" s="4">
        <v>45263</v>
      </c>
      <c r="E218" s="3" t="s">
        <v>45</v>
      </c>
      <c r="F218" s="3" t="s">
        <v>40</v>
      </c>
      <c r="G218" s="3" t="s">
        <v>16</v>
      </c>
      <c r="H218" s="3" t="s">
        <v>17</v>
      </c>
      <c r="I218" s="3" t="s">
        <v>30</v>
      </c>
      <c r="J218" s="3" t="s">
        <v>64</v>
      </c>
      <c r="K218" s="3" t="s">
        <v>44</v>
      </c>
      <c r="L218" s="3">
        <v>1</v>
      </c>
      <c r="M218" s="3">
        <v>3942.92</v>
      </c>
      <c r="N218" s="3">
        <v>0</v>
      </c>
      <c r="O218" s="3">
        <f t="shared" si="9"/>
        <v>3942.92</v>
      </c>
      <c r="P218" s="3" t="str">
        <f t="shared" si="10"/>
        <v>Low Price</v>
      </c>
      <c r="Q218" s="3" t="str" cm="1">
        <f t="array" ref="Q218">_xlfn.IFS(N218&gt;=10,"High",N218&gt;=5,"Medium",N218&lt;5,"Low")</f>
        <v>Low</v>
      </c>
      <c r="R218" s="3" t="str">
        <f t="shared" si="11"/>
        <v>Low</v>
      </c>
    </row>
    <row r="219" spans="1:18" x14ac:dyDescent="0.25">
      <c r="A219" s="3">
        <v>10251</v>
      </c>
      <c r="B219" s="3">
        <v>1410</v>
      </c>
      <c r="C219" s="4">
        <v>45154</v>
      </c>
      <c r="D219" s="4">
        <v>45155</v>
      </c>
      <c r="E219" s="3" t="s">
        <v>15</v>
      </c>
      <c r="F219" s="3" t="s">
        <v>22</v>
      </c>
      <c r="G219" s="3" t="s">
        <v>16</v>
      </c>
      <c r="H219" s="3" t="s">
        <v>24</v>
      </c>
      <c r="I219" s="3" t="s">
        <v>30</v>
      </c>
      <c r="J219" s="3" t="s">
        <v>47</v>
      </c>
      <c r="K219" s="3" t="s">
        <v>27</v>
      </c>
      <c r="L219" s="3">
        <v>8</v>
      </c>
      <c r="M219" s="3">
        <v>1822.29</v>
      </c>
      <c r="N219" s="3">
        <v>20</v>
      </c>
      <c r="O219" s="3">
        <f t="shared" si="9"/>
        <v>11662.656000000001</v>
      </c>
      <c r="P219" s="3" t="str">
        <f t="shared" si="10"/>
        <v>Low Price</v>
      </c>
      <c r="Q219" s="3" t="str" cm="1">
        <f t="array" ref="Q219">_xlfn.IFS(N219&gt;=10,"High",N219&gt;=5,"Medium",N219&lt;5,"Low")</f>
        <v>High</v>
      </c>
      <c r="R219" s="3" t="str">
        <f t="shared" si="11"/>
        <v>Medium</v>
      </c>
    </row>
    <row r="220" spans="1:18" x14ac:dyDescent="0.25">
      <c r="A220" s="3">
        <v>10252</v>
      </c>
      <c r="B220" s="3">
        <v>1648</v>
      </c>
      <c r="C220" s="4">
        <v>45110</v>
      </c>
      <c r="D220" s="4">
        <v>45114</v>
      </c>
      <c r="E220" s="3" t="s">
        <v>36</v>
      </c>
      <c r="F220" s="3" t="s">
        <v>37</v>
      </c>
      <c r="G220" s="3" t="s">
        <v>23</v>
      </c>
      <c r="H220" s="3" t="s">
        <v>41</v>
      </c>
      <c r="I220" s="3" t="s">
        <v>51</v>
      </c>
      <c r="J220" s="3" t="s">
        <v>59</v>
      </c>
      <c r="K220" s="3" t="s">
        <v>32</v>
      </c>
      <c r="L220" s="3">
        <v>4</v>
      </c>
      <c r="M220" s="3">
        <v>1868.8</v>
      </c>
      <c r="N220" s="3">
        <v>20</v>
      </c>
      <c r="O220" s="3">
        <f t="shared" si="9"/>
        <v>5980.16</v>
      </c>
      <c r="P220" s="3" t="str">
        <f t="shared" si="10"/>
        <v>Low Price</v>
      </c>
      <c r="Q220" s="3" t="str" cm="1">
        <f t="array" ref="Q220">_xlfn.IFS(N220&gt;=10,"High",N220&gt;=5,"Medium",N220&lt;5,"Low")</f>
        <v>High</v>
      </c>
      <c r="R220" s="3" t="str">
        <f t="shared" si="11"/>
        <v>Low</v>
      </c>
    </row>
    <row r="221" spans="1:18" x14ac:dyDescent="0.25">
      <c r="A221" s="3">
        <v>10253</v>
      </c>
      <c r="B221" s="3">
        <v>1317</v>
      </c>
      <c r="C221" s="4">
        <v>45033</v>
      </c>
      <c r="D221" s="4">
        <v>45034</v>
      </c>
      <c r="E221" s="3" t="s">
        <v>39</v>
      </c>
      <c r="F221" s="3" t="s">
        <v>40</v>
      </c>
      <c r="G221" s="3" t="s">
        <v>23</v>
      </c>
      <c r="H221" s="3" t="s">
        <v>34</v>
      </c>
      <c r="I221" s="3" t="s">
        <v>18</v>
      </c>
      <c r="J221" s="3" t="s">
        <v>19</v>
      </c>
      <c r="K221" s="3" t="s">
        <v>46</v>
      </c>
      <c r="L221" s="3">
        <v>5</v>
      </c>
      <c r="M221" s="3">
        <v>2532.27</v>
      </c>
      <c r="N221" s="3">
        <v>15</v>
      </c>
      <c r="O221" s="3">
        <f t="shared" si="9"/>
        <v>10762.147499999999</v>
      </c>
      <c r="P221" s="3" t="str">
        <f t="shared" si="10"/>
        <v>Low Price</v>
      </c>
      <c r="Q221" s="3" t="str" cm="1">
        <f t="array" ref="Q221">_xlfn.IFS(N221&gt;=10,"High",N221&gt;=5,"Medium",N221&lt;5,"Low")</f>
        <v>High</v>
      </c>
      <c r="R221" s="3" t="str">
        <f t="shared" si="11"/>
        <v>Medium</v>
      </c>
    </row>
    <row r="222" spans="1:18" x14ac:dyDescent="0.25">
      <c r="A222" s="3">
        <v>10254</v>
      </c>
      <c r="B222" s="3">
        <v>1676</v>
      </c>
      <c r="C222" s="4">
        <v>45010</v>
      </c>
      <c r="D222" s="4">
        <v>45012</v>
      </c>
      <c r="E222" s="3" t="s">
        <v>21</v>
      </c>
      <c r="F222" s="3" t="s">
        <v>15</v>
      </c>
      <c r="G222" s="3" t="s">
        <v>16</v>
      </c>
      <c r="H222" s="3" t="s">
        <v>41</v>
      </c>
      <c r="I222" s="3" t="s">
        <v>51</v>
      </c>
      <c r="J222" s="3" t="s">
        <v>63</v>
      </c>
      <c r="K222" s="3" t="s">
        <v>44</v>
      </c>
      <c r="L222" s="3">
        <v>2</v>
      </c>
      <c r="M222" s="3">
        <v>2711.66</v>
      </c>
      <c r="N222" s="3">
        <v>0</v>
      </c>
      <c r="O222" s="3">
        <f t="shared" si="9"/>
        <v>5423.32</v>
      </c>
      <c r="P222" s="3" t="str">
        <f t="shared" si="10"/>
        <v>Low Price</v>
      </c>
      <c r="Q222" s="3" t="str" cm="1">
        <f t="array" ref="Q222">_xlfn.IFS(N222&gt;=10,"High",N222&gt;=5,"Medium",N222&lt;5,"Low")</f>
        <v>Low</v>
      </c>
      <c r="R222" s="3" t="str">
        <f t="shared" si="11"/>
        <v>Low</v>
      </c>
    </row>
    <row r="223" spans="1:18" x14ac:dyDescent="0.25">
      <c r="A223" s="3">
        <v>10257</v>
      </c>
      <c r="B223" s="3">
        <v>1233</v>
      </c>
      <c r="C223" s="4">
        <v>45289</v>
      </c>
      <c r="D223" s="4">
        <v>45297</v>
      </c>
      <c r="E223" s="3" t="s">
        <v>39</v>
      </c>
      <c r="F223" s="3" t="s">
        <v>40</v>
      </c>
      <c r="G223" s="3" t="s">
        <v>23</v>
      </c>
      <c r="H223" s="3" t="s">
        <v>43</v>
      </c>
      <c r="I223" s="3" t="s">
        <v>30</v>
      </c>
      <c r="J223" s="3" t="s">
        <v>31</v>
      </c>
      <c r="K223" s="3" t="s">
        <v>46</v>
      </c>
      <c r="L223" s="3">
        <v>3</v>
      </c>
      <c r="M223" s="3">
        <v>240.6</v>
      </c>
      <c r="N223" s="3">
        <v>5</v>
      </c>
      <c r="O223" s="3">
        <f t="shared" si="9"/>
        <v>685.70999999999992</v>
      </c>
      <c r="P223" s="3" t="str">
        <f t="shared" si="10"/>
        <v>Low Price</v>
      </c>
      <c r="Q223" s="3" t="str" cm="1">
        <f t="array" ref="Q223">_xlfn.IFS(N223&gt;=10,"High",N223&gt;=5,"Medium",N223&lt;5,"Low")</f>
        <v>Medium</v>
      </c>
      <c r="R223" s="3" t="str">
        <f t="shared" si="11"/>
        <v>Low</v>
      </c>
    </row>
    <row r="224" spans="1:18" x14ac:dyDescent="0.25">
      <c r="A224" s="3">
        <v>10260</v>
      </c>
      <c r="B224" s="3">
        <v>1974</v>
      </c>
      <c r="C224" s="4">
        <v>45104</v>
      </c>
      <c r="D224" s="4">
        <v>45110</v>
      </c>
      <c r="E224" s="3" t="s">
        <v>21</v>
      </c>
      <c r="F224" s="3" t="s">
        <v>40</v>
      </c>
      <c r="G224" s="3" t="s">
        <v>16</v>
      </c>
      <c r="H224" s="3" t="s">
        <v>41</v>
      </c>
      <c r="I224" s="3" t="s">
        <v>30</v>
      </c>
      <c r="J224" s="3" t="s">
        <v>64</v>
      </c>
      <c r="K224" s="3" t="s">
        <v>27</v>
      </c>
      <c r="L224" s="3">
        <v>3</v>
      </c>
      <c r="M224" s="3">
        <v>647.32000000000005</v>
      </c>
      <c r="N224" s="3">
        <v>5</v>
      </c>
      <c r="O224" s="3">
        <f t="shared" si="9"/>
        <v>1844.8619999999999</v>
      </c>
      <c r="P224" s="3" t="str">
        <f t="shared" si="10"/>
        <v>Low Price</v>
      </c>
      <c r="Q224" s="3" t="str" cm="1">
        <f t="array" ref="Q224">_xlfn.IFS(N224&gt;=10,"High",N224&gt;=5,"Medium",N224&lt;5,"Low")</f>
        <v>Medium</v>
      </c>
      <c r="R224" s="3" t="str">
        <f t="shared" si="11"/>
        <v>Low</v>
      </c>
    </row>
    <row r="225" spans="1:18" x14ac:dyDescent="0.25">
      <c r="A225" s="3">
        <v>10261</v>
      </c>
      <c r="B225" s="3">
        <v>1826</v>
      </c>
      <c r="C225" s="4">
        <v>44933</v>
      </c>
      <c r="D225" s="4">
        <v>44936</v>
      </c>
      <c r="E225" s="3" t="s">
        <v>14</v>
      </c>
      <c r="F225" s="3" t="s">
        <v>53</v>
      </c>
      <c r="G225" s="3" t="s">
        <v>23</v>
      </c>
      <c r="H225" s="3" t="s">
        <v>24</v>
      </c>
      <c r="I225" s="3" t="s">
        <v>30</v>
      </c>
      <c r="J225" s="3" t="s">
        <v>31</v>
      </c>
      <c r="K225" s="3" t="s">
        <v>32</v>
      </c>
      <c r="L225" s="3">
        <v>2</v>
      </c>
      <c r="M225" s="3">
        <v>533.25</v>
      </c>
      <c r="N225" s="3">
        <v>0</v>
      </c>
      <c r="O225" s="3">
        <f t="shared" si="9"/>
        <v>1066.5</v>
      </c>
      <c r="P225" s="3" t="str">
        <f t="shared" si="10"/>
        <v>Low Price</v>
      </c>
      <c r="Q225" s="3" t="str" cm="1">
        <f t="array" ref="Q225">_xlfn.IFS(N225&gt;=10,"High",N225&gt;=5,"Medium",N225&lt;5,"Low")</f>
        <v>Low</v>
      </c>
      <c r="R225" s="3" t="str">
        <f t="shared" si="11"/>
        <v>Low</v>
      </c>
    </row>
    <row r="226" spans="1:18" x14ac:dyDescent="0.25">
      <c r="A226" s="3">
        <v>10262</v>
      </c>
      <c r="B226" s="3">
        <v>1373</v>
      </c>
      <c r="C226" s="4">
        <v>44996</v>
      </c>
      <c r="D226" s="4">
        <v>44998</v>
      </c>
      <c r="E226" s="3" t="s">
        <v>14</v>
      </c>
      <c r="F226" s="3" t="s">
        <v>22</v>
      </c>
      <c r="G226" s="3" t="s">
        <v>16</v>
      </c>
      <c r="H226" s="3" t="s">
        <v>43</v>
      </c>
      <c r="I226" s="3" t="s">
        <v>56</v>
      </c>
      <c r="J226" s="3" t="s">
        <v>58</v>
      </c>
      <c r="K226" s="3" t="s">
        <v>20</v>
      </c>
      <c r="L226" s="3">
        <v>7</v>
      </c>
      <c r="M226" s="3">
        <v>2472.29</v>
      </c>
      <c r="N226" s="3">
        <v>10</v>
      </c>
      <c r="O226" s="3">
        <f t="shared" si="9"/>
        <v>15575.427</v>
      </c>
      <c r="P226" s="3" t="str">
        <f t="shared" si="10"/>
        <v>High Price</v>
      </c>
      <c r="Q226" s="3" t="str" cm="1">
        <f t="array" ref="Q226">_xlfn.IFS(N226&gt;=10,"High",N226&gt;=5,"Medium",N226&lt;5,"Low")</f>
        <v>High</v>
      </c>
      <c r="R226" s="3" t="str">
        <f t="shared" si="11"/>
        <v>Medium</v>
      </c>
    </row>
    <row r="227" spans="1:18" x14ac:dyDescent="0.25">
      <c r="A227" s="3">
        <v>10263</v>
      </c>
      <c r="B227" s="3">
        <v>1671</v>
      </c>
      <c r="C227" s="4">
        <v>45053</v>
      </c>
      <c r="D227" s="4">
        <v>45059</v>
      </c>
      <c r="E227" s="3" t="s">
        <v>39</v>
      </c>
      <c r="F227" s="3" t="s">
        <v>37</v>
      </c>
      <c r="G227" s="3" t="s">
        <v>29</v>
      </c>
      <c r="H227" s="3" t="s">
        <v>34</v>
      </c>
      <c r="I227" s="3" t="s">
        <v>48</v>
      </c>
      <c r="J227" s="3" t="s">
        <v>62</v>
      </c>
      <c r="K227" s="3" t="s">
        <v>32</v>
      </c>
      <c r="L227" s="3">
        <v>7</v>
      </c>
      <c r="M227" s="3">
        <v>2165.86</v>
      </c>
      <c r="N227" s="3">
        <v>0</v>
      </c>
      <c r="O227" s="3">
        <f t="shared" si="9"/>
        <v>15161.02</v>
      </c>
      <c r="P227" s="3" t="str">
        <f t="shared" si="10"/>
        <v>High Price</v>
      </c>
      <c r="Q227" s="3" t="str" cm="1">
        <f t="array" ref="Q227">_xlfn.IFS(N227&gt;=10,"High",N227&gt;=5,"Medium",N227&lt;5,"Low")</f>
        <v>Low</v>
      </c>
      <c r="R227" s="3" t="str">
        <f t="shared" si="11"/>
        <v>Medium</v>
      </c>
    </row>
    <row r="228" spans="1:18" x14ac:dyDescent="0.25">
      <c r="A228" s="3">
        <v>10264</v>
      </c>
      <c r="B228" s="3">
        <v>1607</v>
      </c>
      <c r="C228" s="4">
        <v>45086</v>
      </c>
      <c r="D228" s="4">
        <v>45091</v>
      </c>
      <c r="E228" s="3" t="s">
        <v>14</v>
      </c>
      <c r="F228" s="3" t="s">
        <v>15</v>
      </c>
      <c r="G228" s="3" t="s">
        <v>29</v>
      </c>
      <c r="H228" s="3" t="s">
        <v>43</v>
      </c>
      <c r="I228" s="3" t="s">
        <v>51</v>
      </c>
      <c r="J228" s="3" t="s">
        <v>59</v>
      </c>
      <c r="K228" s="3" t="s">
        <v>46</v>
      </c>
      <c r="L228" s="3">
        <v>4</v>
      </c>
      <c r="M228" s="3">
        <v>1126.3</v>
      </c>
      <c r="N228" s="3">
        <v>20</v>
      </c>
      <c r="O228" s="3">
        <f t="shared" si="9"/>
        <v>3604.16</v>
      </c>
      <c r="P228" s="3" t="str">
        <f t="shared" si="10"/>
        <v>Low Price</v>
      </c>
      <c r="Q228" s="3" t="str" cm="1">
        <f t="array" ref="Q228">_xlfn.IFS(N228&gt;=10,"High",N228&gt;=5,"Medium",N228&lt;5,"Low")</f>
        <v>High</v>
      </c>
      <c r="R228" s="3" t="str">
        <f t="shared" si="11"/>
        <v>Low</v>
      </c>
    </row>
    <row r="229" spans="1:18" x14ac:dyDescent="0.25">
      <c r="A229" s="3">
        <v>10266</v>
      </c>
      <c r="B229" s="3">
        <v>1232</v>
      </c>
      <c r="C229" s="4">
        <v>45129</v>
      </c>
      <c r="D229" s="4">
        <v>45134</v>
      </c>
      <c r="E229" s="3" t="s">
        <v>39</v>
      </c>
      <c r="F229" s="3" t="s">
        <v>15</v>
      </c>
      <c r="G229" s="3" t="s">
        <v>29</v>
      </c>
      <c r="H229" s="3" t="s">
        <v>34</v>
      </c>
      <c r="I229" s="3" t="s">
        <v>25</v>
      </c>
      <c r="J229" s="3" t="s">
        <v>60</v>
      </c>
      <c r="K229" s="3" t="s">
        <v>32</v>
      </c>
      <c r="L229" s="3">
        <v>8</v>
      </c>
      <c r="M229" s="3">
        <v>2045.09</v>
      </c>
      <c r="N229" s="3">
        <v>10</v>
      </c>
      <c r="O229" s="3">
        <f t="shared" si="9"/>
        <v>14724.647999999999</v>
      </c>
      <c r="P229" s="3" t="str">
        <f t="shared" si="10"/>
        <v>Low Price</v>
      </c>
      <c r="Q229" s="3" t="str" cm="1">
        <f t="array" ref="Q229">_xlfn.IFS(N229&gt;=10,"High",N229&gt;=5,"Medium",N229&lt;5,"Low")</f>
        <v>High</v>
      </c>
      <c r="R229" s="3" t="str">
        <f t="shared" si="11"/>
        <v>Medium</v>
      </c>
    </row>
    <row r="230" spans="1:18" x14ac:dyDescent="0.25">
      <c r="A230" s="3">
        <v>10267</v>
      </c>
      <c r="B230" s="3">
        <v>1691</v>
      </c>
      <c r="C230" s="4">
        <v>45074</v>
      </c>
      <c r="D230" s="4">
        <v>45079</v>
      </c>
      <c r="E230" s="3" t="s">
        <v>39</v>
      </c>
      <c r="F230" s="3" t="s">
        <v>37</v>
      </c>
      <c r="G230" s="3" t="s">
        <v>29</v>
      </c>
      <c r="H230" s="3" t="s">
        <v>43</v>
      </c>
      <c r="I230" s="3" t="s">
        <v>51</v>
      </c>
      <c r="J230" s="3" t="s">
        <v>52</v>
      </c>
      <c r="K230" s="3" t="s">
        <v>46</v>
      </c>
      <c r="L230" s="3">
        <v>1</v>
      </c>
      <c r="M230" s="3">
        <v>900.78</v>
      </c>
      <c r="N230" s="3">
        <v>5</v>
      </c>
      <c r="O230" s="3">
        <f t="shared" si="9"/>
        <v>855.74099999999999</v>
      </c>
      <c r="P230" s="3" t="str">
        <f t="shared" si="10"/>
        <v>Low Price</v>
      </c>
      <c r="Q230" s="3" t="str" cm="1">
        <f t="array" ref="Q230">_xlfn.IFS(N230&gt;=10,"High",N230&gt;=5,"Medium",N230&lt;5,"Low")</f>
        <v>Medium</v>
      </c>
      <c r="R230" s="3" t="str">
        <f t="shared" si="11"/>
        <v>Low</v>
      </c>
    </row>
    <row r="231" spans="1:18" x14ac:dyDescent="0.25">
      <c r="A231" s="3">
        <v>10268</v>
      </c>
      <c r="B231" s="3">
        <v>1112</v>
      </c>
      <c r="C231" s="4">
        <v>45069</v>
      </c>
      <c r="D231" s="4">
        <v>45072</v>
      </c>
      <c r="E231" s="3" t="s">
        <v>36</v>
      </c>
      <c r="F231" s="3" t="s">
        <v>15</v>
      </c>
      <c r="G231" s="3" t="s">
        <v>29</v>
      </c>
      <c r="H231" s="3" t="s">
        <v>41</v>
      </c>
      <c r="I231" s="3" t="s">
        <v>30</v>
      </c>
      <c r="J231" s="3" t="s">
        <v>38</v>
      </c>
      <c r="K231" s="3" t="s">
        <v>27</v>
      </c>
      <c r="L231" s="3">
        <v>1</v>
      </c>
      <c r="M231" s="3">
        <v>2660.56</v>
      </c>
      <c r="N231" s="3">
        <v>10</v>
      </c>
      <c r="O231" s="3">
        <f t="shared" si="9"/>
        <v>2394.5039999999999</v>
      </c>
      <c r="P231" s="3" t="str">
        <f t="shared" si="10"/>
        <v>Low Price</v>
      </c>
      <c r="Q231" s="3" t="str" cm="1">
        <f t="array" ref="Q231">_xlfn.IFS(N231&gt;=10,"High",N231&gt;=5,"Medium",N231&lt;5,"Low")</f>
        <v>High</v>
      </c>
      <c r="R231" s="3" t="str">
        <f t="shared" si="11"/>
        <v>Low</v>
      </c>
    </row>
    <row r="232" spans="1:18" x14ac:dyDescent="0.25">
      <c r="A232" s="3">
        <v>10269</v>
      </c>
      <c r="B232" s="3">
        <v>1829</v>
      </c>
      <c r="C232" s="4">
        <v>45125</v>
      </c>
      <c r="D232" s="4">
        <v>45132</v>
      </c>
      <c r="E232" s="3" t="s">
        <v>14</v>
      </c>
      <c r="F232" s="3" t="s">
        <v>40</v>
      </c>
      <c r="G232" s="3" t="s">
        <v>23</v>
      </c>
      <c r="H232" s="3" t="s">
        <v>34</v>
      </c>
      <c r="I232" s="3" t="s">
        <v>48</v>
      </c>
      <c r="J232" s="3" t="s">
        <v>50</v>
      </c>
      <c r="K232" s="3" t="s">
        <v>46</v>
      </c>
      <c r="L232" s="3">
        <v>5</v>
      </c>
      <c r="M232" s="3">
        <v>3156.54</v>
      </c>
      <c r="N232" s="3">
        <v>20</v>
      </c>
      <c r="O232" s="3">
        <f t="shared" si="9"/>
        <v>12626.160000000002</v>
      </c>
      <c r="P232" s="3" t="str">
        <f t="shared" si="10"/>
        <v>Low Price</v>
      </c>
      <c r="Q232" s="3" t="str" cm="1">
        <f t="array" ref="Q232">_xlfn.IFS(N232&gt;=10,"High",N232&gt;=5,"Medium",N232&lt;5,"Low")</f>
        <v>High</v>
      </c>
      <c r="R232" s="3" t="str">
        <f t="shared" si="11"/>
        <v>Medium</v>
      </c>
    </row>
    <row r="233" spans="1:18" x14ac:dyDescent="0.25">
      <c r="A233" s="3">
        <v>10270</v>
      </c>
      <c r="B233" s="3">
        <v>1496</v>
      </c>
      <c r="C233" s="4">
        <v>45080</v>
      </c>
      <c r="D233" s="4">
        <v>45086</v>
      </c>
      <c r="E233" s="3" t="s">
        <v>21</v>
      </c>
      <c r="F233" s="3" t="s">
        <v>28</v>
      </c>
      <c r="G233" s="3" t="s">
        <v>23</v>
      </c>
      <c r="H233" s="3" t="s">
        <v>34</v>
      </c>
      <c r="I233" s="3" t="s">
        <v>30</v>
      </c>
      <c r="J233" s="3" t="s">
        <v>64</v>
      </c>
      <c r="K233" s="3" t="s">
        <v>44</v>
      </c>
      <c r="L233" s="3">
        <v>6</v>
      </c>
      <c r="M233" s="3">
        <v>3197.13</v>
      </c>
      <c r="N233" s="3">
        <v>10</v>
      </c>
      <c r="O233" s="3">
        <f t="shared" si="9"/>
        <v>17264.502</v>
      </c>
      <c r="P233" s="3" t="str">
        <f t="shared" si="10"/>
        <v>High Price</v>
      </c>
      <c r="Q233" s="3" t="str" cm="1">
        <f t="array" ref="Q233">_xlfn.IFS(N233&gt;=10,"High",N233&gt;=5,"Medium",N233&lt;5,"Low")</f>
        <v>High</v>
      </c>
      <c r="R233" s="3" t="str">
        <f t="shared" si="11"/>
        <v>Medium</v>
      </c>
    </row>
    <row r="234" spans="1:18" x14ac:dyDescent="0.25">
      <c r="A234" s="3">
        <v>10271</v>
      </c>
      <c r="B234" s="3">
        <v>1441</v>
      </c>
      <c r="C234" s="4">
        <v>45068</v>
      </c>
      <c r="D234" s="4">
        <v>45072</v>
      </c>
      <c r="E234" s="3" t="s">
        <v>39</v>
      </c>
      <c r="F234" s="3" t="s">
        <v>15</v>
      </c>
      <c r="G234" s="3" t="s">
        <v>29</v>
      </c>
      <c r="H234" s="3" t="s">
        <v>24</v>
      </c>
      <c r="I234" s="3" t="s">
        <v>18</v>
      </c>
      <c r="J234" s="3" t="s">
        <v>65</v>
      </c>
      <c r="K234" s="3" t="s">
        <v>46</v>
      </c>
      <c r="L234" s="3">
        <v>3</v>
      </c>
      <c r="M234" s="3">
        <v>2469.5100000000002</v>
      </c>
      <c r="N234" s="3">
        <v>0</v>
      </c>
      <c r="O234" s="3">
        <f t="shared" si="9"/>
        <v>7408.5300000000007</v>
      </c>
      <c r="P234" s="3" t="str">
        <f t="shared" si="10"/>
        <v>Low Price</v>
      </c>
      <c r="Q234" s="3" t="str" cm="1">
        <f t="array" ref="Q234">_xlfn.IFS(N234&gt;=10,"High",N234&gt;=5,"Medium",N234&lt;5,"Low")</f>
        <v>Low</v>
      </c>
      <c r="R234" s="3" t="str">
        <f t="shared" si="11"/>
        <v>Low</v>
      </c>
    </row>
    <row r="235" spans="1:18" x14ac:dyDescent="0.25">
      <c r="A235" s="3">
        <v>10273</v>
      </c>
      <c r="B235" s="3">
        <v>1267</v>
      </c>
      <c r="C235" s="4">
        <v>45091</v>
      </c>
      <c r="D235" s="4">
        <v>45100</v>
      </c>
      <c r="E235" s="3" t="s">
        <v>45</v>
      </c>
      <c r="F235" s="3" t="s">
        <v>53</v>
      </c>
      <c r="G235" s="3" t="s">
        <v>29</v>
      </c>
      <c r="H235" s="3" t="s">
        <v>17</v>
      </c>
      <c r="I235" s="3" t="s">
        <v>30</v>
      </c>
      <c r="J235" s="3" t="s">
        <v>38</v>
      </c>
      <c r="K235" s="3" t="s">
        <v>44</v>
      </c>
      <c r="L235" s="3">
        <v>6</v>
      </c>
      <c r="M235" s="3">
        <v>384.88</v>
      </c>
      <c r="N235" s="3">
        <v>5</v>
      </c>
      <c r="O235" s="3">
        <f t="shared" si="9"/>
        <v>2193.8159999999998</v>
      </c>
      <c r="P235" s="3" t="str">
        <f t="shared" si="10"/>
        <v>Low Price</v>
      </c>
      <c r="Q235" s="3" t="str" cm="1">
        <f t="array" ref="Q235">_xlfn.IFS(N235&gt;=10,"High",N235&gt;=5,"Medium",N235&lt;5,"Low")</f>
        <v>Medium</v>
      </c>
      <c r="R235" s="3" t="str">
        <f t="shared" si="11"/>
        <v>Medium</v>
      </c>
    </row>
    <row r="236" spans="1:18" x14ac:dyDescent="0.25">
      <c r="A236" s="3">
        <v>10274</v>
      </c>
      <c r="B236" s="3">
        <v>1509</v>
      </c>
      <c r="C236" s="4">
        <v>45240</v>
      </c>
      <c r="D236" s="4">
        <v>45241</v>
      </c>
      <c r="E236" s="3" t="s">
        <v>36</v>
      </c>
      <c r="F236" s="3" t="s">
        <v>15</v>
      </c>
      <c r="G236" s="3" t="s">
        <v>23</v>
      </c>
      <c r="H236" s="3" t="s">
        <v>43</v>
      </c>
      <c r="I236" s="3" t="s">
        <v>51</v>
      </c>
      <c r="J236" s="3" t="s">
        <v>59</v>
      </c>
      <c r="K236" s="3" t="s">
        <v>32</v>
      </c>
      <c r="L236" s="3">
        <v>4</v>
      </c>
      <c r="M236" s="3">
        <v>1258.1500000000001</v>
      </c>
      <c r="N236" s="3">
        <v>0</v>
      </c>
      <c r="O236" s="3">
        <f t="shared" si="9"/>
        <v>5032.6000000000004</v>
      </c>
      <c r="P236" s="3" t="str">
        <f t="shared" si="10"/>
        <v>Low Price</v>
      </c>
      <c r="Q236" s="3" t="str" cm="1">
        <f t="array" ref="Q236">_xlfn.IFS(N236&gt;=10,"High",N236&gt;=5,"Medium",N236&lt;5,"Low")</f>
        <v>Low</v>
      </c>
      <c r="R236" s="3" t="str">
        <f t="shared" si="11"/>
        <v>Low</v>
      </c>
    </row>
    <row r="237" spans="1:18" x14ac:dyDescent="0.25">
      <c r="A237" s="3">
        <v>10275</v>
      </c>
      <c r="B237" s="3">
        <v>1806</v>
      </c>
      <c r="C237" s="4">
        <v>44947</v>
      </c>
      <c r="D237" s="4">
        <v>44951</v>
      </c>
      <c r="E237" s="3" t="s">
        <v>15</v>
      </c>
      <c r="F237" s="3" t="s">
        <v>53</v>
      </c>
      <c r="G237" s="3" t="s">
        <v>23</v>
      </c>
      <c r="H237" s="3" t="s">
        <v>24</v>
      </c>
      <c r="I237" s="3" t="s">
        <v>51</v>
      </c>
      <c r="J237" s="3" t="s">
        <v>63</v>
      </c>
      <c r="K237" s="3" t="s">
        <v>32</v>
      </c>
      <c r="L237" s="3">
        <v>7</v>
      </c>
      <c r="M237" s="3">
        <v>509.1</v>
      </c>
      <c r="N237" s="3">
        <v>15</v>
      </c>
      <c r="O237" s="3">
        <f t="shared" si="9"/>
        <v>3029.145</v>
      </c>
      <c r="P237" s="3" t="str">
        <f t="shared" si="10"/>
        <v>Low Price</v>
      </c>
      <c r="Q237" s="3" t="str" cm="1">
        <f t="array" ref="Q237">_xlfn.IFS(N237&gt;=10,"High",N237&gt;=5,"Medium",N237&lt;5,"Low")</f>
        <v>High</v>
      </c>
      <c r="R237" s="3" t="str">
        <f t="shared" si="11"/>
        <v>Medium</v>
      </c>
    </row>
    <row r="238" spans="1:18" x14ac:dyDescent="0.25">
      <c r="A238" s="3">
        <v>10277</v>
      </c>
      <c r="B238" s="3">
        <v>1386</v>
      </c>
      <c r="C238" s="4">
        <v>44995</v>
      </c>
      <c r="D238" s="4">
        <v>45001</v>
      </c>
      <c r="E238" s="3" t="s">
        <v>39</v>
      </c>
      <c r="F238" s="3" t="s">
        <v>40</v>
      </c>
      <c r="G238" s="3" t="s">
        <v>29</v>
      </c>
      <c r="H238" s="3" t="s">
        <v>17</v>
      </c>
      <c r="I238" s="3" t="s">
        <v>25</v>
      </c>
      <c r="J238" s="3" t="s">
        <v>68</v>
      </c>
      <c r="K238" s="3" t="s">
        <v>44</v>
      </c>
      <c r="L238" s="3">
        <v>9</v>
      </c>
      <c r="M238" s="3">
        <v>670.06</v>
      </c>
      <c r="N238" s="3">
        <v>20</v>
      </c>
      <c r="O238" s="3">
        <f t="shared" si="9"/>
        <v>4824.4319999999998</v>
      </c>
      <c r="P238" s="3" t="str">
        <f t="shared" si="10"/>
        <v>Low Price</v>
      </c>
      <c r="Q238" s="3" t="str" cm="1">
        <f t="array" ref="Q238">_xlfn.IFS(N238&gt;=10,"High",N238&gt;=5,"Medium",N238&lt;5,"Low")</f>
        <v>High</v>
      </c>
      <c r="R238" s="3" t="str">
        <f t="shared" si="11"/>
        <v>High</v>
      </c>
    </row>
    <row r="239" spans="1:18" x14ac:dyDescent="0.25">
      <c r="A239" s="3">
        <v>10280</v>
      </c>
      <c r="B239" s="3">
        <v>1624</v>
      </c>
      <c r="C239" s="4">
        <v>45144</v>
      </c>
      <c r="D239" s="4">
        <v>45149</v>
      </c>
      <c r="E239" s="3" t="s">
        <v>45</v>
      </c>
      <c r="F239" s="3" t="s">
        <v>40</v>
      </c>
      <c r="G239" s="3" t="s">
        <v>23</v>
      </c>
      <c r="H239" s="3" t="s">
        <v>17</v>
      </c>
      <c r="I239" s="3" t="s">
        <v>48</v>
      </c>
      <c r="J239" s="3" t="s">
        <v>67</v>
      </c>
      <c r="K239" s="3" t="s">
        <v>32</v>
      </c>
      <c r="L239" s="3">
        <v>8</v>
      </c>
      <c r="M239" s="3">
        <v>3784.12</v>
      </c>
      <c r="N239" s="3">
        <v>15</v>
      </c>
      <c r="O239" s="3">
        <f t="shared" si="9"/>
        <v>25732.016</v>
      </c>
      <c r="P239" s="3" t="str">
        <f t="shared" si="10"/>
        <v>High Price</v>
      </c>
      <c r="Q239" s="3" t="str" cm="1">
        <f t="array" ref="Q239">_xlfn.IFS(N239&gt;=10,"High",N239&gt;=5,"Medium",N239&lt;5,"Low")</f>
        <v>High</v>
      </c>
      <c r="R239" s="3" t="str">
        <f t="shared" si="11"/>
        <v>Medium</v>
      </c>
    </row>
    <row r="240" spans="1:18" x14ac:dyDescent="0.25">
      <c r="A240" s="3">
        <v>10281</v>
      </c>
      <c r="B240" s="3">
        <v>1951</v>
      </c>
      <c r="C240" s="4">
        <v>45231</v>
      </c>
      <c r="D240" s="4">
        <v>45240</v>
      </c>
      <c r="E240" s="3" t="s">
        <v>45</v>
      </c>
      <c r="F240" s="3" t="s">
        <v>53</v>
      </c>
      <c r="G240" s="3" t="s">
        <v>29</v>
      </c>
      <c r="H240" s="3" t="s">
        <v>43</v>
      </c>
      <c r="I240" s="3" t="s">
        <v>25</v>
      </c>
      <c r="J240" s="3" t="s">
        <v>68</v>
      </c>
      <c r="K240" s="3" t="s">
        <v>20</v>
      </c>
      <c r="L240" s="3">
        <v>5</v>
      </c>
      <c r="M240" s="3">
        <v>3098.44</v>
      </c>
      <c r="N240" s="3">
        <v>0</v>
      </c>
      <c r="O240" s="3">
        <f t="shared" si="9"/>
        <v>15492.2</v>
      </c>
      <c r="P240" s="3" t="str">
        <f t="shared" si="10"/>
        <v>High Price</v>
      </c>
      <c r="Q240" s="3" t="str" cm="1">
        <f t="array" ref="Q240">_xlfn.IFS(N240&gt;=10,"High",N240&gt;=5,"Medium",N240&lt;5,"Low")</f>
        <v>Low</v>
      </c>
      <c r="R240" s="3" t="str">
        <f t="shared" si="11"/>
        <v>Medium</v>
      </c>
    </row>
    <row r="241" spans="1:18" x14ac:dyDescent="0.25">
      <c r="A241" s="3">
        <v>10286</v>
      </c>
      <c r="B241" s="3">
        <v>1641</v>
      </c>
      <c r="C241" s="4">
        <v>45043</v>
      </c>
      <c r="D241" s="4">
        <v>45050</v>
      </c>
      <c r="E241" s="3" t="s">
        <v>14</v>
      </c>
      <c r="F241" s="3" t="s">
        <v>28</v>
      </c>
      <c r="G241" s="3" t="s">
        <v>16</v>
      </c>
      <c r="H241" s="3" t="s">
        <v>43</v>
      </c>
      <c r="I241" s="3" t="s">
        <v>56</v>
      </c>
      <c r="J241" s="3" t="s">
        <v>57</v>
      </c>
      <c r="K241" s="3" t="s">
        <v>27</v>
      </c>
      <c r="L241" s="3">
        <v>6</v>
      </c>
      <c r="M241" s="3">
        <v>220.79</v>
      </c>
      <c r="N241" s="3">
        <v>5</v>
      </c>
      <c r="O241" s="3">
        <f t="shared" si="9"/>
        <v>1258.5029999999999</v>
      </c>
      <c r="P241" s="3" t="str">
        <f t="shared" si="10"/>
        <v>Low Price</v>
      </c>
      <c r="Q241" s="3" t="str" cm="1">
        <f t="array" ref="Q241">_xlfn.IFS(N241&gt;=10,"High",N241&gt;=5,"Medium",N241&lt;5,"Low")</f>
        <v>Medium</v>
      </c>
      <c r="R241" s="3" t="str">
        <f t="shared" si="11"/>
        <v>Medium</v>
      </c>
    </row>
    <row r="242" spans="1:18" x14ac:dyDescent="0.25">
      <c r="A242" s="3">
        <v>10287</v>
      </c>
      <c r="B242" s="3">
        <v>1219</v>
      </c>
      <c r="C242" s="4">
        <v>45122</v>
      </c>
      <c r="D242" s="4">
        <v>45125</v>
      </c>
      <c r="E242" s="3" t="s">
        <v>21</v>
      </c>
      <c r="F242" s="3" t="s">
        <v>37</v>
      </c>
      <c r="G242" s="3" t="s">
        <v>23</v>
      </c>
      <c r="H242" s="3" t="s">
        <v>17</v>
      </c>
      <c r="I242" s="3" t="s">
        <v>56</v>
      </c>
      <c r="J242" s="3" t="s">
        <v>66</v>
      </c>
      <c r="K242" s="3" t="s">
        <v>20</v>
      </c>
      <c r="L242" s="3">
        <v>6</v>
      </c>
      <c r="M242" s="3">
        <v>1936.66</v>
      </c>
      <c r="N242" s="3">
        <v>0</v>
      </c>
      <c r="O242" s="3">
        <f t="shared" si="9"/>
        <v>11619.960000000001</v>
      </c>
      <c r="P242" s="3" t="str">
        <f t="shared" si="10"/>
        <v>Low Price</v>
      </c>
      <c r="Q242" s="3" t="str" cm="1">
        <f t="array" ref="Q242">_xlfn.IFS(N242&gt;=10,"High",N242&gt;=5,"Medium",N242&lt;5,"Low")</f>
        <v>Low</v>
      </c>
      <c r="R242" s="3" t="str">
        <f t="shared" si="11"/>
        <v>Medium</v>
      </c>
    </row>
    <row r="243" spans="1:18" x14ac:dyDescent="0.25">
      <c r="A243" s="3">
        <v>10289</v>
      </c>
      <c r="B243" s="3">
        <v>1854</v>
      </c>
      <c r="C243" s="4">
        <v>45012</v>
      </c>
      <c r="D243" s="4">
        <v>45014</v>
      </c>
      <c r="E243" s="3" t="s">
        <v>36</v>
      </c>
      <c r="F243" s="3" t="s">
        <v>53</v>
      </c>
      <c r="G243" s="3" t="s">
        <v>16</v>
      </c>
      <c r="H243" s="3" t="s">
        <v>24</v>
      </c>
      <c r="I243" s="3" t="s">
        <v>56</v>
      </c>
      <c r="J243" s="3" t="s">
        <v>57</v>
      </c>
      <c r="K243" s="3" t="s">
        <v>20</v>
      </c>
      <c r="L243" s="3">
        <v>7</v>
      </c>
      <c r="M243" s="3">
        <v>1396.71</v>
      </c>
      <c r="N243" s="3">
        <v>20</v>
      </c>
      <c r="O243" s="3">
        <f t="shared" si="9"/>
        <v>7821.5760000000009</v>
      </c>
      <c r="P243" s="3" t="str">
        <f t="shared" si="10"/>
        <v>Low Price</v>
      </c>
      <c r="Q243" s="3" t="str" cm="1">
        <f t="array" ref="Q243">_xlfn.IFS(N243&gt;=10,"High",N243&gt;=5,"Medium",N243&lt;5,"Low")</f>
        <v>High</v>
      </c>
      <c r="R243" s="3" t="str">
        <f t="shared" si="11"/>
        <v>Medium</v>
      </c>
    </row>
    <row r="244" spans="1:18" x14ac:dyDescent="0.25">
      <c r="A244" s="3">
        <v>10290</v>
      </c>
      <c r="B244" s="3">
        <v>1996</v>
      </c>
      <c r="C244" s="4">
        <v>45215</v>
      </c>
      <c r="D244" s="4">
        <v>45218</v>
      </c>
      <c r="E244" s="3" t="s">
        <v>36</v>
      </c>
      <c r="F244" s="3" t="s">
        <v>40</v>
      </c>
      <c r="G244" s="3" t="s">
        <v>29</v>
      </c>
      <c r="H244" s="3" t="s">
        <v>17</v>
      </c>
      <c r="I244" s="3" t="s">
        <v>18</v>
      </c>
      <c r="J244" s="3" t="s">
        <v>19</v>
      </c>
      <c r="K244" s="3" t="s">
        <v>27</v>
      </c>
      <c r="L244" s="3">
        <v>8</v>
      </c>
      <c r="M244" s="3">
        <v>2695.39</v>
      </c>
      <c r="N244" s="3">
        <v>10</v>
      </c>
      <c r="O244" s="3">
        <f t="shared" si="9"/>
        <v>19406.808000000001</v>
      </c>
      <c r="P244" s="3" t="str">
        <f t="shared" si="10"/>
        <v>High Price</v>
      </c>
      <c r="Q244" s="3" t="str" cm="1">
        <f t="array" ref="Q244">_xlfn.IFS(N244&gt;=10,"High",N244&gt;=5,"Medium",N244&lt;5,"Low")</f>
        <v>High</v>
      </c>
      <c r="R244" s="3" t="str">
        <f t="shared" si="11"/>
        <v>Medium</v>
      </c>
    </row>
    <row r="245" spans="1:18" x14ac:dyDescent="0.25">
      <c r="A245" s="3">
        <v>10291</v>
      </c>
      <c r="B245" s="3">
        <v>1735</v>
      </c>
      <c r="C245" s="4">
        <v>45007</v>
      </c>
      <c r="D245" s="4">
        <v>45008</v>
      </c>
      <c r="E245" s="3" t="s">
        <v>14</v>
      </c>
      <c r="F245" s="3" t="s">
        <v>53</v>
      </c>
      <c r="G245" s="3" t="s">
        <v>23</v>
      </c>
      <c r="H245" s="3" t="s">
        <v>24</v>
      </c>
      <c r="I245" s="3" t="s">
        <v>51</v>
      </c>
      <c r="J245" s="3" t="s">
        <v>52</v>
      </c>
      <c r="K245" s="3" t="s">
        <v>32</v>
      </c>
      <c r="L245" s="3">
        <v>9</v>
      </c>
      <c r="M245" s="3">
        <v>2661.11</v>
      </c>
      <c r="N245" s="3">
        <v>10</v>
      </c>
      <c r="O245" s="3">
        <f t="shared" si="9"/>
        <v>21554.991000000002</v>
      </c>
      <c r="P245" s="3" t="str">
        <f t="shared" si="10"/>
        <v>High Price</v>
      </c>
      <c r="Q245" s="3" t="str" cm="1">
        <f t="array" ref="Q245">_xlfn.IFS(N245&gt;=10,"High",N245&gt;=5,"Medium",N245&lt;5,"Low")</f>
        <v>High</v>
      </c>
      <c r="R245" s="3" t="str">
        <f t="shared" si="11"/>
        <v>High</v>
      </c>
    </row>
    <row r="246" spans="1:18" x14ac:dyDescent="0.25">
      <c r="A246" s="3">
        <v>10294</v>
      </c>
      <c r="B246" s="3">
        <v>1402</v>
      </c>
      <c r="C246" s="4">
        <v>44987</v>
      </c>
      <c r="D246" s="4">
        <v>44994</v>
      </c>
      <c r="E246" s="3" t="s">
        <v>21</v>
      </c>
      <c r="F246" s="3" t="s">
        <v>15</v>
      </c>
      <c r="G246" s="3" t="s">
        <v>23</v>
      </c>
      <c r="H246" s="3" t="s">
        <v>34</v>
      </c>
      <c r="I246" s="3" t="s">
        <v>18</v>
      </c>
      <c r="J246" s="3" t="s">
        <v>42</v>
      </c>
      <c r="K246" s="3" t="s">
        <v>44</v>
      </c>
      <c r="L246" s="3">
        <v>3</v>
      </c>
      <c r="M246" s="3">
        <v>967.49</v>
      </c>
      <c r="N246" s="3">
        <v>0</v>
      </c>
      <c r="O246" s="3">
        <f t="shared" si="9"/>
        <v>2902.4700000000003</v>
      </c>
      <c r="P246" s="3" t="str">
        <f t="shared" si="10"/>
        <v>Low Price</v>
      </c>
      <c r="Q246" s="3" t="str" cm="1">
        <f t="array" ref="Q246">_xlfn.IFS(N246&gt;=10,"High",N246&gt;=5,"Medium",N246&lt;5,"Low")</f>
        <v>Low</v>
      </c>
      <c r="R246" s="3" t="str">
        <f t="shared" si="11"/>
        <v>Low</v>
      </c>
    </row>
    <row r="247" spans="1:18" x14ac:dyDescent="0.25">
      <c r="A247" s="3">
        <v>10295</v>
      </c>
      <c r="B247" s="3">
        <v>1637</v>
      </c>
      <c r="C247" s="4">
        <v>45280</v>
      </c>
      <c r="D247" s="4">
        <v>45284</v>
      </c>
      <c r="E247" s="3" t="s">
        <v>33</v>
      </c>
      <c r="F247" s="3" t="s">
        <v>22</v>
      </c>
      <c r="G247" s="3" t="s">
        <v>23</v>
      </c>
      <c r="H247" s="3" t="s">
        <v>41</v>
      </c>
      <c r="I247" s="3" t="s">
        <v>30</v>
      </c>
      <c r="J247" s="3" t="s">
        <v>47</v>
      </c>
      <c r="K247" s="3" t="s">
        <v>32</v>
      </c>
      <c r="L247" s="3">
        <v>1</v>
      </c>
      <c r="M247" s="3">
        <v>619.73</v>
      </c>
      <c r="N247" s="3">
        <v>0</v>
      </c>
      <c r="O247" s="3">
        <f t="shared" si="9"/>
        <v>619.73</v>
      </c>
      <c r="P247" s="3" t="str">
        <f t="shared" si="10"/>
        <v>Low Price</v>
      </c>
      <c r="Q247" s="3" t="str" cm="1">
        <f t="array" ref="Q247">_xlfn.IFS(N247&gt;=10,"High",N247&gt;=5,"Medium",N247&lt;5,"Low")</f>
        <v>Low</v>
      </c>
      <c r="R247" s="3" t="str">
        <f t="shared" si="11"/>
        <v>Low</v>
      </c>
    </row>
    <row r="248" spans="1:18" x14ac:dyDescent="0.25">
      <c r="A248" s="3">
        <v>10296</v>
      </c>
      <c r="B248" s="3">
        <v>1129</v>
      </c>
      <c r="C248" s="4">
        <v>44954</v>
      </c>
      <c r="D248" s="4">
        <v>44957</v>
      </c>
      <c r="E248" s="3" t="s">
        <v>15</v>
      </c>
      <c r="F248" s="3" t="s">
        <v>15</v>
      </c>
      <c r="G248" s="3" t="s">
        <v>16</v>
      </c>
      <c r="H248" s="3" t="s">
        <v>34</v>
      </c>
      <c r="I248" s="3" t="s">
        <v>30</v>
      </c>
      <c r="J248" s="3" t="s">
        <v>47</v>
      </c>
      <c r="K248" s="3" t="s">
        <v>46</v>
      </c>
      <c r="L248" s="3">
        <v>5</v>
      </c>
      <c r="M248" s="3">
        <v>2850.33</v>
      </c>
      <c r="N248" s="3">
        <v>5</v>
      </c>
      <c r="O248" s="3">
        <f t="shared" si="9"/>
        <v>13539.067499999999</v>
      </c>
      <c r="P248" s="3" t="str">
        <f t="shared" si="10"/>
        <v>Low Price</v>
      </c>
      <c r="Q248" s="3" t="str" cm="1">
        <f t="array" ref="Q248">_xlfn.IFS(N248&gt;=10,"High",N248&gt;=5,"Medium",N248&lt;5,"Low")</f>
        <v>Medium</v>
      </c>
      <c r="R248" s="3" t="str">
        <f t="shared" si="11"/>
        <v>Medium</v>
      </c>
    </row>
    <row r="249" spans="1:18" x14ac:dyDescent="0.25">
      <c r="A249" s="3">
        <v>10302</v>
      </c>
      <c r="B249" s="3">
        <v>1415</v>
      </c>
      <c r="C249" s="4">
        <v>45024</v>
      </c>
      <c r="D249" s="4">
        <v>45027</v>
      </c>
      <c r="E249" s="3" t="s">
        <v>15</v>
      </c>
      <c r="F249" s="3" t="s">
        <v>28</v>
      </c>
      <c r="G249" s="3" t="s">
        <v>23</v>
      </c>
      <c r="H249" s="3" t="s">
        <v>17</v>
      </c>
      <c r="I249" s="3" t="s">
        <v>30</v>
      </c>
      <c r="J249" s="3" t="s">
        <v>64</v>
      </c>
      <c r="K249" s="3" t="s">
        <v>32</v>
      </c>
      <c r="L249" s="3">
        <v>7</v>
      </c>
      <c r="M249" s="3">
        <v>636.59</v>
      </c>
      <c r="N249" s="3">
        <v>5</v>
      </c>
      <c r="O249" s="3">
        <f t="shared" si="9"/>
        <v>4233.3234999999995</v>
      </c>
      <c r="P249" s="3" t="str">
        <f t="shared" si="10"/>
        <v>Low Price</v>
      </c>
      <c r="Q249" s="3" t="str" cm="1">
        <f t="array" ref="Q249">_xlfn.IFS(N249&gt;=10,"High",N249&gt;=5,"Medium",N249&lt;5,"Low")</f>
        <v>Medium</v>
      </c>
      <c r="R249" s="3" t="str">
        <f t="shared" si="11"/>
        <v>Medium</v>
      </c>
    </row>
    <row r="250" spans="1:18" x14ac:dyDescent="0.25">
      <c r="A250" s="3">
        <v>10303</v>
      </c>
      <c r="B250" s="3">
        <v>1246</v>
      </c>
      <c r="C250" s="4">
        <v>45124</v>
      </c>
      <c r="D250" s="4">
        <v>45125</v>
      </c>
      <c r="E250" s="3" t="s">
        <v>36</v>
      </c>
      <c r="F250" s="3" t="s">
        <v>28</v>
      </c>
      <c r="G250" s="3" t="s">
        <v>16</v>
      </c>
      <c r="H250" s="3" t="s">
        <v>24</v>
      </c>
      <c r="I250" s="3" t="s">
        <v>56</v>
      </c>
      <c r="J250" s="3" t="s">
        <v>66</v>
      </c>
      <c r="K250" s="3" t="s">
        <v>20</v>
      </c>
      <c r="L250" s="3">
        <v>6</v>
      </c>
      <c r="M250" s="3">
        <v>257.2</v>
      </c>
      <c r="N250" s="3">
        <v>0</v>
      </c>
      <c r="O250" s="3">
        <f t="shared" si="9"/>
        <v>1543.1999999999998</v>
      </c>
      <c r="P250" s="3" t="str">
        <f t="shared" si="10"/>
        <v>Low Price</v>
      </c>
      <c r="Q250" s="3" t="str" cm="1">
        <f t="array" ref="Q250">_xlfn.IFS(N250&gt;=10,"High",N250&gt;=5,"Medium",N250&lt;5,"Low")</f>
        <v>Low</v>
      </c>
      <c r="R250" s="3" t="str">
        <f t="shared" si="11"/>
        <v>Medium</v>
      </c>
    </row>
    <row r="251" spans="1:18" x14ac:dyDescent="0.25">
      <c r="A251" s="3">
        <v>10304</v>
      </c>
      <c r="B251" s="3">
        <v>1835</v>
      </c>
      <c r="C251" s="4">
        <v>45024</v>
      </c>
      <c r="D251" s="4">
        <v>45027</v>
      </c>
      <c r="E251" s="3" t="s">
        <v>39</v>
      </c>
      <c r="F251" s="3" t="s">
        <v>22</v>
      </c>
      <c r="G251" s="3" t="s">
        <v>23</v>
      </c>
      <c r="H251" s="3" t="s">
        <v>24</v>
      </c>
      <c r="I251" s="3" t="s">
        <v>25</v>
      </c>
      <c r="J251" s="3" t="s">
        <v>60</v>
      </c>
      <c r="K251" s="3" t="s">
        <v>20</v>
      </c>
      <c r="L251" s="3">
        <v>4</v>
      </c>
      <c r="M251" s="3">
        <v>2547.52</v>
      </c>
      <c r="N251" s="3">
        <v>20</v>
      </c>
      <c r="O251" s="3">
        <f t="shared" si="9"/>
        <v>8152.0640000000003</v>
      </c>
      <c r="P251" s="3" t="str">
        <f t="shared" si="10"/>
        <v>Low Price</v>
      </c>
      <c r="Q251" s="3" t="str" cm="1">
        <f t="array" ref="Q251">_xlfn.IFS(N251&gt;=10,"High",N251&gt;=5,"Medium",N251&lt;5,"Low")</f>
        <v>High</v>
      </c>
      <c r="R251" s="3" t="str">
        <f t="shared" si="11"/>
        <v>Low</v>
      </c>
    </row>
    <row r="252" spans="1:18" x14ac:dyDescent="0.25">
      <c r="A252" s="3">
        <v>10305</v>
      </c>
      <c r="B252" s="3">
        <v>1438</v>
      </c>
      <c r="C252" s="4">
        <v>44991</v>
      </c>
      <c r="D252" s="4">
        <v>44993</v>
      </c>
      <c r="E252" s="3" t="s">
        <v>45</v>
      </c>
      <c r="F252" s="3" t="s">
        <v>40</v>
      </c>
      <c r="G252" s="3" t="s">
        <v>16</v>
      </c>
      <c r="H252" s="3" t="s">
        <v>34</v>
      </c>
      <c r="I252" s="3" t="s">
        <v>30</v>
      </c>
      <c r="J252" s="3" t="s">
        <v>47</v>
      </c>
      <c r="K252" s="3" t="s">
        <v>20</v>
      </c>
      <c r="L252" s="3">
        <v>2</v>
      </c>
      <c r="M252" s="3">
        <v>3256.02</v>
      </c>
      <c r="N252" s="3">
        <v>20</v>
      </c>
      <c r="O252" s="3">
        <f t="shared" si="9"/>
        <v>5209.6320000000005</v>
      </c>
      <c r="P252" s="3" t="str">
        <f t="shared" si="10"/>
        <v>Low Price</v>
      </c>
      <c r="Q252" s="3" t="str" cm="1">
        <f t="array" ref="Q252">_xlfn.IFS(N252&gt;=10,"High",N252&gt;=5,"Medium",N252&lt;5,"Low")</f>
        <v>High</v>
      </c>
      <c r="R252" s="3" t="str">
        <f t="shared" si="11"/>
        <v>Low</v>
      </c>
    </row>
    <row r="253" spans="1:18" x14ac:dyDescent="0.25">
      <c r="A253" s="3">
        <v>10306</v>
      </c>
      <c r="B253" s="3">
        <v>1202</v>
      </c>
      <c r="C253" s="4">
        <v>45256</v>
      </c>
      <c r="D253" s="4">
        <v>45264</v>
      </c>
      <c r="E253" s="3" t="s">
        <v>45</v>
      </c>
      <c r="F253" s="3" t="s">
        <v>28</v>
      </c>
      <c r="G253" s="3" t="s">
        <v>29</v>
      </c>
      <c r="H253" s="3" t="s">
        <v>41</v>
      </c>
      <c r="I253" s="3" t="s">
        <v>56</v>
      </c>
      <c r="J253" s="3" t="s">
        <v>61</v>
      </c>
      <c r="K253" s="3" t="s">
        <v>27</v>
      </c>
      <c r="L253" s="3">
        <v>1</v>
      </c>
      <c r="M253" s="3">
        <v>3391.76</v>
      </c>
      <c r="N253" s="3">
        <v>20</v>
      </c>
      <c r="O253" s="3">
        <f t="shared" si="9"/>
        <v>2713.4080000000004</v>
      </c>
      <c r="P253" s="3" t="str">
        <f t="shared" si="10"/>
        <v>Low Price</v>
      </c>
      <c r="Q253" s="3" t="str" cm="1">
        <f t="array" ref="Q253">_xlfn.IFS(N253&gt;=10,"High",N253&gt;=5,"Medium",N253&lt;5,"Low")</f>
        <v>High</v>
      </c>
      <c r="R253" s="3" t="str">
        <f t="shared" si="11"/>
        <v>Low</v>
      </c>
    </row>
    <row r="254" spans="1:18" x14ac:dyDescent="0.25">
      <c r="A254" s="3">
        <v>10307</v>
      </c>
      <c r="B254" s="3">
        <v>1183</v>
      </c>
      <c r="C254" s="4">
        <v>45267</v>
      </c>
      <c r="D254" s="4">
        <v>45273</v>
      </c>
      <c r="E254" s="3" t="s">
        <v>14</v>
      </c>
      <c r="F254" s="3" t="s">
        <v>15</v>
      </c>
      <c r="G254" s="3" t="s">
        <v>23</v>
      </c>
      <c r="H254" s="3" t="s">
        <v>41</v>
      </c>
      <c r="I254" s="3" t="s">
        <v>56</v>
      </c>
      <c r="J254" s="3" t="s">
        <v>57</v>
      </c>
      <c r="K254" s="3" t="s">
        <v>27</v>
      </c>
      <c r="L254" s="3">
        <v>4</v>
      </c>
      <c r="M254" s="3">
        <v>2008.45</v>
      </c>
      <c r="N254" s="3">
        <v>5</v>
      </c>
      <c r="O254" s="3">
        <f t="shared" si="9"/>
        <v>7632.11</v>
      </c>
      <c r="P254" s="3" t="str">
        <f t="shared" si="10"/>
        <v>Low Price</v>
      </c>
      <c r="Q254" s="3" t="str" cm="1">
        <f t="array" ref="Q254">_xlfn.IFS(N254&gt;=10,"High",N254&gt;=5,"Medium",N254&lt;5,"Low")</f>
        <v>Medium</v>
      </c>
      <c r="R254" s="3" t="str">
        <f t="shared" si="11"/>
        <v>Low</v>
      </c>
    </row>
    <row r="255" spans="1:18" x14ac:dyDescent="0.25">
      <c r="A255" s="3">
        <v>10308</v>
      </c>
      <c r="B255" s="3">
        <v>1122</v>
      </c>
      <c r="C255" s="4">
        <v>44931</v>
      </c>
      <c r="D255" s="4">
        <v>44940</v>
      </c>
      <c r="E255" s="3" t="s">
        <v>36</v>
      </c>
      <c r="F255" s="3" t="s">
        <v>22</v>
      </c>
      <c r="G255" s="3" t="s">
        <v>29</v>
      </c>
      <c r="H255" s="3" t="s">
        <v>24</v>
      </c>
      <c r="I255" s="3" t="s">
        <v>51</v>
      </c>
      <c r="J255" s="3" t="s">
        <v>52</v>
      </c>
      <c r="K255" s="3" t="s">
        <v>44</v>
      </c>
      <c r="L255" s="3">
        <v>4</v>
      </c>
      <c r="M255" s="3">
        <v>3143.2</v>
      </c>
      <c r="N255" s="3">
        <v>0</v>
      </c>
      <c r="O255" s="3">
        <f t="shared" si="9"/>
        <v>12572.8</v>
      </c>
      <c r="P255" s="3" t="str">
        <f t="shared" si="10"/>
        <v>Low Price</v>
      </c>
      <c r="Q255" s="3" t="str" cm="1">
        <f t="array" ref="Q255">_xlfn.IFS(N255&gt;=10,"High",N255&gt;=5,"Medium",N255&lt;5,"Low")</f>
        <v>Low</v>
      </c>
      <c r="R255" s="3" t="str">
        <f t="shared" si="11"/>
        <v>Low</v>
      </c>
    </row>
    <row r="256" spans="1:18" x14ac:dyDescent="0.25">
      <c r="A256" s="3">
        <v>10309</v>
      </c>
      <c r="B256" s="3">
        <v>1400</v>
      </c>
      <c r="C256" s="4">
        <v>44928</v>
      </c>
      <c r="D256" s="4">
        <v>44936</v>
      </c>
      <c r="E256" s="3" t="s">
        <v>33</v>
      </c>
      <c r="F256" s="3" t="s">
        <v>28</v>
      </c>
      <c r="G256" s="3" t="s">
        <v>29</v>
      </c>
      <c r="H256" s="3" t="s">
        <v>43</v>
      </c>
      <c r="I256" s="3" t="s">
        <v>48</v>
      </c>
      <c r="J256" s="3" t="s">
        <v>50</v>
      </c>
      <c r="K256" s="3" t="s">
        <v>46</v>
      </c>
      <c r="L256" s="3">
        <v>1</v>
      </c>
      <c r="M256" s="3">
        <v>2740.46</v>
      </c>
      <c r="N256" s="3">
        <v>10</v>
      </c>
      <c r="O256" s="3">
        <f t="shared" si="9"/>
        <v>2466.4140000000002</v>
      </c>
      <c r="P256" s="3" t="str">
        <f t="shared" si="10"/>
        <v>Low Price</v>
      </c>
      <c r="Q256" s="3" t="str" cm="1">
        <f t="array" ref="Q256">_xlfn.IFS(N256&gt;=10,"High",N256&gt;=5,"Medium",N256&lt;5,"Low")</f>
        <v>High</v>
      </c>
      <c r="R256" s="3" t="str">
        <f t="shared" si="11"/>
        <v>Low</v>
      </c>
    </row>
    <row r="257" spans="1:18" x14ac:dyDescent="0.25">
      <c r="A257" s="3">
        <v>10311</v>
      </c>
      <c r="B257" s="3">
        <v>1293</v>
      </c>
      <c r="C257" s="4">
        <v>45038</v>
      </c>
      <c r="D257" s="4">
        <v>45043</v>
      </c>
      <c r="E257" s="3" t="s">
        <v>45</v>
      </c>
      <c r="F257" s="3" t="s">
        <v>22</v>
      </c>
      <c r="G257" s="3" t="s">
        <v>23</v>
      </c>
      <c r="H257" s="3" t="s">
        <v>17</v>
      </c>
      <c r="I257" s="3" t="s">
        <v>18</v>
      </c>
      <c r="J257" s="3" t="s">
        <v>42</v>
      </c>
      <c r="K257" s="3" t="s">
        <v>32</v>
      </c>
      <c r="L257" s="3">
        <v>4</v>
      </c>
      <c r="M257" s="3">
        <v>2046.51</v>
      </c>
      <c r="N257" s="3">
        <v>5</v>
      </c>
      <c r="O257" s="3">
        <f t="shared" si="9"/>
        <v>7776.7379999999994</v>
      </c>
      <c r="P257" s="3" t="str">
        <f t="shared" si="10"/>
        <v>Low Price</v>
      </c>
      <c r="Q257" s="3" t="str" cm="1">
        <f t="array" ref="Q257">_xlfn.IFS(N257&gt;=10,"High",N257&gt;=5,"Medium",N257&lt;5,"Low")</f>
        <v>Medium</v>
      </c>
      <c r="R257" s="3" t="str">
        <f t="shared" si="11"/>
        <v>Low</v>
      </c>
    </row>
    <row r="258" spans="1:18" x14ac:dyDescent="0.25">
      <c r="A258" s="3">
        <v>10312</v>
      </c>
      <c r="B258" s="3">
        <v>1279</v>
      </c>
      <c r="C258" s="4">
        <v>44983</v>
      </c>
      <c r="D258" s="4">
        <v>44990</v>
      </c>
      <c r="E258" s="3" t="s">
        <v>45</v>
      </c>
      <c r="F258" s="3" t="s">
        <v>37</v>
      </c>
      <c r="G258" s="3" t="s">
        <v>29</v>
      </c>
      <c r="H258" s="3" t="s">
        <v>17</v>
      </c>
      <c r="I258" s="3" t="s">
        <v>51</v>
      </c>
      <c r="J258" s="3" t="s">
        <v>55</v>
      </c>
      <c r="K258" s="3" t="s">
        <v>32</v>
      </c>
      <c r="L258" s="3">
        <v>1</v>
      </c>
      <c r="M258" s="3">
        <v>2588.64</v>
      </c>
      <c r="N258" s="3">
        <v>0</v>
      </c>
      <c r="O258" s="3">
        <f t="shared" si="9"/>
        <v>2588.64</v>
      </c>
      <c r="P258" s="3" t="str">
        <f t="shared" si="10"/>
        <v>Low Price</v>
      </c>
      <c r="Q258" s="3" t="str" cm="1">
        <f t="array" ref="Q258">_xlfn.IFS(N258&gt;=10,"High",N258&gt;=5,"Medium",N258&lt;5,"Low")</f>
        <v>Low</v>
      </c>
      <c r="R258" s="3" t="str">
        <f t="shared" si="11"/>
        <v>Low</v>
      </c>
    </row>
    <row r="259" spans="1:18" x14ac:dyDescent="0.25">
      <c r="A259" s="3">
        <v>10313</v>
      </c>
      <c r="B259" s="3">
        <v>1836</v>
      </c>
      <c r="C259" s="4">
        <v>44992</v>
      </c>
      <c r="D259" s="4">
        <v>44997</v>
      </c>
      <c r="E259" s="3" t="s">
        <v>39</v>
      </c>
      <c r="F259" s="3" t="s">
        <v>40</v>
      </c>
      <c r="G259" s="3" t="s">
        <v>16</v>
      </c>
      <c r="H259" s="3" t="s">
        <v>34</v>
      </c>
      <c r="I259" s="3" t="s">
        <v>56</v>
      </c>
      <c r="J259" s="3" t="s">
        <v>61</v>
      </c>
      <c r="K259" s="3" t="s">
        <v>44</v>
      </c>
      <c r="L259" s="3">
        <v>1</v>
      </c>
      <c r="M259" s="3">
        <v>3251.27</v>
      </c>
      <c r="N259" s="3">
        <v>15</v>
      </c>
      <c r="O259" s="3">
        <f t="shared" ref="O259:O322" si="12">(L259*M259)*(1-N259/100)</f>
        <v>2763.5794999999998</v>
      </c>
      <c r="P259" s="3" t="str">
        <f t="shared" ref="P259:P322" si="13">IF(O259&gt;=15000,"High Price","Low Price")</f>
        <v>Low Price</v>
      </c>
      <c r="Q259" s="3" t="str" cm="1">
        <f t="array" ref="Q259">_xlfn.IFS(N259&gt;=10,"High",N259&gt;=5,"Medium",N259&lt;5,"Low")</f>
        <v>High</v>
      </c>
      <c r="R259" s="3" t="str">
        <f t="shared" ref="R259:R322" si="14">IF(L259&gt;8,"High",IF(L259&gt;4,"Medium","Low"))</f>
        <v>Low</v>
      </c>
    </row>
    <row r="260" spans="1:18" x14ac:dyDescent="0.25">
      <c r="A260" s="3">
        <v>10314</v>
      </c>
      <c r="B260" s="3">
        <v>1883</v>
      </c>
      <c r="C260" s="4">
        <v>45256</v>
      </c>
      <c r="D260" s="4">
        <v>45264</v>
      </c>
      <c r="E260" s="3" t="s">
        <v>36</v>
      </c>
      <c r="F260" s="3" t="s">
        <v>15</v>
      </c>
      <c r="G260" s="3" t="s">
        <v>23</v>
      </c>
      <c r="H260" s="3" t="s">
        <v>24</v>
      </c>
      <c r="I260" s="3" t="s">
        <v>25</v>
      </c>
      <c r="J260" s="3" t="s">
        <v>68</v>
      </c>
      <c r="K260" s="3" t="s">
        <v>27</v>
      </c>
      <c r="L260" s="3">
        <v>1</v>
      </c>
      <c r="M260" s="3">
        <v>1681.85</v>
      </c>
      <c r="N260" s="3">
        <v>5</v>
      </c>
      <c r="O260" s="3">
        <f t="shared" si="12"/>
        <v>1597.7574999999999</v>
      </c>
      <c r="P260" s="3" t="str">
        <f t="shared" si="13"/>
        <v>Low Price</v>
      </c>
      <c r="Q260" s="3" t="str" cm="1">
        <f t="array" ref="Q260">_xlfn.IFS(N260&gt;=10,"High",N260&gt;=5,"Medium",N260&lt;5,"Low")</f>
        <v>Medium</v>
      </c>
      <c r="R260" s="3" t="str">
        <f t="shared" si="14"/>
        <v>Low</v>
      </c>
    </row>
    <row r="261" spans="1:18" x14ac:dyDescent="0.25">
      <c r="A261" s="3">
        <v>10315</v>
      </c>
      <c r="B261" s="3">
        <v>1609</v>
      </c>
      <c r="C261" s="4">
        <v>45024</v>
      </c>
      <c r="D261" s="4">
        <v>45029</v>
      </c>
      <c r="E261" s="3" t="s">
        <v>36</v>
      </c>
      <c r="F261" s="3" t="s">
        <v>28</v>
      </c>
      <c r="G261" s="3" t="s">
        <v>23</v>
      </c>
      <c r="H261" s="3" t="s">
        <v>17</v>
      </c>
      <c r="I261" s="3" t="s">
        <v>48</v>
      </c>
      <c r="J261" s="3" t="s">
        <v>49</v>
      </c>
      <c r="K261" s="3" t="s">
        <v>44</v>
      </c>
      <c r="L261" s="3">
        <v>8</v>
      </c>
      <c r="M261" s="3">
        <v>3253.02</v>
      </c>
      <c r="N261" s="3">
        <v>15</v>
      </c>
      <c r="O261" s="3">
        <f t="shared" si="12"/>
        <v>22120.536</v>
      </c>
      <c r="P261" s="3" t="str">
        <f t="shared" si="13"/>
        <v>High Price</v>
      </c>
      <c r="Q261" s="3" t="str" cm="1">
        <f t="array" ref="Q261">_xlfn.IFS(N261&gt;=10,"High",N261&gt;=5,"Medium",N261&lt;5,"Low")</f>
        <v>High</v>
      </c>
      <c r="R261" s="3" t="str">
        <f t="shared" si="14"/>
        <v>Medium</v>
      </c>
    </row>
    <row r="262" spans="1:18" x14ac:dyDescent="0.25">
      <c r="A262" s="3">
        <v>10316</v>
      </c>
      <c r="B262" s="3">
        <v>1197</v>
      </c>
      <c r="C262" s="4">
        <v>45070</v>
      </c>
      <c r="D262" s="4">
        <v>45071</v>
      </c>
      <c r="E262" s="3" t="s">
        <v>45</v>
      </c>
      <c r="F262" s="3" t="s">
        <v>37</v>
      </c>
      <c r="G262" s="3" t="s">
        <v>29</v>
      </c>
      <c r="H262" s="3" t="s">
        <v>17</v>
      </c>
      <c r="I262" s="3" t="s">
        <v>56</v>
      </c>
      <c r="J262" s="3" t="s">
        <v>57</v>
      </c>
      <c r="K262" s="3" t="s">
        <v>32</v>
      </c>
      <c r="L262" s="3">
        <v>8</v>
      </c>
      <c r="M262" s="3">
        <v>2429.2600000000002</v>
      </c>
      <c r="N262" s="3">
        <v>15</v>
      </c>
      <c r="O262" s="3">
        <f t="shared" si="12"/>
        <v>16518.968000000001</v>
      </c>
      <c r="P262" s="3" t="str">
        <f t="shared" si="13"/>
        <v>High Price</v>
      </c>
      <c r="Q262" s="3" t="str" cm="1">
        <f t="array" ref="Q262">_xlfn.IFS(N262&gt;=10,"High",N262&gt;=5,"Medium",N262&lt;5,"Low")</f>
        <v>High</v>
      </c>
      <c r="R262" s="3" t="str">
        <f t="shared" si="14"/>
        <v>Medium</v>
      </c>
    </row>
    <row r="263" spans="1:18" x14ac:dyDescent="0.25">
      <c r="A263" s="3">
        <v>10317</v>
      </c>
      <c r="B263" s="3">
        <v>1981</v>
      </c>
      <c r="C263" s="4">
        <v>45051</v>
      </c>
      <c r="D263" s="4">
        <v>45056</v>
      </c>
      <c r="E263" s="3" t="s">
        <v>33</v>
      </c>
      <c r="F263" s="3" t="s">
        <v>37</v>
      </c>
      <c r="G263" s="3" t="s">
        <v>23</v>
      </c>
      <c r="H263" s="3" t="s">
        <v>24</v>
      </c>
      <c r="I263" s="3" t="s">
        <v>48</v>
      </c>
      <c r="J263" s="3" t="s">
        <v>62</v>
      </c>
      <c r="K263" s="3" t="s">
        <v>46</v>
      </c>
      <c r="L263" s="3">
        <v>2</v>
      </c>
      <c r="M263" s="3">
        <v>788.72</v>
      </c>
      <c r="N263" s="3">
        <v>20</v>
      </c>
      <c r="O263" s="3">
        <f t="shared" si="12"/>
        <v>1261.9520000000002</v>
      </c>
      <c r="P263" s="3" t="str">
        <f t="shared" si="13"/>
        <v>Low Price</v>
      </c>
      <c r="Q263" s="3" t="str" cm="1">
        <f t="array" ref="Q263">_xlfn.IFS(N263&gt;=10,"High",N263&gt;=5,"Medium",N263&lt;5,"Low")</f>
        <v>High</v>
      </c>
      <c r="R263" s="3" t="str">
        <f t="shared" si="14"/>
        <v>Low</v>
      </c>
    </row>
    <row r="264" spans="1:18" x14ac:dyDescent="0.25">
      <c r="A264" s="3">
        <v>10318</v>
      </c>
      <c r="B264" s="3">
        <v>1906</v>
      </c>
      <c r="C264" s="4">
        <v>45093</v>
      </c>
      <c r="D264" s="4">
        <v>45097</v>
      </c>
      <c r="E264" s="3" t="s">
        <v>14</v>
      </c>
      <c r="F264" s="3" t="s">
        <v>22</v>
      </c>
      <c r="G264" s="3" t="s">
        <v>29</v>
      </c>
      <c r="H264" s="3" t="s">
        <v>34</v>
      </c>
      <c r="I264" s="3" t="s">
        <v>48</v>
      </c>
      <c r="J264" s="3" t="s">
        <v>67</v>
      </c>
      <c r="K264" s="3" t="s">
        <v>20</v>
      </c>
      <c r="L264" s="3">
        <v>7</v>
      </c>
      <c r="M264" s="3">
        <v>245.03</v>
      </c>
      <c r="N264" s="3">
        <v>0</v>
      </c>
      <c r="O264" s="3">
        <f t="shared" si="12"/>
        <v>1715.21</v>
      </c>
      <c r="P264" s="3" t="str">
        <f t="shared" si="13"/>
        <v>Low Price</v>
      </c>
      <c r="Q264" s="3" t="str" cm="1">
        <f t="array" ref="Q264">_xlfn.IFS(N264&gt;=10,"High",N264&gt;=5,"Medium",N264&lt;5,"Low")</f>
        <v>Low</v>
      </c>
      <c r="R264" s="3" t="str">
        <f t="shared" si="14"/>
        <v>Medium</v>
      </c>
    </row>
    <row r="265" spans="1:18" x14ac:dyDescent="0.25">
      <c r="A265" s="3">
        <v>10320</v>
      </c>
      <c r="B265" s="3">
        <v>1751</v>
      </c>
      <c r="C265" s="4">
        <v>45002</v>
      </c>
      <c r="D265" s="4">
        <v>45005</v>
      </c>
      <c r="E265" s="3" t="s">
        <v>14</v>
      </c>
      <c r="F265" s="3" t="s">
        <v>15</v>
      </c>
      <c r="G265" s="3" t="s">
        <v>16</v>
      </c>
      <c r="H265" s="3" t="s">
        <v>34</v>
      </c>
      <c r="I265" s="3" t="s">
        <v>25</v>
      </c>
      <c r="J265" s="3" t="s">
        <v>35</v>
      </c>
      <c r="K265" s="3" t="s">
        <v>27</v>
      </c>
      <c r="L265" s="3">
        <v>8</v>
      </c>
      <c r="M265" s="3">
        <v>2254.7800000000002</v>
      </c>
      <c r="N265" s="3">
        <v>0</v>
      </c>
      <c r="O265" s="3">
        <f t="shared" si="12"/>
        <v>18038.240000000002</v>
      </c>
      <c r="P265" s="3" t="str">
        <f t="shared" si="13"/>
        <v>High Price</v>
      </c>
      <c r="Q265" s="3" t="str" cm="1">
        <f t="array" ref="Q265">_xlfn.IFS(N265&gt;=10,"High",N265&gt;=5,"Medium",N265&lt;5,"Low")</f>
        <v>Low</v>
      </c>
      <c r="R265" s="3" t="str">
        <f t="shared" si="14"/>
        <v>Medium</v>
      </c>
    </row>
    <row r="266" spans="1:18" x14ac:dyDescent="0.25">
      <c r="A266" s="3">
        <v>10321</v>
      </c>
      <c r="B266" s="3">
        <v>1143</v>
      </c>
      <c r="C266" s="4">
        <v>45270</v>
      </c>
      <c r="D266" s="4">
        <v>45275</v>
      </c>
      <c r="E266" s="3" t="s">
        <v>36</v>
      </c>
      <c r="F266" s="3" t="s">
        <v>15</v>
      </c>
      <c r="G266" s="3" t="s">
        <v>29</v>
      </c>
      <c r="H266" s="3" t="s">
        <v>41</v>
      </c>
      <c r="I266" s="3" t="s">
        <v>51</v>
      </c>
      <c r="J266" s="3" t="s">
        <v>59</v>
      </c>
      <c r="K266" s="3" t="s">
        <v>44</v>
      </c>
      <c r="L266" s="3">
        <v>7</v>
      </c>
      <c r="M266" s="3">
        <v>3383.31</v>
      </c>
      <c r="N266" s="3">
        <v>20</v>
      </c>
      <c r="O266" s="3">
        <f t="shared" si="12"/>
        <v>18946.536</v>
      </c>
      <c r="P266" s="3" t="str">
        <f t="shared" si="13"/>
        <v>High Price</v>
      </c>
      <c r="Q266" s="3" t="str" cm="1">
        <f t="array" ref="Q266">_xlfn.IFS(N266&gt;=10,"High",N266&gt;=5,"Medium",N266&lt;5,"Low")</f>
        <v>High</v>
      </c>
      <c r="R266" s="3" t="str">
        <f t="shared" si="14"/>
        <v>Medium</v>
      </c>
    </row>
    <row r="267" spans="1:18" x14ac:dyDescent="0.25">
      <c r="A267" s="3">
        <v>10322</v>
      </c>
      <c r="B267" s="3">
        <v>1608</v>
      </c>
      <c r="C267" s="4">
        <v>45220</v>
      </c>
      <c r="D267" s="4">
        <v>45222</v>
      </c>
      <c r="E267" s="3" t="s">
        <v>14</v>
      </c>
      <c r="F267" s="3" t="s">
        <v>53</v>
      </c>
      <c r="G267" s="3" t="s">
        <v>29</v>
      </c>
      <c r="H267" s="3" t="s">
        <v>34</v>
      </c>
      <c r="I267" s="3" t="s">
        <v>25</v>
      </c>
      <c r="J267" s="3" t="s">
        <v>60</v>
      </c>
      <c r="K267" s="3" t="s">
        <v>27</v>
      </c>
      <c r="L267" s="3">
        <v>5</v>
      </c>
      <c r="M267" s="3">
        <v>640.82000000000005</v>
      </c>
      <c r="N267" s="3">
        <v>0</v>
      </c>
      <c r="O267" s="3">
        <f t="shared" si="12"/>
        <v>3204.1000000000004</v>
      </c>
      <c r="P267" s="3" t="str">
        <f t="shared" si="13"/>
        <v>Low Price</v>
      </c>
      <c r="Q267" s="3" t="str" cm="1">
        <f t="array" ref="Q267">_xlfn.IFS(N267&gt;=10,"High",N267&gt;=5,"Medium",N267&lt;5,"Low")</f>
        <v>Low</v>
      </c>
      <c r="R267" s="3" t="str">
        <f t="shared" si="14"/>
        <v>Medium</v>
      </c>
    </row>
    <row r="268" spans="1:18" x14ac:dyDescent="0.25">
      <c r="A268" s="3">
        <v>10324</v>
      </c>
      <c r="B268" s="3">
        <v>1123</v>
      </c>
      <c r="C268" s="4">
        <v>45064</v>
      </c>
      <c r="D268" s="4">
        <v>45070</v>
      </c>
      <c r="E268" s="3" t="s">
        <v>45</v>
      </c>
      <c r="F268" s="3" t="s">
        <v>40</v>
      </c>
      <c r="G268" s="3" t="s">
        <v>23</v>
      </c>
      <c r="H268" s="3" t="s">
        <v>43</v>
      </c>
      <c r="I268" s="3" t="s">
        <v>56</v>
      </c>
      <c r="J268" s="3" t="s">
        <v>57</v>
      </c>
      <c r="K268" s="3" t="s">
        <v>32</v>
      </c>
      <c r="L268" s="3">
        <v>9</v>
      </c>
      <c r="M268" s="3">
        <v>3472.58</v>
      </c>
      <c r="N268" s="3">
        <v>15</v>
      </c>
      <c r="O268" s="3">
        <f t="shared" si="12"/>
        <v>26565.237000000001</v>
      </c>
      <c r="P268" s="3" t="str">
        <f t="shared" si="13"/>
        <v>High Price</v>
      </c>
      <c r="Q268" s="3" t="str" cm="1">
        <f t="array" ref="Q268">_xlfn.IFS(N268&gt;=10,"High",N268&gt;=5,"Medium",N268&lt;5,"Low")</f>
        <v>High</v>
      </c>
      <c r="R268" s="3" t="str">
        <f t="shared" si="14"/>
        <v>High</v>
      </c>
    </row>
    <row r="269" spans="1:18" x14ac:dyDescent="0.25">
      <c r="A269" s="3">
        <v>10325</v>
      </c>
      <c r="B269" s="3">
        <v>1186</v>
      </c>
      <c r="C269" s="4">
        <v>45025</v>
      </c>
      <c r="D269" s="4">
        <v>45030</v>
      </c>
      <c r="E269" s="3" t="s">
        <v>36</v>
      </c>
      <c r="F269" s="3" t="s">
        <v>37</v>
      </c>
      <c r="G269" s="3" t="s">
        <v>29</v>
      </c>
      <c r="H269" s="3" t="s">
        <v>34</v>
      </c>
      <c r="I269" s="3" t="s">
        <v>51</v>
      </c>
      <c r="J269" s="3" t="s">
        <v>63</v>
      </c>
      <c r="K269" s="3" t="s">
        <v>44</v>
      </c>
      <c r="L269" s="3">
        <v>7</v>
      </c>
      <c r="M269" s="3">
        <v>730.15</v>
      </c>
      <c r="N269" s="3">
        <v>0</v>
      </c>
      <c r="O269" s="3">
        <f t="shared" si="12"/>
        <v>5111.05</v>
      </c>
      <c r="P269" s="3" t="str">
        <f t="shared" si="13"/>
        <v>Low Price</v>
      </c>
      <c r="Q269" s="3" t="str" cm="1">
        <f t="array" ref="Q269">_xlfn.IFS(N269&gt;=10,"High",N269&gt;=5,"Medium",N269&lt;5,"Low")</f>
        <v>Low</v>
      </c>
      <c r="R269" s="3" t="str">
        <f t="shared" si="14"/>
        <v>Medium</v>
      </c>
    </row>
    <row r="270" spans="1:18" x14ac:dyDescent="0.25">
      <c r="A270" s="3">
        <v>10326</v>
      </c>
      <c r="B270" s="3">
        <v>1325</v>
      </c>
      <c r="C270" s="4">
        <v>45118</v>
      </c>
      <c r="D270" s="4">
        <v>45124</v>
      </c>
      <c r="E270" s="3" t="s">
        <v>36</v>
      </c>
      <c r="F270" s="3" t="s">
        <v>15</v>
      </c>
      <c r="G270" s="3" t="s">
        <v>23</v>
      </c>
      <c r="H270" s="3" t="s">
        <v>43</v>
      </c>
      <c r="I270" s="3" t="s">
        <v>51</v>
      </c>
      <c r="J270" s="3" t="s">
        <v>59</v>
      </c>
      <c r="K270" s="3" t="s">
        <v>32</v>
      </c>
      <c r="L270" s="3">
        <v>2</v>
      </c>
      <c r="M270" s="3">
        <v>3428.64</v>
      </c>
      <c r="N270" s="3">
        <v>10</v>
      </c>
      <c r="O270" s="3">
        <f t="shared" si="12"/>
        <v>6171.5519999999997</v>
      </c>
      <c r="P270" s="3" t="str">
        <f t="shared" si="13"/>
        <v>Low Price</v>
      </c>
      <c r="Q270" s="3" t="str" cm="1">
        <f t="array" ref="Q270">_xlfn.IFS(N270&gt;=10,"High",N270&gt;=5,"Medium",N270&lt;5,"Low")</f>
        <v>High</v>
      </c>
      <c r="R270" s="3" t="str">
        <f t="shared" si="14"/>
        <v>Low</v>
      </c>
    </row>
    <row r="271" spans="1:18" x14ac:dyDescent="0.25">
      <c r="A271" s="3">
        <v>10327</v>
      </c>
      <c r="B271" s="3">
        <v>1463</v>
      </c>
      <c r="C271" s="4">
        <v>45169</v>
      </c>
      <c r="D271" s="4">
        <v>45176</v>
      </c>
      <c r="E271" s="3" t="s">
        <v>21</v>
      </c>
      <c r="F271" s="3" t="s">
        <v>22</v>
      </c>
      <c r="G271" s="3" t="s">
        <v>16</v>
      </c>
      <c r="H271" s="3" t="s">
        <v>41</v>
      </c>
      <c r="I271" s="3" t="s">
        <v>51</v>
      </c>
      <c r="J271" s="3" t="s">
        <v>59</v>
      </c>
      <c r="K271" s="3" t="s">
        <v>46</v>
      </c>
      <c r="L271" s="3">
        <v>6</v>
      </c>
      <c r="M271" s="3">
        <v>3967.1</v>
      </c>
      <c r="N271" s="3">
        <v>0</v>
      </c>
      <c r="O271" s="3">
        <f t="shared" si="12"/>
        <v>23802.6</v>
      </c>
      <c r="P271" s="3" t="str">
        <f t="shared" si="13"/>
        <v>High Price</v>
      </c>
      <c r="Q271" s="3" t="str" cm="1">
        <f t="array" ref="Q271">_xlfn.IFS(N271&gt;=10,"High",N271&gt;=5,"Medium",N271&lt;5,"Low")</f>
        <v>Low</v>
      </c>
      <c r="R271" s="3" t="str">
        <f t="shared" si="14"/>
        <v>Medium</v>
      </c>
    </row>
    <row r="272" spans="1:18" x14ac:dyDescent="0.25">
      <c r="A272" s="3">
        <v>10328</v>
      </c>
      <c r="B272" s="3">
        <v>1348</v>
      </c>
      <c r="C272" s="4">
        <v>45245</v>
      </c>
      <c r="D272" s="4">
        <v>45250</v>
      </c>
      <c r="E272" s="3" t="s">
        <v>21</v>
      </c>
      <c r="F272" s="3" t="s">
        <v>53</v>
      </c>
      <c r="G272" s="3" t="s">
        <v>23</v>
      </c>
      <c r="H272" s="3" t="s">
        <v>24</v>
      </c>
      <c r="I272" s="3" t="s">
        <v>51</v>
      </c>
      <c r="J272" s="3" t="s">
        <v>52</v>
      </c>
      <c r="K272" s="3" t="s">
        <v>44</v>
      </c>
      <c r="L272" s="3">
        <v>2</v>
      </c>
      <c r="M272" s="3">
        <v>2948.33</v>
      </c>
      <c r="N272" s="3">
        <v>15</v>
      </c>
      <c r="O272" s="3">
        <f t="shared" si="12"/>
        <v>5012.1610000000001</v>
      </c>
      <c r="P272" s="3" t="str">
        <f t="shared" si="13"/>
        <v>Low Price</v>
      </c>
      <c r="Q272" s="3" t="str" cm="1">
        <f t="array" ref="Q272">_xlfn.IFS(N272&gt;=10,"High",N272&gt;=5,"Medium",N272&lt;5,"Low")</f>
        <v>High</v>
      </c>
      <c r="R272" s="3" t="str">
        <f t="shared" si="14"/>
        <v>Low</v>
      </c>
    </row>
    <row r="273" spans="1:18" x14ac:dyDescent="0.25">
      <c r="A273" s="3">
        <v>10329</v>
      </c>
      <c r="B273" s="3">
        <v>1770</v>
      </c>
      <c r="C273" s="4">
        <v>44975</v>
      </c>
      <c r="D273" s="4">
        <v>44976</v>
      </c>
      <c r="E273" s="3" t="s">
        <v>39</v>
      </c>
      <c r="F273" s="3" t="s">
        <v>37</v>
      </c>
      <c r="G273" s="3" t="s">
        <v>16</v>
      </c>
      <c r="H273" s="3" t="s">
        <v>43</v>
      </c>
      <c r="I273" s="3" t="s">
        <v>25</v>
      </c>
      <c r="J273" s="3" t="s">
        <v>26</v>
      </c>
      <c r="K273" s="3" t="s">
        <v>46</v>
      </c>
      <c r="L273" s="3">
        <v>1</v>
      </c>
      <c r="M273" s="3">
        <v>3171.36</v>
      </c>
      <c r="N273" s="3">
        <v>20</v>
      </c>
      <c r="O273" s="3">
        <f t="shared" si="12"/>
        <v>2537.0880000000002</v>
      </c>
      <c r="P273" s="3" t="str">
        <f t="shared" si="13"/>
        <v>Low Price</v>
      </c>
      <c r="Q273" s="3" t="str" cm="1">
        <f t="array" ref="Q273">_xlfn.IFS(N273&gt;=10,"High",N273&gt;=5,"Medium",N273&lt;5,"Low")</f>
        <v>High</v>
      </c>
      <c r="R273" s="3" t="str">
        <f t="shared" si="14"/>
        <v>Low</v>
      </c>
    </row>
    <row r="274" spans="1:18" x14ac:dyDescent="0.25">
      <c r="A274" s="3">
        <v>10330</v>
      </c>
      <c r="B274" s="3">
        <v>1659</v>
      </c>
      <c r="C274" s="4">
        <v>44958</v>
      </c>
      <c r="D274" s="4">
        <v>44966</v>
      </c>
      <c r="E274" s="3" t="s">
        <v>36</v>
      </c>
      <c r="F274" s="3" t="s">
        <v>53</v>
      </c>
      <c r="G274" s="3" t="s">
        <v>16</v>
      </c>
      <c r="H274" s="3" t="s">
        <v>43</v>
      </c>
      <c r="I274" s="3" t="s">
        <v>51</v>
      </c>
      <c r="J274" s="3" t="s">
        <v>63</v>
      </c>
      <c r="K274" s="3" t="s">
        <v>20</v>
      </c>
      <c r="L274" s="3">
        <v>7</v>
      </c>
      <c r="M274" s="3">
        <v>3978.5</v>
      </c>
      <c r="N274" s="3">
        <v>20</v>
      </c>
      <c r="O274" s="3">
        <f t="shared" si="12"/>
        <v>22279.600000000002</v>
      </c>
      <c r="P274" s="3" t="str">
        <f t="shared" si="13"/>
        <v>High Price</v>
      </c>
      <c r="Q274" s="3" t="str" cm="1">
        <f t="array" ref="Q274">_xlfn.IFS(N274&gt;=10,"High",N274&gt;=5,"Medium",N274&lt;5,"Low")</f>
        <v>High</v>
      </c>
      <c r="R274" s="3" t="str">
        <f t="shared" si="14"/>
        <v>Medium</v>
      </c>
    </row>
    <row r="275" spans="1:18" x14ac:dyDescent="0.25">
      <c r="A275" s="3">
        <v>10332</v>
      </c>
      <c r="B275" s="3">
        <v>1954</v>
      </c>
      <c r="C275" s="4">
        <v>44946</v>
      </c>
      <c r="D275" s="4">
        <v>44955</v>
      </c>
      <c r="E275" s="3" t="s">
        <v>14</v>
      </c>
      <c r="F275" s="3" t="s">
        <v>22</v>
      </c>
      <c r="G275" s="3" t="s">
        <v>16</v>
      </c>
      <c r="H275" s="3" t="s">
        <v>41</v>
      </c>
      <c r="I275" s="3" t="s">
        <v>56</v>
      </c>
      <c r="J275" s="3" t="s">
        <v>66</v>
      </c>
      <c r="K275" s="3" t="s">
        <v>20</v>
      </c>
      <c r="L275" s="3">
        <v>2</v>
      </c>
      <c r="M275" s="3">
        <v>1335.36</v>
      </c>
      <c r="N275" s="3">
        <v>5</v>
      </c>
      <c r="O275" s="3">
        <f t="shared" si="12"/>
        <v>2537.1839999999997</v>
      </c>
      <c r="P275" s="3" t="str">
        <f t="shared" si="13"/>
        <v>Low Price</v>
      </c>
      <c r="Q275" s="3" t="str" cm="1">
        <f t="array" ref="Q275">_xlfn.IFS(N275&gt;=10,"High",N275&gt;=5,"Medium",N275&lt;5,"Low")</f>
        <v>Medium</v>
      </c>
      <c r="R275" s="3" t="str">
        <f t="shared" si="14"/>
        <v>Low</v>
      </c>
    </row>
    <row r="276" spans="1:18" x14ac:dyDescent="0.25">
      <c r="A276" s="3">
        <v>10336</v>
      </c>
      <c r="B276" s="3">
        <v>1962</v>
      </c>
      <c r="C276" s="4">
        <v>45069</v>
      </c>
      <c r="D276" s="4">
        <v>45072</v>
      </c>
      <c r="E276" s="3" t="s">
        <v>15</v>
      </c>
      <c r="F276" s="3" t="s">
        <v>40</v>
      </c>
      <c r="G276" s="3" t="s">
        <v>23</v>
      </c>
      <c r="H276" s="3" t="s">
        <v>41</v>
      </c>
      <c r="I276" s="3" t="s">
        <v>18</v>
      </c>
      <c r="J276" s="3" t="s">
        <v>65</v>
      </c>
      <c r="K276" s="3" t="s">
        <v>32</v>
      </c>
      <c r="L276" s="3">
        <v>1</v>
      </c>
      <c r="M276" s="3">
        <v>1126.5</v>
      </c>
      <c r="N276" s="3">
        <v>15</v>
      </c>
      <c r="O276" s="3">
        <f t="shared" si="12"/>
        <v>957.52499999999998</v>
      </c>
      <c r="P276" s="3" t="str">
        <f t="shared" si="13"/>
        <v>Low Price</v>
      </c>
      <c r="Q276" s="3" t="str" cm="1">
        <f t="array" ref="Q276">_xlfn.IFS(N276&gt;=10,"High",N276&gt;=5,"Medium",N276&lt;5,"Low")</f>
        <v>High</v>
      </c>
      <c r="R276" s="3" t="str">
        <f t="shared" si="14"/>
        <v>Low</v>
      </c>
    </row>
    <row r="277" spans="1:18" x14ac:dyDescent="0.25">
      <c r="A277" s="3">
        <v>10338</v>
      </c>
      <c r="B277" s="3">
        <v>1146</v>
      </c>
      <c r="C277" s="4">
        <v>45139</v>
      </c>
      <c r="D277" s="4">
        <v>45145</v>
      </c>
      <c r="E277" s="3" t="s">
        <v>21</v>
      </c>
      <c r="F277" s="3" t="s">
        <v>28</v>
      </c>
      <c r="G277" s="3" t="s">
        <v>29</v>
      </c>
      <c r="H277" s="3" t="s">
        <v>41</v>
      </c>
      <c r="I277" s="3" t="s">
        <v>48</v>
      </c>
      <c r="J277" s="3" t="s">
        <v>49</v>
      </c>
      <c r="K277" s="3" t="s">
        <v>20</v>
      </c>
      <c r="L277" s="3">
        <v>3</v>
      </c>
      <c r="M277" s="3">
        <v>464.42</v>
      </c>
      <c r="N277" s="3">
        <v>20</v>
      </c>
      <c r="O277" s="3">
        <f t="shared" si="12"/>
        <v>1114.6079999999999</v>
      </c>
      <c r="P277" s="3" t="str">
        <f t="shared" si="13"/>
        <v>Low Price</v>
      </c>
      <c r="Q277" s="3" t="str" cm="1">
        <f t="array" ref="Q277">_xlfn.IFS(N277&gt;=10,"High",N277&gt;=5,"Medium",N277&lt;5,"Low")</f>
        <v>High</v>
      </c>
      <c r="R277" s="3" t="str">
        <f t="shared" si="14"/>
        <v>Low</v>
      </c>
    </row>
    <row r="278" spans="1:18" x14ac:dyDescent="0.25">
      <c r="A278" s="3">
        <v>10339</v>
      </c>
      <c r="B278" s="3">
        <v>1147</v>
      </c>
      <c r="C278" s="4">
        <v>45005</v>
      </c>
      <c r="D278" s="4">
        <v>45012</v>
      </c>
      <c r="E278" s="3" t="s">
        <v>14</v>
      </c>
      <c r="F278" s="3" t="s">
        <v>53</v>
      </c>
      <c r="G278" s="3" t="s">
        <v>16</v>
      </c>
      <c r="H278" s="3" t="s">
        <v>24</v>
      </c>
      <c r="I278" s="3" t="s">
        <v>30</v>
      </c>
      <c r="J278" s="3" t="s">
        <v>31</v>
      </c>
      <c r="K278" s="3" t="s">
        <v>20</v>
      </c>
      <c r="L278" s="3">
        <v>4</v>
      </c>
      <c r="M278" s="3">
        <v>3708.51</v>
      </c>
      <c r="N278" s="3">
        <v>5</v>
      </c>
      <c r="O278" s="3">
        <f t="shared" si="12"/>
        <v>14092.338</v>
      </c>
      <c r="P278" s="3" t="str">
        <f t="shared" si="13"/>
        <v>Low Price</v>
      </c>
      <c r="Q278" s="3" t="str" cm="1">
        <f t="array" ref="Q278">_xlfn.IFS(N278&gt;=10,"High",N278&gt;=5,"Medium",N278&lt;5,"Low")</f>
        <v>Medium</v>
      </c>
      <c r="R278" s="3" t="str">
        <f t="shared" si="14"/>
        <v>Low</v>
      </c>
    </row>
    <row r="279" spans="1:18" x14ac:dyDescent="0.25">
      <c r="A279" s="3">
        <v>10341</v>
      </c>
      <c r="B279" s="3">
        <v>1710</v>
      </c>
      <c r="C279" s="4">
        <v>45042</v>
      </c>
      <c r="D279" s="4">
        <v>45048</v>
      </c>
      <c r="E279" s="3" t="s">
        <v>15</v>
      </c>
      <c r="F279" s="3" t="s">
        <v>28</v>
      </c>
      <c r="G279" s="3" t="s">
        <v>16</v>
      </c>
      <c r="H279" s="3" t="s">
        <v>34</v>
      </c>
      <c r="I279" s="3" t="s">
        <v>48</v>
      </c>
      <c r="J279" s="3" t="s">
        <v>50</v>
      </c>
      <c r="K279" s="3" t="s">
        <v>27</v>
      </c>
      <c r="L279" s="3">
        <v>4</v>
      </c>
      <c r="M279" s="3">
        <v>641.92999999999995</v>
      </c>
      <c r="N279" s="3">
        <v>0</v>
      </c>
      <c r="O279" s="3">
        <f t="shared" si="12"/>
        <v>2567.7199999999998</v>
      </c>
      <c r="P279" s="3" t="str">
        <f t="shared" si="13"/>
        <v>Low Price</v>
      </c>
      <c r="Q279" s="3" t="str" cm="1">
        <f t="array" ref="Q279">_xlfn.IFS(N279&gt;=10,"High",N279&gt;=5,"Medium",N279&lt;5,"Low")</f>
        <v>Low</v>
      </c>
      <c r="R279" s="3" t="str">
        <f t="shared" si="14"/>
        <v>Low</v>
      </c>
    </row>
    <row r="280" spans="1:18" x14ac:dyDescent="0.25">
      <c r="A280" s="3">
        <v>10342</v>
      </c>
      <c r="B280" s="3">
        <v>1819</v>
      </c>
      <c r="C280" s="4">
        <v>45018</v>
      </c>
      <c r="D280" s="4">
        <v>45019</v>
      </c>
      <c r="E280" s="3" t="s">
        <v>14</v>
      </c>
      <c r="F280" s="3" t="s">
        <v>53</v>
      </c>
      <c r="G280" s="3" t="s">
        <v>16</v>
      </c>
      <c r="H280" s="3" t="s">
        <v>34</v>
      </c>
      <c r="I280" s="3" t="s">
        <v>25</v>
      </c>
      <c r="J280" s="3" t="s">
        <v>26</v>
      </c>
      <c r="K280" s="3" t="s">
        <v>46</v>
      </c>
      <c r="L280" s="3">
        <v>5</v>
      </c>
      <c r="M280" s="3">
        <v>1853.11</v>
      </c>
      <c r="N280" s="3">
        <v>10</v>
      </c>
      <c r="O280" s="3">
        <f t="shared" si="12"/>
        <v>8338.994999999999</v>
      </c>
      <c r="P280" s="3" t="str">
        <f t="shared" si="13"/>
        <v>Low Price</v>
      </c>
      <c r="Q280" s="3" t="str" cm="1">
        <f t="array" ref="Q280">_xlfn.IFS(N280&gt;=10,"High",N280&gt;=5,"Medium",N280&lt;5,"Low")</f>
        <v>High</v>
      </c>
      <c r="R280" s="3" t="str">
        <f t="shared" si="14"/>
        <v>Medium</v>
      </c>
    </row>
    <row r="281" spans="1:18" x14ac:dyDescent="0.25">
      <c r="A281" s="3">
        <v>10343</v>
      </c>
      <c r="B281" s="3">
        <v>1488</v>
      </c>
      <c r="C281" s="4">
        <v>45196</v>
      </c>
      <c r="D281" s="4">
        <v>45204</v>
      </c>
      <c r="E281" s="3" t="s">
        <v>45</v>
      </c>
      <c r="F281" s="3" t="s">
        <v>22</v>
      </c>
      <c r="G281" s="3" t="s">
        <v>16</v>
      </c>
      <c r="H281" s="3" t="s">
        <v>17</v>
      </c>
      <c r="I281" s="3" t="s">
        <v>48</v>
      </c>
      <c r="J281" s="3" t="s">
        <v>50</v>
      </c>
      <c r="K281" s="3" t="s">
        <v>20</v>
      </c>
      <c r="L281" s="3">
        <v>7</v>
      </c>
      <c r="M281" s="3">
        <v>313.51</v>
      </c>
      <c r="N281" s="3">
        <v>0</v>
      </c>
      <c r="O281" s="3">
        <f t="shared" si="12"/>
        <v>2194.5699999999997</v>
      </c>
      <c r="P281" s="3" t="str">
        <f t="shared" si="13"/>
        <v>Low Price</v>
      </c>
      <c r="Q281" s="3" t="str" cm="1">
        <f t="array" ref="Q281">_xlfn.IFS(N281&gt;=10,"High",N281&gt;=5,"Medium",N281&lt;5,"Low")</f>
        <v>Low</v>
      </c>
      <c r="R281" s="3" t="str">
        <f t="shared" si="14"/>
        <v>Medium</v>
      </c>
    </row>
    <row r="282" spans="1:18" x14ac:dyDescent="0.25">
      <c r="A282" s="3">
        <v>10344</v>
      </c>
      <c r="B282" s="3">
        <v>1928</v>
      </c>
      <c r="C282" s="4">
        <v>45094</v>
      </c>
      <c r="D282" s="4">
        <v>45101</v>
      </c>
      <c r="E282" s="3" t="s">
        <v>21</v>
      </c>
      <c r="F282" s="3" t="s">
        <v>28</v>
      </c>
      <c r="G282" s="3" t="s">
        <v>29</v>
      </c>
      <c r="H282" s="3" t="s">
        <v>43</v>
      </c>
      <c r="I282" s="3" t="s">
        <v>51</v>
      </c>
      <c r="J282" s="3" t="s">
        <v>55</v>
      </c>
      <c r="K282" s="3" t="s">
        <v>32</v>
      </c>
      <c r="L282" s="3">
        <v>4</v>
      </c>
      <c r="M282" s="3">
        <v>2785.81</v>
      </c>
      <c r="N282" s="3">
        <v>20</v>
      </c>
      <c r="O282" s="3">
        <f t="shared" si="12"/>
        <v>8914.5920000000006</v>
      </c>
      <c r="P282" s="3" t="str">
        <f t="shared" si="13"/>
        <v>Low Price</v>
      </c>
      <c r="Q282" s="3" t="str" cm="1">
        <f t="array" ref="Q282">_xlfn.IFS(N282&gt;=10,"High",N282&gt;=5,"Medium",N282&lt;5,"Low")</f>
        <v>High</v>
      </c>
      <c r="R282" s="3" t="str">
        <f t="shared" si="14"/>
        <v>Low</v>
      </c>
    </row>
    <row r="283" spans="1:18" x14ac:dyDescent="0.25">
      <c r="A283" s="3">
        <v>10345</v>
      </c>
      <c r="B283" s="3">
        <v>1935</v>
      </c>
      <c r="C283" s="4">
        <v>44984</v>
      </c>
      <c r="D283" s="4">
        <v>44993</v>
      </c>
      <c r="E283" s="3" t="s">
        <v>33</v>
      </c>
      <c r="F283" s="3" t="s">
        <v>28</v>
      </c>
      <c r="G283" s="3" t="s">
        <v>29</v>
      </c>
      <c r="H283" s="3" t="s">
        <v>41</v>
      </c>
      <c r="I283" s="3" t="s">
        <v>25</v>
      </c>
      <c r="J283" s="3" t="s">
        <v>35</v>
      </c>
      <c r="K283" s="3" t="s">
        <v>44</v>
      </c>
      <c r="L283" s="3">
        <v>1</v>
      </c>
      <c r="M283" s="3">
        <v>3625.42</v>
      </c>
      <c r="N283" s="3">
        <v>10</v>
      </c>
      <c r="O283" s="3">
        <f t="shared" si="12"/>
        <v>3262.8780000000002</v>
      </c>
      <c r="P283" s="3" t="str">
        <f t="shared" si="13"/>
        <v>Low Price</v>
      </c>
      <c r="Q283" s="3" t="str" cm="1">
        <f t="array" ref="Q283">_xlfn.IFS(N283&gt;=10,"High",N283&gt;=5,"Medium",N283&lt;5,"Low")</f>
        <v>High</v>
      </c>
      <c r="R283" s="3" t="str">
        <f t="shared" si="14"/>
        <v>Low</v>
      </c>
    </row>
    <row r="284" spans="1:18" x14ac:dyDescent="0.25">
      <c r="A284" s="3">
        <v>10347</v>
      </c>
      <c r="B284" s="3">
        <v>1550</v>
      </c>
      <c r="C284" s="4">
        <v>44952</v>
      </c>
      <c r="D284" s="4">
        <v>44954</v>
      </c>
      <c r="E284" s="3" t="s">
        <v>14</v>
      </c>
      <c r="F284" s="3" t="s">
        <v>28</v>
      </c>
      <c r="G284" s="3" t="s">
        <v>23</v>
      </c>
      <c r="H284" s="3" t="s">
        <v>43</v>
      </c>
      <c r="I284" s="3" t="s">
        <v>18</v>
      </c>
      <c r="J284" s="3" t="s">
        <v>19</v>
      </c>
      <c r="K284" s="3" t="s">
        <v>44</v>
      </c>
      <c r="L284" s="3">
        <v>4</v>
      </c>
      <c r="M284" s="3">
        <v>640.37</v>
      </c>
      <c r="N284" s="3">
        <v>20</v>
      </c>
      <c r="O284" s="3">
        <f t="shared" si="12"/>
        <v>2049.1840000000002</v>
      </c>
      <c r="P284" s="3" t="str">
        <f t="shared" si="13"/>
        <v>Low Price</v>
      </c>
      <c r="Q284" s="3" t="str" cm="1">
        <f t="array" ref="Q284">_xlfn.IFS(N284&gt;=10,"High",N284&gt;=5,"Medium",N284&lt;5,"Low")</f>
        <v>High</v>
      </c>
      <c r="R284" s="3" t="str">
        <f t="shared" si="14"/>
        <v>Low</v>
      </c>
    </row>
    <row r="285" spans="1:18" x14ac:dyDescent="0.25">
      <c r="A285" s="3">
        <v>10350</v>
      </c>
      <c r="B285" s="3">
        <v>1640</v>
      </c>
      <c r="C285" s="4">
        <v>45180</v>
      </c>
      <c r="D285" s="4">
        <v>45185</v>
      </c>
      <c r="E285" s="3" t="s">
        <v>14</v>
      </c>
      <c r="F285" s="3" t="s">
        <v>40</v>
      </c>
      <c r="G285" s="3" t="s">
        <v>16</v>
      </c>
      <c r="H285" s="3" t="s">
        <v>43</v>
      </c>
      <c r="I285" s="3" t="s">
        <v>56</v>
      </c>
      <c r="J285" s="3" t="s">
        <v>61</v>
      </c>
      <c r="K285" s="3" t="s">
        <v>20</v>
      </c>
      <c r="L285" s="3">
        <v>1</v>
      </c>
      <c r="M285" s="3">
        <v>3708.38</v>
      </c>
      <c r="N285" s="3">
        <v>20</v>
      </c>
      <c r="O285" s="3">
        <f t="shared" si="12"/>
        <v>2966.7040000000002</v>
      </c>
      <c r="P285" s="3" t="str">
        <f t="shared" si="13"/>
        <v>Low Price</v>
      </c>
      <c r="Q285" s="3" t="str" cm="1">
        <f t="array" ref="Q285">_xlfn.IFS(N285&gt;=10,"High",N285&gt;=5,"Medium",N285&lt;5,"Low")</f>
        <v>High</v>
      </c>
      <c r="R285" s="3" t="str">
        <f t="shared" si="14"/>
        <v>Low</v>
      </c>
    </row>
    <row r="286" spans="1:18" x14ac:dyDescent="0.25">
      <c r="A286" s="3">
        <v>10351</v>
      </c>
      <c r="B286" s="3">
        <v>1778</v>
      </c>
      <c r="C286" s="4">
        <v>44970</v>
      </c>
      <c r="D286" s="4">
        <v>44972</v>
      </c>
      <c r="E286" s="3" t="s">
        <v>45</v>
      </c>
      <c r="F286" s="3" t="s">
        <v>15</v>
      </c>
      <c r="G286" s="3" t="s">
        <v>29</v>
      </c>
      <c r="H286" s="3" t="s">
        <v>34</v>
      </c>
      <c r="I286" s="3" t="s">
        <v>30</v>
      </c>
      <c r="J286" s="3" t="s">
        <v>31</v>
      </c>
      <c r="K286" s="3" t="s">
        <v>44</v>
      </c>
      <c r="L286" s="3">
        <v>3</v>
      </c>
      <c r="M286" s="3">
        <v>1923.58</v>
      </c>
      <c r="N286" s="3">
        <v>15</v>
      </c>
      <c r="O286" s="3">
        <f t="shared" si="12"/>
        <v>4905.1289999999999</v>
      </c>
      <c r="P286" s="3" t="str">
        <f t="shared" si="13"/>
        <v>Low Price</v>
      </c>
      <c r="Q286" s="3" t="str" cm="1">
        <f t="array" ref="Q286">_xlfn.IFS(N286&gt;=10,"High",N286&gt;=5,"Medium",N286&lt;5,"Low")</f>
        <v>High</v>
      </c>
      <c r="R286" s="3" t="str">
        <f t="shared" si="14"/>
        <v>Low</v>
      </c>
    </row>
    <row r="287" spans="1:18" x14ac:dyDescent="0.25">
      <c r="A287" s="3">
        <v>10352</v>
      </c>
      <c r="B287" s="3">
        <v>1987</v>
      </c>
      <c r="C287" s="4">
        <v>45023</v>
      </c>
      <c r="D287" s="4">
        <v>45026</v>
      </c>
      <c r="E287" s="3" t="s">
        <v>45</v>
      </c>
      <c r="F287" s="3" t="s">
        <v>22</v>
      </c>
      <c r="G287" s="3" t="s">
        <v>29</v>
      </c>
      <c r="H287" s="3" t="s">
        <v>17</v>
      </c>
      <c r="I287" s="3" t="s">
        <v>25</v>
      </c>
      <c r="J287" s="3" t="s">
        <v>35</v>
      </c>
      <c r="K287" s="3" t="s">
        <v>44</v>
      </c>
      <c r="L287" s="3">
        <v>2</v>
      </c>
      <c r="M287" s="3">
        <v>2071.04</v>
      </c>
      <c r="N287" s="3">
        <v>20</v>
      </c>
      <c r="O287" s="3">
        <f t="shared" si="12"/>
        <v>3313.6640000000002</v>
      </c>
      <c r="P287" s="3" t="str">
        <f t="shared" si="13"/>
        <v>Low Price</v>
      </c>
      <c r="Q287" s="3" t="str" cm="1">
        <f t="array" ref="Q287">_xlfn.IFS(N287&gt;=10,"High",N287&gt;=5,"Medium",N287&lt;5,"Low")</f>
        <v>High</v>
      </c>
      <c r="R287" s="3" t="str">
        <f t="shared" si="14"/>
        <v>Low</v>
      </c>
    </row>
    <row r="288" spans="1:18" x14ac:dyDescent="0.25">
      <c r="A288" s="3">
        <v>10355</v>
      </c>
      <c r="B288" s="3">
        <v>1945</v>
      </c>
      <c r="C288" s="4">
        <v>45188</v>
      </c>
      <c r="D288" s="4">
        <v>45191</v>
      </c>
      <c r="E288" s="3" t="s">
        <v>36</v>
      </c>
      <c r="F288" s="3" t="s">
        <v>22</v>
      </c>
      <c r="G288" s="3" t="s">
        <v>29</v>
      </c>
      <c r="H288" s="3" t="s">
        <v>34</v>
      </c>
      <c r="I288" s="3" t="s">
        <v>51</v>
      </c>
      <c r="J288" s="3" t="s">
        <v>52</v>
      </c>
      <c r="K288" s="3" t="s">
        <v>20</v>
      </c>
      <c r="L288" s="3">
        <v>9</v>
      </c>
      <c r="M288" s="3">
        <v>2632.88</v>
      </c>
      <c r="N288" s="3">
        <v>5</v>
      </c>
      <c r="O288" s="3">
        <f t="shared" si="12"/>
        <v>22511.124</v>
      </c>
      <c r="P288" s="3" t="str">
        <f t="shared" si="13"/>
        <v>High Price</v>
      </c>
      <c r="Q288" s="3" t="str" cm="1">
        <f t="array" ref="Q288">_xlfn.IFS(N288&gt;=10,"High",N288&gt;=5,"Medium",N288&lt;5,"Low")</f>
        <v>Medium</v>
      </c>
      <c r="R288" s="3" t="str">
        <f t="shared" si="14"/>
        <v>High</v>
      </c>
    </row>
    <row r="289" spans="1:18" x14ac:dyDescent="0.25">
      <c r="A289" s="3">
        <v>10356</v>
      </c>
      <c r="B289" s="3">
        <v>1150</v>
      </c>
      <c r="C289" s="4">
        <v>45093</v>
      </c>
      <c r="D289" s="4">
        <v>45102</v>
      </c>
      <c r="E289" s="3" t="s">
        <v>15</v>
      </c>
      <c r="F289" s="3" t="s">
        <v>37</v>
      </c>
      <c r="G289" s="3" t="s">
        <v>29</v>
      </c>
      <c r="H289" s="3" t="s">
        <v>41</v>
      </c>
      <c r="I289" s="3" t="s">
        <v>30</v>
      </c>
      <c r="J289" s="3" t="s">
        <v>47</v>
      </c>
      <c r="K289" s="3" t="s">
        <v>20</v>
      </c>
      <c r="L289" s="3">
        <v>9</v>
      </c>
      <c r="M289" s="3">
        <v>1259.77</v>
      </c>
      <c r="N289" s="3">
        <v>15</v>
      </c>
      <c r="O289" s="3">
        <f t="shared" si="12"/>
        <v>9637.2404999999999</v>
      </c>
      <c r="P289" s="3" t="str">
        <f t="shared" si="13"/>
        <v>Low Price</v>
      </c>
      <c r="Q289" s="3" t="str" cm="1">
        <f t="array" ref="Q289">_xlfn.IFS(N289&gt;=10,"High",N289&gt;=5,"Medium",N289&lt;5,"Low")</f>
        <v>High</v>
      </c>
      <c r="R289" s="3" t="str">
        <f t="shared" si="14"/>
        <v>High</v>
      </c>
    </row>
    <row r="290" spans="1:18" x14ac:dyDescent="0.25">
      <c r="A290" s="3">
        <v>10357</v>
      </c>
      <c r="B290" s="3">
        <v>1414</v>
      </c>
      <c r="C290" s="4">
        <v>45205</v>
      </c>
      <c r="D290" s="4">
        <v>45213</v>
      </c>
      <c r="E290" s="3" t="s">
        <v>36</v>
      </c>
      <c r="F290" s="3" t="s">
        <v>37</v>
      </c>
      <c r="G290" s="3" t="s">
        <v>16</v>
      </c>
      <c r="H290" s="3" t="s">
        <v>24</v>
      </c>
      <c r="I290" s="3" t="s">
        <v>56</v>
      </c>
      <c r="J290" s="3" t="s">
        <v>57</v>
      </c>
      <c r="K290" s="3" t="s">
        <v>27</v>
      </c>
      <c r="L290" s="3">
        <v>8</v>
      </c>
      <c r="M290" s="3">
        <v>1300.31</v>
      </c>
      <c r="N290" s="3">
        <v>0</v>
      </c>
      <c r="O290" s="3">
        <f t="shared" si="12"/>
        <v>10402.48</v>
      </c>
      <c r="P290" s="3" t="str">
        <f t="shared" si="13"/>
        <v>Low Price</v>
      </c>
      <c r="Q290" s="3" t="str" cm="1">
        <f t="array" ref="Q290">_xlfn.IFS(N290&gt;=10,"High",N290&gt;=5,"Medium",N290&lt;5,"Low")</f>
        <v>Low</v>
      </c>
      <c r="R290" s="3" t="str">
        <f t="shared" si="14"/>
        <v>Medium</v>
      </c>
    </row>
    <row r="291" spans="1:18" x14ac:dyDescent="0.25">
      <c r="A291" s="3">
        <v>10358</v>
      </c>
      <c r="B291" s="3">
        <v>1989</v>
      </c>
      <c r="C291" s="4">
        <v>45015</v>
      </c>
      <c r="D291" s="4">
        <v>45019</v>
      </c>
      <c r="E291" s="3" t="s">
        <v>14</v>
      </c>
      <c r="F291" s="3" t="s">
        <v>28</v>
      </c>
      <c r="G291" s="3" t="s">
        <v>29</v>
      </c>
      <c r="H291" s="3" t="s">
        <v>34</v>
      </c>
      <c r="I291" s="3" t="s">
        <v>56</v>
      </c>
      <c r="J291" s="3" t="s">
        <v>57</v>
      </c>
      <c r="K291" s="3" t="s">
        <v>32</v>
      </c>
      <c r="L291" s="3">
        <v>8</v>
      </c>
      <c r="M291" s="3">
        <v>3581.12</v>
      </c>
      <c r="N291" s="3">
        <v>15</v>
      </c>
      <c r="O291" s="3">
        <f t="shared" si="12"/>
        <v>24351.615999999998</v>
      </c>
      <c r="P291" s="3" t="str">
        <f t="shared" si="13"/>
        <v>High Price</v>
      </c>
      <c r="Q291" s="3" t="str" cm="1">
        <f t="array" ref="Q291">_xlfn.IFS(N291&gt;=10,"High",N291&gt;=5,"Medium",N291&lt;5,"Low")</f>
        <v>High</v>
      </c>
      <c r="R291" s="3" t="str">
        <f t="shared" si="14"/>
        <v>Medium</v>
      </c>
    </row>
    <row r="292" spans="1:18" x14ac:dyDescent="0.25">
      <c r="A292" s="3">
        <v>10359</v>
      </c>
      <c r="B292" s="3">
        <v>1297</v>
      </c>
      <c r="C292" s="4">
        <v>45104</v>
      </c>
      <c r="D292" s="4">
        <v>45105</v>
      </c>
      <c r="E292" s="3" t="s">
        <v>15</v>
      </c>
      <c r="F292" s="3" t="s">
        <v>40</v>
      </c>
      <c r="G292" s="3" t="s">
        <v>16</v>
      </c>
      <c r="H292" s="3" t="s">
        <v>24</v>
      </c>
      <c r="I292" s="3" t="s">
        <v>30</v>
      </c>
      <c r="J292" s="3" t="s">
        <v>47</v>
      </c>
      <c r="K292" s="3" t="s">
        <v>46</v>
      </c>
      <c r="L292" s="3">
        <v>1</v>
      </c>
      <c r="M292" s="3">
        <v>202.49</v>
      </c>
      <c r="N292" s="3">
        <v>5</v>
      </c>
      <c r="O292" s="3">
        <f t="shared" si="12"/>
        <v>192.3655</v>
      </c>
      <c r="P292" s="3" t="str">
        <f t="shared" si="13"/>
        <v>Low Price</v>
      </c>
      <c r="Q292" s="3" t="str" cm="1">
        <f t="array" ref="Q292">_xlfn.IFS(N292&gt;=10,"High",N292&gt;=5,"Medium",N292&lt;5,"Low")</f>
        <v>Medium</v>
      </c>
      <c r="R292" s="3" t="str">
        <f t="shared" si="14"/>
        <v>Low</v>
      </c>
    </row>
    <row r="293" spans="1:18" x14ac:dyDescent="0.25">
      <c r="A293" s="3">
        <v>10360</v>
      </c>
      <c r="B293" s="3">
        <v>1610</v>
      </c>
      <c r="C293" s="4">
        <v>45123</v>
      </c>
      <c r="D293" s="4">
        <v>45124</v>
      </c>
      <c r="E293" s="3" t="s">
        <v>33</v>
      </c>
      <c r="F293" s="3" t="s">
        <v>40</v>
      </c>
      <c r="G293" s="3" t="s">
        <v>29</v>
      </c>
      <c r="H293" s="3" t="s">
        <v>41</v>
      </c>
      <c r="I293" s="3" t="s">
        <v>30</v>
      </c>
      <c r="J293" s="3" t="s">
        <v>31</v>
      </c>
      <c r="K293" s="3" t="s">
        <v>44</v>
      </c>
      <c r="L293" s="3">
        <v>8</v>
      </c>
      <c r="M293" s="3">
        <v>1392.5</v>
      </c>
      <c r="N293" s="3">
        <v>15</v>
      </c>
      <c r="O293" s="3">
        <f t="shared" si="12"/>
        <v>9469</v>
      </c>
      <c r="P293" s="3" t="str">
        <f t="shared" si="13"/>
        <v>Low Price</v>
      </c>
      <c r="Q293" s="3" t="str" cm="1">
        <f t="array" ref="Q293">_xlfn.IFS(N293&gt;=10,"High",N293&gt;=5,"Medium",N293&lt;5,"Low")</f>
        <v>High</v>
      </c>
      <c r="R293" s="3" t="str">
        <f t="shared" si="14"/>
        <v>Medium</v>
      </c>
    </row>
    <row r="294" spans="1:18" x14ac:dyDescent="0.25">
      <c r="A294" s="3">
        <v>10361</v>
      </c>
      <c r="B294" s="3">
        <v>1262</v>
      </c>
      <c r="C294" s="4">
        <v>45233</v>
      </c>
      <c r="D294" s="4">
        <v>45234</v>
      </c>
      <c r="E294" s="3" t="s">
        <v>33</v>
      </c>
      <c r="F294" s="3" t="s">
        <v>22</v>
      </c>
      <c r="G294" s="3" t="s">
        <v>23</v>
      </c>
      <c r="H294" s="3" t="s">
        <v>43</v>
      </c>
      <c r="I294" s="3" t="s">
        <v>56</v>
      </c>
      <c r="J294" s="3" t="s">
        <v>58</v>
      </c>
      <c r="K294" s="3" t="s">
        <v>20</v>
      </c>
      <c r="L294" s="3">
        <v>3</v>
      </c>
      <c r="M294" s="3">
        <v>2284.27</v>
      </c>
      <c r="N294" s="3">
        <v>20</v>
      </c>
      <c r="O294" s="3">
        <f t="shared" si="12"/>
        <v>5482.2479999999996</v>
      </c>
      <c r="P294" s="3" t="str">
        <f t="shared" si="13"/>
        <v>Low Price</v>
      </c>
      <c r="Q294" s="3" t="str" cm="1">
        <f t="array" ref="Q294">_xlfn.IFS(N294&gt;=10,"High",N294&gt;=5,"Medium",N294&lt;5,"Low")</f>
        <v>High</v>
      </c>
      <c r="R294" s="3" t="str">
        <f t="shared" si="14"/>
        <v>Low</v>
      </c>
    </row>
    <row r="295" spans="1:18" x14ac:dyDescent="0.25">
      <c r="A295" s="3">
        <v>10365</v>
      </c>
      <c r="B295" s="3">
        <v>1623</v>
      </c>
      <c r="C295" s="4">
        <v>44934</v>
      </c>
      <c r="D295" s="4">
        <v>44940</v>
      </c>
      <c r="E295" s="3" t="s">
        <v>15</v>
      </c>
      <c r="F295" s="3" t="s">
        <v>40</v>
      </c>
      <c r="G295" s="3" t="s">
        <v>16</v>
      </c>
      <c r="H295" s="3" t="s">
        <v>34</v>
      </c>
      <c r="I295" s="3" t="s">
        <v>51</v>
      </c>
      <c r="J295" s="3" t="s">
        <v>52</v>
      </c>
      <c r="K295" s="3" t="s">
        <v>32</v>
      </c>
      <c r="L295" s="3">
        <v>5</v>
      </c>
      <c r="M295" s="3">
        <v>3593.46</v>
      </c>
      <c r="N295" s="3">
        <v>20</v>
      </c>
      <c r="O295" s="3">
        <f t="shared" si="12"/>
        <v>14373.84</v>
      </c>
      <c r="P295" s="3" t="str">
        <f t="shared" si="13"/>
        <v>Low Price</v>
      </c>
      <c r="Q295" s="3" t="str" cm="1">
        <f t="array" ref="Q295">_xlfn.IFS(N295&gt;=10,"High",N295&gt;=5,"Medium",N295&lt;5,"Low")</f>
        <v>High</v>
      </c>
      <c r="R295" s="3" t="str">
        <f t="shared" si="14"/>
        <v>Medium</v>
      </c>
    </row>
    <row r="296" spans="1:18" x14ac:dyDescent="0.25">
      <c r="A296" s="3">
        <v>10366</v>
      </c>
      <c r="B296" s="3">
        <v>1571</v>
      </c>
      <c r="C296" s="4">
        <v>45223</v>
      </c>
      <c r="D296" s="4">
        <v>45226</v>
      </c>
      <c r="E296" s="3" t="s">
        <v>14</v>
      </c>
      <c r="F296" s="3" t="s">
        <v>15</v>
      </c>
      <c r="G296" s="3" t="s">
        <v>23</v>
      </c>
      <c r="H296" s="3" t="s">
        <v>41</v>
      </c>
      <c r="I296" s="3" t="s">
        <v>48</v>
      </c>
      <c r="J296" s="3" t="s">
        <v>62</v>
      </c>
      <c r="K296" s="3" t="s">
        <v>20</v>
      </c>
      <c r="L296" s="3">
        <v>5</v>
      </c>
      <c r="M296" s="3">
        <v>3320.88</v>
      </c>
      <c r="N296" s="3">
        <v>0</v>
      </c>
      <c r="O296" s="3">
        <f t="shared" si="12"/>
        <v>16604.400000000001</v>
      </c>
      <c r="P296" s="3" t="str">
        <f t="shared" si="13"/>
        <v>High Price</v>
      </c>
      <c r="Q296" s="3" t="str" cm="1">
        <f t="array" ref="Q296">_xlfn.IFS(N296&gt;=10,"High",N296&gt;=5,"Medium",N296&lt;5,"Low")</f>
        <v>Low</v>
      </c>
      <c r="R296" s="3" t="str">
        <f t="shared" si="14"/>
        <v>Medium</v>
      </c>
    </row>
    <row r="297" spans="1:18" x14ac:dyDescent="0.25">
      <c r="A297" s="3">
        <v>10367</v>
      </c>
      <c r="B297" s="3">
        <v>1880</v>
      </c>
      <c r="C297" s="4">
        <v>45090</v>
      </c>
      <c r="D297" s="4">
        <v>45095</v>
      </c>
      <c r="E297" s="3" t="s">
        <v>45</v>
      </c>
      <c r="F297" s="3" t="s">
        <v>40</v>
      </c>
      <c r="G297" s="3" t="s">
        <v>29</v>
      </c>
      <c r="H297" s="3" t="s">
        <v>34</v>
      </c>
      <c r="I297" s="3" t="s">
        <v>56</v>
      </c>
      <c r="J297" s="3" t="s">
        <v>61</v>
      </c>
      <c r="K297" s="3" t="s">
        <v>44</v>
      </c>
      <c r="L297" s="3">
        <v>8</v>
      </c>
      <c r="M297" s="3">
        <v>3610.33</v>
      </c>
      <c r="N297" s="3">
        <v>5</v>
      </c>
      <c r="O297" s="3">
        <f t="shared" si="12"/>
        <v>27438.507999999998</v>
      </c>
      <c r="P297" s="3" t="str">
        <f t="shared" si="13"/>
        <v>High Price</v>
      </c>
      <c r="Q297" s="3" t="str" cm="1">
        <f t="array" ref="Q297">_xlfn.IFS(N297&gt;=10,"High",N297&gt;=5,"Medium",N297&lt;5,"Low")</f>
        <v>Medium</v>
      </c>
      <c r="R297" s="3" t="str">
        <f t="shared" si="14"/>
        <v>Medium</v>
      </c>
    </row>
    <row r="298" spans="1:18" x14ac:dyDescent="0.25">
      <c r="A298" s="3">
        <v>10369</v>
      </c>
      <c r="B298" s="3">
        <v>1896</v>
      </c>
      <c r="C298" s="4">
        <v>44998</v>
      </c>
      <c r="D298" s="4">
        <v>45000</v>
      </c>
      <c r="E298" s="3" t="s">
        <v>21</v>
      </c>
      <c r="F298" s="3" t="s">
        <v>22</v>
      </c>
      <c r="G298" s="3" t="s">
        <v>16</v>
      </c>
      <c r="H298" s="3" t="s">
        <v>34</v>
      </c>
      <c r="I298" s="3" t="s">
        <v>25</v>
      </c>
      <c r="J298" s="3" t="s">
        <v>35</v>
      </c>
      <c r="K298" s="3" t="s">
        <v>46</v>
      </c>
      <c r="L298" s="3">
        <v>8</v>
      </c>
      <c r="M298" s="3">
        <v>3277.19</v>
      </c>
      <c r="N298" s="3">
        <v>15</v>
      </c>
      <c r="O298" s="3">
        <f t="shared" si="12"/>
        <v>22284.892</v>
      </c>
      <c r="P298" s="3" t="str">
        <f t="shared" si="13"/>
        <v>High Price</v>
      </c>
      <c r="Q298" s="3" t="str" cm="1">
        <f t="array" ref="Q298">_xlfn.IFS(N298&gt;=10,"High",N298&gt;=5,"Medium",N298&lt;5,"Low")</f>
        <v>High</v>
      </c>
      <c r="R298" s="3" t="str">
        <f t="shared" si="14"/>
        <v>Medium</v>
      </c>
    </row>
    <row r="299" spans="1:18" x14ac:dyDescent="0.25">
      <c r="A299" s="3">
        <v>10370</v>
      </c>
      <c r="B299" s="3">
        <v>1303</v>
      </c>
      <c r="C299" s="4">
        <v>44981</v>
      </c>
      <c r="D299" s="4">
        <v>44987</v>
      </c>
      <c r="E299" s="3" t="s">
        <v>21</v>
      </c>
      <c r="F299" s="3" t="s">
        <v>40</v>
      </c>
      <c r="G299" s="3" t="s">
        <v>29</v>
      </c>
      <c r="H299" s="3" t="s">
        <v>17</v>
      </c>
      <c r="I299" s="3" t="s">
        <v>48</v>
      </c>
      <c r="J299" s="3" t="s">
        <v>62</v>
      </c>
      <c r="K299" s="3" t="s">
        <v>27</v>
      </c>
      <c r="L299" s="3">
        <v>6</v>
      </c>
      <c r="M299" s="3">
        <v>1628.56</v>
      </c>
      <c r="N299" s="3">
        <v>0</v>
      </c>
      <c r="O299" s="3">
        <f t="shared" si="12"/>
        <v>9771.36</v>
      </c>
      <c r="P299" s="3" t="str">
        <f t="shared" si="13"/>
        <v>Low Price</v>
      </c>
      <c r="Q299" s="3" t="str" cm="1">
        <f t="array" ref="Q299">_xlfn.IFS(N299&gt;=10,"High",N299&gt;=5,"Medium",N299&lt;5,"Low")</f>
        <v>Low</v>
      </c>
      <c r="R299" s="3" t="str">
        <f t="shared" si="14"/>
        <v>Medium</v>
      </c>
    </row>
    <row r="300" spans="1:18" x14ac:dyDescent="0.25">
      <c r="A300" s="3">
        <v>10371</v>
      </c>
      <c r="B300" s="3">
        <v>1253</v>
      </c>
      <c r="C300" s="4">
        <v>44973</v>
      </c>
      <c r="D300" s="4">
        <v>44979</v>
      </c>
      <c r="E300" s="3" t="s">
        <v>33</v>
      </c>
      <c r="F300" s="3" t="s">
        <v>40</v>
      </c>
      <c r="G300" s="3" t="s">
        <v>16</v>
      </c>
      <c r="H300" s="3" t="s">
        <v>17</v>
      </c>
      <c r="I300" s="3" t="s">
        <v>48</v>
      </c>
      <c r="J300" s="3" t="s">
        <v>67</v>
      </c>
      <c r="K300" s="3" t="s">
        <v>46</v>
      </c>
      <c r="L300" s="3">
        <v>6</v>
      </c>
      <c r="M300" s="3">
        <v>2715.13</v>
      </c>
      <c r="N300" s="3">
        <v>20</v>
      </c>
      <c r="O300" s="3">
        <f t="shared" si="12"/>
        <v>13032.624000000002</v>
      </c>
      <c r="P300" s="3" t="str">
        <f t="shared" si="13"/>
        <v>Low Price</v>
      </c>
      <c r="Q300" s="3" t="str" cm="1">
        <f t="array" ref="Q300">_xlfn.IFS(N300&gt;=10,"High",N300&gt;=5,"Medium",N300&lt;5,"Low")</f>
        <v>High</v>
      </c>
      <c r="R300" s="3" t="str">
        <f t="shared" si="14"/>
        <v>Medium</v>
      </c>
    </row>
    <row r="301" spans="1:18" x14ac:dyDescent="0.25">
      <c r="A301" s="3">
        <v>10372</v>
      </c>
      <c r="B301" s="3">
        <v>1651</v>
      </c>
      <c r="C301" s="4">
        <v>45164</v>
      </c>
      <c r="D301" s="4">
        <v>45167</v>
      </c>
      <c r="E301" s="3" t="s">
        <v>15</v>
      </c>
      <c r="F301" s="3" t="s">
        <v>22</v>
      </c>
      <c r="G301" s="3" t="s">
        <v>23</v>
      </c>
      <c r="H301" s="3" t="s">
        <v>34</v>
      </c>
      <c r="I301" s="3" t="s">
        <v>48</v>
      </c>
      <c r="J301" s="3" t="s">
        <v>62</v>
      </c>
      <c r="K301" s="3" t="s">
        <v>20</v>
      </c>
      <c r="L301" s="3">
        <v>2</v>
      </c>
      <c r="M301" s="3">
        <v>3957.02</v>
      </c>
      <c r="N301" s="3">
        <v>5</v>
      </c>
      <c r="O301" s="3">
        <f t="shared" si="12"/>
        <v>7518.3379999999997</v>
      </c>
      <c r="P301" s="3" t="str">
        <f t="shared" si="13"/>
        <v>Low Price</v>
      </c>
      <c r="Q301" s="3" t="str" cm="1">
        <f t="array" ref="Q301">_xlfn.IFS(N301&gt;=10,"High",N301&gt;=5,"Medium",N301&lt;5,"Low")</f>
        <v>Medium</v>
      </c>
      <c r="R301" s="3" t="str">
        <f t="shared" si="14"/>
        <v>Low</v>
      </c>
    </row>
    <row r="302" spans="1:18" x14ac:dyDescent="0.25">
      <c r="A302" s="3">
        <v>10373</v>
      </c>
      <c r="B302" s="3">
        <v>1452</v>
      </c>
      <c r="C302" s="4">
        <v>45030</v>
      </c>
      <c r="D302" s="4">
        <v>45036</v>
      </c>
      <c r="E302" s="3" t="s">
        <v>21</v>
      </c>
      <c r="F302" s="3" t="s">
        <v>15</v>
      </c>
      <c r="G302" s="3" t="s">
        <v>23</v>
      </c>
      <c r="H302" s="3" t="s">
        <v>17</v>
      </c>
      <c r="I302" s="3" t="s">
        <v>51</v>
      </c>
      <c r="J302" s="3" t="s">
        <v>52</v>
      </c>
      <c r="K302" s="3" t="s">
        <v>20</v>
      </c>
      <c r="L302" s="3">
        <v>6</v>
      </c>
      <c r="M302" s="3">
        <v>1019.05</v>
      </c>
      <c r="N302" s="3">
        <v>0</v>
      </c>
      <c r="O302" s="3">
        <f t="shared" si="12"/>
        <v>6114.2999999999993</v>
      </c>
      <c r="P302" s="3" t="str">
        <f t="shared" si="13"/>
        <v>Low Price</v>
      </c>
      <c r="Q302" s="3" t="str" cm="1">
        <f t="array" ref="Q302">_xlfn.IFS(N302&gt;=10,"High",N302&gt;=5,"Medium",N302&lt;5,"Low")</f>
        <v>Low</v>
      </c>
      <c r="R302" s="3" t="str">
        <f t="shared" si="14"/>
        <v>Medium</v>
      </c>
    </row>
    <row r="303" spans="1:18" x14ac:dyDescent="0.25">
      <c r="A303" s="3">
        <v>10374</v>
      </c>
      <c r="B303" s="3">
        <v>1036</v>
      </c>
      <c r="C303" s="4">
        <v>45136</v>
      </c>
      <c r="D303" s="4">
        <v>45141</v>
      </c>
      <c r="E303" s="3" t="s">
        <v>36</v>
      </c>
      <c r="F303" s="3" t="s">
        <v>15</v>
      </c>
      <c r="G303" s="3" t="s">
        <v>16</v>
      </c>
      <c r="H303" s="3" t="s">
        <v>41</v>
      </c>
      <c r="I303" s="3" t="s">
        <v>56</v>
      </c>
      <c r="J303" s="3" t="s">
        <v>57</v>
      </c>
      <c r="K303" s="3" t="s">
        <v>32</v>
      </c>
      <c r="L303" s="3">
        <v>5</v>
      </c>
      <c r="M303" s="3">
        <v>1651.11</v>
      </c>
      <c r="N303" s="3">
        <v>20</v>
      </c>
      <c r="O303" s="3">
        <f t="shared" si="12"/>
        <v>6604.44</v>
      </c>
      <c r="P303" s="3" t="str">
        <f t="shared" si="13"/>
        <v>Low Price</v>
      </c>
      <c r="Q303" s="3" t="str" cm="1">
        <f t="array" ref="Q303">_xlfn.IFS(N303&gt;=10,"High",N303&gt;=5,"Medium",N303&lt;5,"Low")</f>
        <v>High</v>
      </c>
      <c r="R303" s="3" t="str">
        <f t="shared" si="14"/>
        <v>Medium</v>
      </c>
    </row>
    <row r="304" spans="1:18" x14ac:dyDescent="0.25">
      <c r="A304" s="3">
        <v>10376</v>
      </c>
      <c r="B304" s="3">
        <v>1008</v>
      </c>
      <c r="C304" s="4">
        <v>45242</v>
      </c>
      <c r="D304" s="4">
        <v>45251</v>
      </c>
      <c r="E304" s="3" t="s">
        <v>36</v>
      </c>
      <c r="F304" s="3" t="s">
        <v>53</v>
      </c>
      <c r="G304" s="3" t="s">
        <v>29</v>
      </c>
      <c r="H304" s="3" t="s">
        <v>17</v>
      </c>
      <c r="I304" s="3" t="s">
        <v>56</v>
      </c>
      <c r="J304" s="3" t="s">
        <v>58</v>
      </c>
      <c r="K304" s="3" t="s">
        <v>44</v>
      </c>
      <c r="L304" s="3">
        <v>6</v>
      </c>
      <c r="M304" s="3">
        <v>681.36</v>
      </c>
      <c r="N304" s="3">
        <v>15</v>
      </c>
      <c r="O304" s="3">
        <f t="shared" si="12"/>
        <v>3474.9359999999997</v>
      </c>
      <c r="P304" s="3" t="str">
        <f t="shared" si="13"/>
        <v>Low Price</v>
      </c>
      <c r="Q304" s="3" t="str" cm="1">
        <f t="array" ref="Q304">_xlfn.IFS(N304&gt;=10,"High",N304&gt;=5,"Medium",N304&lt;5,"Low")</f>
        <v>High</v>
      </c>
      <c r="R304" s="3" t="str">
        <f t="shared" si="14"/>
        <v>Medium</v>
      </c>
    </row>
    <row r="305" spans="1:18" x14ac:dyDescent="0.25">
      <c r="A305" s="3">
        <v>10379</v>
      </c>
      <c r="B305" s="3">
        <v>1658</v>
      </c>
      <c r="C305" s="4">
        <v>45262</v>
      </c>
      <c r="D305" s="4">
        <v>45270</v>
      </c>
      <c r="E305" s="3" t="s">
        <v>14</v>
      </c>
      <c r="F305" s="3" t="s">
        <v>15</v>
      </c>
      <c r="G305" s="3" t="s">
        <v>23</v>
      </c>
      <c r="H305" s="3" t="s">
        <v>34</v>
      </c>
      <c r="I305" s="3" t="s">
        <v>25</v>
      </c>
      <c r="J305" s="3" t="s">
        <v>68</v>
      </c>
      <c r="K305" s="3" t="s">
        <v>44</v>
      </c>
      <c r="L305" s="3">
        <v>1</v>
      </c>
      <c r="M305" s="3">
        <v>3910.66</v>
      </c>
      <c r="N305" s="3">
        <v>5</v>
      </c>
      <c r="O305" s="3">
        <f t="shared" si="12"/>
        <v>3715.1269999999995</v>
      </c>
      <c r="P305" s="3" t="str">
        <f t="shared" si="13"/>
        <v>Low Price</v>
      </c>
      <c r="Q305" s="3" t="str" cm="1">
        <f t="array" ref="Q305">_xlfn.IFS(N305&gt;=10,"High",N305&gt;=5,"Medium",N305&lt;5,"Low")</f>
        <v>Medium</v>
      </c>
      <c r="R305" s="3" t="str">
        <f t="shared" si="14"/>
        <v>Low</v>
      </c>
    </row>
    <row r="306" spans="1:18" x14ac:dyDescent="0.25">
      <c r="A306" s="3">
        <v>10381</v>
      </c>
      <c r="B306" s="3">
        <v>1207</v>
      </c>
      <c r="C306" s="4">
        <v>45185</v>
      </c>
      <c r="D306" s="4">
        <v>45188</v>
      </c>
      <c r="E306" s="3" t="s">
        <v>15</v>
      </c>
      <c r="F306" s="3" t="s">
        <v>22</v>
      </c>
      <c r="G306" s="3" t="s">
        <v>23</v>
      </c>
      <c r="H306" s="3" t="s">
        <v>43</v>
      </c>
      <c r="I306" s="3" t="s">
        <v>51</v>
      </c>
      <c r="J306" s="3" t="s">
        <v>55</v>
      </c>
      <c r="K306" s="3" t="s">
        <v>46</v>
      </c>
      <c r="L306" s="3">
        <v>3</v>
      </c>
      <c r="M306" s="3">
        <v>487.45</v>
      </c>
      <c r="N306" s="3">
        <v>5</v>
      </c>
      <c r="O306" s="3">
        <f t="shared" si="12"/>
        <v>1389.2324999999998</v>
      </c>
      <c r="P306" s="3" t="str">
        <f t="shared" si="13"/>
        <v>Low Price</v>
      </c>
      <c r="Q306" s="3" t="str" cm="1">
        <f t="array" ref="Q306">_xlfn.IFS(N306&gt;=10,"High",N306&gt;=5,"Medium",N306&lt;5,"Low")</f>
        <v>Medium</v>
      </c>
      <c r="R306" s="3" t="str">
        <f t="shared" si="14"/>
        <v>Low</v>
      </c>
    </row>
    <row r="307" spans="1:18" x14ac:dyDescent="0.25">
      <c r="A307" s="3">
        <v>10383</v>
      </c>
      <c r="B307" s="3">
        <v>1403</v>
      </c>
      <c r="C307" s="4">
        <v>45040</v>
      </c>
      <c r="D307" s="4">
        <v>45042</v>
      </c>
      <c r="E307" s="3" t="s">
        <v>36</v>
      </c>
      <c r="F307" s="3" t="s">
        <v>22</v>
      </c>
      <c r="G307" s="3" t="s">
        <v>23</v>
      </c>
      <c r="H307" s="3" t="s">
        <v>41</v>
      </c>
      <c r="I307" s="3" t="s">
        <v>30</v>
      </c>
      <c r="J307" s="3" t="s">
        <v>47</v>
      </c>
      <c r="K307" s="3" t="s">
        <v>32</v>
      </c>
      <c r="L307" s="3">
        <v>1</v>
      </c>
      <c r="M307" s="3">
        <v>3581.58</v>
      </c>
      <c r="N307" s="3">
        <v>15</v>
      </c>
      <c r="O307" s="3">
        <f t="shared" si="12"/>
        <v>3044.3429999999998</v>
      </c>
      <c r="P307" s="3" t="str">
        <f t="shared" si="13"/>
        <v>Low Price</v>
      </c>
      <c r="Q307" s="3" t="str" cm="1">
        <f t="array" ref="Q307">_xlfn.IFS(N307&gt;=10,"High",N307&gt;=5,"Medium",N307&lt;5,"Low")</f>
        <v>High</v>
      </c>
      <c r="R307" s="3" t="str">
        <f t="shared" si="14"/>
        <v>Low</v>
      </c>
    </row>
    <row r="308" spans="1:18" x14ac:dyDescent="0.25">
      <c r="A308" s="3">
        <v>10384</v>
      </c>
      <c r="B308" s="3">
        <v>1151</v>
      </c>
      <c r="C308" s="4">
        <v>45289</v>
      </c>
      <c r="D308" s="4">
        <v>45297</v>
      </c>
      <c r="E308" s="3" t="s">
        <v>21</v>
      </c>
      <c r="F308" s="3" t="s">
        <v>15</v>
      </c>
      <c r="G308" s="3" t="s">
        <v>23</v>
      </c>
      <c r="H308" s="3" t="s">
        <v>41</v>
      </c>
      <c r="I308" s="3" t="s">
        <v>18</v>
      </c>
      <c r="J308" s="3" t="s">
        <v>54</v>
      </c>
      <c r="K308" s="3" t="s">
        <v>27</v>
      </c>
      <c r="L308" s="3">
        <v>5</v>
      </c>
      <c r="M308" s="3">
        <v>1935.68</v>
      </c>
      <c r="N308" s="3">
        <v>20</v>
      </c>
      <c r="O308" s="3">
        <f t="shared" si="12"/>
        <v>7742.72</v>
      </c>
      <c r="P308" s="3" t="str">
        <f t="shared" si="13"/>
        <v>Low Price</v>
      </c>
      <c r="Q308" s="3" t="str" cm="1">
        <f t="array" ref="Q308">_xlfn.IFS(N308&gt;=10,"High",N308&gt;=5,"Medium",N308&lt;5,"Low")</f>
        <v>High</v>
      </c>
      <c r="R308" s="3" t="str">
        <f t="shared" si="14"/>
        <v>Medium</v>
      </c>
    </row>
    <row r="309" spans="1:18" x14ac:dyDescent="0.25">
      <c r="A309" s="3">
        <v>10385</v>
      </c>
      <c r="B309" s="3">
        <v>1053</v>
      </c>
      <c r="C309" s="4">
        <v>44966</v>
      </c>
      <c r="D309" s="4">
        <v>44967</v>
      </c>
      <c r="E309" s="3" t="s">
        <v>15</v>
      </c>
      <c r="F309" s="3" t="s">
        <v>22</v>
      </c>
      <c r="G309" s="3" t="s">
        <v>23</v>
      </c>
      <c r="H309" s="3" t="s">
        <v>41</v>
      </c>
      <c r="I309" s="3" t="s">
        <v>51</v>
      </c>
      <c r="J309" s="3" t="s">
        <v>63</v>
      </c>
      <c r="K309" s="3" t="s">
        <v>32</v>
      </c>
      <c r="L309" s="3">
        <v>3</v>
      </c>
      <c r="M309" s="3">
        <v>1382.11</v>
      </c>
      <c r="N309" s="3">
        <v>10</v>
      </c>
      <c r="O309" s="3">
        <f t="shared" si="12"/>
        <v>3731.6970000000001</v>
      </c>
      <c r="P309" s="3" t="str">
        <f t="shared" si="13"/>
        <v>Low Price</v>
      </c>
      <c r="Q309" s="3" t="str" cm="1">
        <f t="array" ref="Q309">_xlfn.IFS(N309&gt;=10,"High",N309&gt;=5,"Medium",N309&lt;5,"Low")</f>
        <v>High</v>
      </c>
      <c r="R309" s="3" t="str">
        <f t="shared" si="14"/>
        <v>Low</v>
      </c>
    </row>
    <row r="310" spans="1:18" x14ac:dyDescent="0.25">
      <c r="A310" s="3">
        <v>10386</v>
      </c>
      <c r="B310" s="3">
        <v>1119</v>
      </c>
      <c r="C310" s="4">
        <v>45146</v>
      </c>
      <c r="D310" s="4">
        <v>45154</v>
      </c>
      <c r="E310" s="3" t="s">
        <v>14</v>
      </c>
      <c r="F310" s="3" t="s">
        <v>22</v>
      </c>
      <c r="G310" s="3" t="s">
        <v>23</v>
      </c>
      <c r="H310" s="3" t="s">
        <v>43</v>
      </c>
      <c r="I310" s="3" t="s">
        <v>48</v>
      </c>
      <c r="J310" s="3" t="s">
        <v>67</v>
      </c>
      <c r="K310" s="3" t="s">
        <v>27</v>
      </c>
      <c r="L310" s="3">
        <v>2</v>
      </c>
      <c r="M310" s="3">
        <v>1984.38</v>
      </c>
      <c r="N310" s="3">
        <v>10</v>
      </c>
      <c r="O310" s="3">
        <f t="shared" si="12"/>
        <v>3571.8840000000005</v>
      </c>
      <c r="P310" s="3" t="str">
        <f t="shared" si="13"/>
        <v>Low Price</v>
      </c>
      <c r="Q310" s="3" t="str" cm="1">
        <f t="array" ref="Q310">_xlfn.IFS(N310&gt;=10,"High",N310&gt;=5,"Medium",N310&lt;5,"Low")</f>
        <v>High</v>
      </c>
      <c r="R310" s="3" t="str">
        <f t="shared" si="14"/>
        <v>Low</v>
      </c>
    </row>
    <row r="311" spans="1:18" x14ac:dyDescent="0.25">
      <c r="A311" s="3">
        <v>10387</v>
      </c>
      <c r="B311" s="3">
        <v>1672</v>
      </c>
      <c r="C311" s="4">
        <v>45055</v>
      </c>
      <c r="D311" s="4">
        <v>45062</v>
      </c>
      <c r="E311" s="3" t="s">
        <v>45</v>
      </c>
      <c r="F311" s="3" t="s">
        <v>28</v>
      </c>
      <c r="G311" s="3" t="s">
        <v>23</v>
      </c>
      <c r="H311" s="3" t="s">
        <v>41</v>
      </c>
      <c r="I311" s="3" t="s">
        <v>30</v>
      </c>
      <c r="J311" s="3" t="s">
        <v>31</v>
      </c>
      <c r="K311" s="3" t="s">
        <v>32</v>
      </c>
      <c r="L311" s="3">
        <v>8</v>
      </c>
      <c r="M311" s="3">
        <v>1375.47</v>
      </c>
      <c r="N311" s="3">
        <v>15</v>
      </c>
      <c r="O311" s="3">
        <f t="shared" si="12"/>
        <v>9353.1959999999999</v>
      </c>
      <c r="P311" s="3" t="str">
        <f t="shared" si="13"/>
        <v>Low Price</v>
      </c>
      <c r="Q311" s="3" t="str" cm="1">
        <f t="array" ref="Q311">_xlfn.IFS(N311&gt;=10,"High",N311&gt;=5,"Medium",N311&lt;5,"Low")</f>
        <v>High</v>
      </c>
      <c r="R311" s="3" t="str">
        <f t="shared" si="14"/>
        <v>Medium</v>
      </c>
    </row>
    <row r="312" spans="1:18" x14ac:dyDescent="0.25">
      <c r="A312" s="3">
        <v>10388</v>
      </c>
      <c r="B312" s="3">
        <v>1919</v>
      </c>
      <c r="C312" s="4">
        <v>44934</v>
      </c>
      <c r="D312" s="4">
        <v>44941</v>
      </c>
      <c r="E312" s="3" t="s">
        <v>21</v>
      </c>
      <c r="F312" s="3" t="s">
        <v>53</v>
      </c>
      <c r="G312" s="3" t="s">
        <v>29</v>
      </c>
      <c r="H312" s="3" t="s">
        <v>17</v>
      </c>
      <c r="I312" s="3" t="s">
        <v>30</v>
      </c>
      <c r="J312" s="3" t="s">
        <v>38</v>
      </c>
      <c r="K312" s="3" t="s">
        <v>32</v>
      </c>
      <c r="L312" s="3">
        <v>3</v>
      </c>
      <c r="M312" s="3">
        <v>2032.79</v>
      </c>
      <c r="N312" s="3">
        <v>10</v>
      </c>
      <c r="O312" s="3">
        <f t="shared" si="12"/>
        <v>5488.5330000000004</v>
      </c>
      <c r="P312" s="3" t="str">
        <f t="shared" si="13"/>
        <v>Low Price</v>
      </c>
      <c r="Q312" s="3" t="str" cm="1">
        <f t="array" ref="Q312">_xlfn.IFS(N312&gt;=10,"High",N312&gt;=5,"Medium",N312&lt;5,"Low")</f>
        <v>High</v>
      </c>
      <c r="R312" s="3" t="str">
        <f t="shared" si="14"/>
        <v>Low</v>
      </c>
    </row>
    <row r="313" spans="1:18" x14ac:dyDescent="0.25">
      <c r="A313" s="3">
        <v>10390</v>
      </c>
      <c r="B313" s="3">
        <v>1586</v>
      </c>
      <c r="C313" s="4">
        <v>45102</v>
      </c>
      <c r="D313" s="4">
        <v>45103</v>
      </c>
      <c r="E313" s="3" t="s">
        <v>39</v>
      </c>
      <c r="F313" s="3" t="s">
        <v>53</v>
      </c>
      <c r="G313" s="3" t="s">
        <v>23</v>
      </c>
      <c r="H313" s="3" t="s">
        <v>34</v>
      </c>
      <c r="I313" s="3" t="s">
        <v>30</v>
      </c>
      <c r="J313" s="3" t="s">
        <v>47</v>
      </c>
      <c r="K313" s="3" t="s">
        <v>46</v>
      </c>
      <c r="L313" s="3">
        <v>1</v>
      </c>
      <c r="M313" s="3">
        <v>2430.36</v>
      </c>
      <c r="N313" s="3">
        <v>15</v>
      </c>
      <c r="O313" s="3">
        <f t="shared" si="12"/>
        <v>2065.806</v>
      </c>
      <c r="P313" s="3" t="str">
        <f t="shared" si="13"/>
        <v>Low Price</v>
      </c>
      <c r="Q313" s="3" t="str" cm="1">
        <f t="array" ref="Q313">_xlfn.IFS(N313&gt;=10,"High",N313&gt;=5,"Medium",N313&lt;5,"Low")</f>
        <v>High</v>
      </c>
      <c r="R313" s="3" t="str">
        <f t="shared" si="14"/>
        <v>Low</v>
      </c>
    </row>
    <row r="314" spans="1:18" x14ac:dyDescent="0.25">
      <c r="A314" s="3">
        <v>10392</v>
      </c>
      <c r="B314" s="3">
        <v>1967</v>
      </c>
      <c r="C314" s="4">
        <v>45027</v>
      </c>
      <c r="D314" s="4">
        <v>45036</v>
      </c>
      <c r="E314" s="3" t="s">
        <v>21</v>
      </c>
      <c r="F314" s="3" t="s">
        <v>37</v>
      </c>
      <c r="G314" s="3" t="s">
        <v>23</v>
      </c>
      <c r="H314" s="3" t="s">
        <v>24</v>
      </c>
      <c r="I314" s="3" t="s">
        <v>51</v>
      </c>
      <c r="J314" s="3" t="s">
        <v>59</v>
      </c>
      <c r="K314" s="3" t="s">
        <v>32</v>
      </c>
      <c r="L314" s="3">
        <v>3</v>
      </c>
      <c r="M314" s="3">
        <v>1553.98</v>
      </c>
      <c r="N314" s="3">
        <v>15</v>
      </c>
      <c r="O314" s="3">
        <f t="shared" si="12"/>
        <v>3962.6490000000003</v>
      </c>
      <c r="P314" s="3" t="str">
        <f t="shared" si="13"/>
        <v>Low Price</v>
      </c>
      <c r="Q314" s="3" t="str" cm="1">
        <f t="array" ref="Q314">_xlfn.IFS(N314&gt;=10,"High",N314&gt;=5,"Medium",N314&lt;5,"Low")</f>
        <v>High</v>
      </c>
      <c r="R314" s="3" t="str">
        <f t="shared" si="14"/>
        <v>Low</v>
      </c>
    </row>
    <row r="315" spans="1:18" x14ac:dyDescent="0.25">
      <c r="A315" s="3">
        <v>10393</v>
      </c>
      <c r="B315" s="3">
        <v>1419</v>
      </c>
      <c r="C315" s="4">
        <v>45186</v>
      </c>
      <c r="D315" s="4">
        <v>45191</v>
      </c>
      <c r="E315" s="3" t="s">
        <v>39</v>
      </c>
      <c r="F315" s="3" t="s">
        <v>22</v>
      </c>
      <c r="G315" s="3" t="s">
        <v>23</v>
      </c>
      <c r="H315" s="3" t="s">
        <v>34</v>
      </c>
      <c r="I315" s="3" t="s">
        <v>51</v>
      </c>
      <c r="J315" s="3" t="s">
        <v>59</v>
      </c>
      <c r="K315" s="3" t="s">
        <v>44</v>
      </c>
      <c r="L315" s="3">
        <v>8</v>
      </c>
      <c r="M315" s="3">
        <v>2993.25</v>
      </c>
      <c r="N315" s="3">
        <v>10</v>
      </c>
      <c r="O315" s="3">
        <f t="shared" si="12"/>
        <v>21551.4</v>
      </c>
      <c r="P315" s="3" t="str">
        <f t="shared" si="13"/>
        <v>High Price</v>
      </c>
      <c r="Q315" s="3" t="str" cm="1">
        <f t="array" ref="Q315">_xlfn.IFS(N315&gt;=10,"High",N315&gt;=5,"Medium",N315&lt;5,"Low")</f>
        <v>High</v>
      </c>
      <c r="R315" s="3" t="str">
        <f t="shared" si="14"/>
        <v>Medium</v>
      </c>
    </row>
    <row r="316" spans="1:18" x14ac:dyDescent="0.25">
      <c r="A316" s="3">
        <v>10394</v>
      </c>
      <c r="B316" s="3">
        <v>1421</v>
      </c>
      <c r="C316" s="4">
        <v>45172</v>
      </c>
      <c r="D316" s="4">
        <v>45173</v>
      </c>
      <c r="E316" s="3" t="s">
        <v>21</v>
      </c>
      <c r="F316" s="3" t="s">
        <v>28</v>
      </c>
      <c r="G316" s="3" t="s">
        <v>16</v>
      </c>
      <c r="H316" s="3" t="s">
        <v>17</v>
      </c>
      <c r="I316" s="3" t="s">
        <v>48</v>
      </c>
      <c r="J316" s="3" t="s">
        <v>49</v>
      </c>
      <c r="K316" s="3" t="s">
        <v>46</v>
      </c>
      <c r="L316" s="3">
        <v>6</v>
      </c>
      <c r="M316" s="3">
        <v>2716.48</v>
      </c>
      <c r="N316" s="3">
        <v>0</v>
      </c>
      <c r="O316" s="3">
        <f t="shared" si="12"/>
        <v>16298.880000000001</v>
      </c>
      <c r="P316" s="3" t="str">
        <f t="shared" si="13"/>
        <v>High Price</v>
      </c>
      <c r="Q316" s="3" t="str" cm="1">
        <f t="array" ref="Q316">_xlfn.IFS(N316&gt;=10,"High",N316&gt;=5,"Medium",N316&lt;5,"Low")</f>
        <v>Low</v>
      </c>
      <c r="R316" s="3" t="str">
        <f t="shared" si="14"/>
        <v>Medium</v>
      </c>
    </row>
    <row r="317" spans="1:18" x14ac:dyDescent="0.25">
      <c r="A317" s="3">
        <v>10395</v>
      </c>
      <c r="B317" s="3">
        <v>1103</v>
      </c>
      <c r="C317" s="4">
        <v>45201</v>
      </c>
      <c r="D317" s="4">
        <v>45206</v>
      </c>
      <c r="E317" s="3" t="s">
        <v>15</v>
      </c>
      <c r="F317" s="3" t="s">
        <v>22</v>
      </c>
      <c r="G317" s="3" t="s">
        <v>23</v>
      </c>
      <c r="H317" s="3" t="s">
        <v>43</v>
      </c>
      <c r="I317" s="3" t="s">
        <v>25</v>
      </c>
      <c r="J317" s="3" t="s">
        <v>35</v>
      </c>
      <c r="K317" s="3" t="s">
        <v>44</v>
      </c>
      <c r="L317" s="3">
        <v>2</v>
      </c>
      <c r="M317" s="3">
        <v>610.30999999999995</v>
      </c>
      <c r="N317" s="3">
        <v>10</v>
      </c>
      <c r="O317" s="3">
        <f t="shared" si="12"/>
        <v>1098.558</v>
      </c>
      <c r="P317" s="3" t="str">
        <f t="shared" si="13"/>
        <v>Low Price</v>
      </c>
      <c r="Q317" s="3" t="str" cm="1">
        <f t="array" ref="Q317">_xlfn.IFS(N317&gt;=10,"High",N317&gt;=5,"Medium",N317&lt;5,"Low")</f>
        <v>High</v>
      </c>
      <c r="R317" s="3" t="str">
        <f t="shared" si="14"/>
        <v>Low</v>
      </c>
    </row>
    <row r="318" spans="1:18" x14ac:dyDescent="0.25">
      <c r="A318" s="3">
        <v>10396</v>
      </c>
      <c r="B318" s="3">
        <v>1851</v>
      </c>
      <c r="C318" s="4">
        <v>44958</v>
      </c>
      <c r="D318" s="4">
        <v>44966</v>
      </c>
      <c r="E318" s="3" t="s">
        <v>45</v>
      </c>
      <c r="F318" s="3" t="s">
        <v>15</v>
      </c>
      <c r="G318" s="3" t="s">
        <v>29</v>
      </c>
      <c r="H318" s="3" t="s">
        <v>43</v>
      </c>
      <c r="I318" s="3" t="s">
        <v>48</v>
      </c>
      <c r="J318" s="3" t="s">
        <v>50</v>
      </c>
      <c r="K318" s="3" t="s">
        <v>46</v>
      </c>
      <c r="L318" s="3">
        <v>6</v>
      </c>
      <c r="M318" s="3">
        <v>2354.67</v>
      </c>
      <c r="N318" s="3">
        <v>15</v>
      </c>
      <c r="O318" s="3">
        <f t="shared" si="12"/>
        <v>12008.817000000001</v>
      </c>
      <c r="P318" s="3" t="str">
        <f t="shared" si="13"/>
        <v>Low Price</v>
      </c>
      <c r="Q318" s="3" t="str" cm="1">
        <f t="array" ref="Q318">_xlfn.IFS(N318&gt;=10,"High",N318&gt;=5,"Medium",N318&lt;5,"Low")</f>
        <v>High</v>
      </c>
      <c r="R318" s="3" t="str">
        <f t="shared" si="14"/>
        <v>Medium</v>
      </c>
    </row>
    <row r="319" spans="1:18" x14ac:dyDescent="0.25">
      <c r="A319" s="3">
        <v>10398</v>
      </c>
      <c r="B319" s="3">
        <v>1226</v>
      </c>
      <c r="C319" s="4">
        <v>44938</v>
      </c>
      <c r="D319" s="4">
        <v>44943</v>
      </c>
      <c r="E319" s="3" t="s">
        <v>21</v>
      </c>
      <c r="F319" s="3" t="s">
        <v>28</v>
      </c>
      <c r="G319" s="3" t="s">
        <v>16</v>
      </c>
      <c r="H319" s="3" t="s">
        <v>43</v>
      </c>
      <c r="I319" s="3" t="s">
        <v>48</v>
      </c>
      <c r="J319" s="3" t="s">
        <v>62</v>
      </c>
      <c r="K319" s="3" t="s">
        <v>32</v>
      </c>
      <c r="L319" s="3">
        <v>5</v>
      </c>
      <c r="M319" s="3">
        <v>3245.77</v>
      </c>
      <c r="N319" s="3">
        <v>0</v>
      </c>
      <c r="O319" s="3">
        <f t="shared" si="12"/>
        <v>16228.85</v>
      </c>
      <c r="P319" s="3" t="str">
        <f t="shared" si="13"/>
        <v>High Price</v>
      </c>
      <c r="Q319" s="3" t="str" cm="1">
        <f t="array" ref="Q319">_xlfn.IFS(N319&gt;=10,"High",N319&gt;=5,"Medium",N319&lt;5,"Low")</f>
        <v>Low</v>
      </c>
      <c r="R319" s="3" t="str">
        <f t="shared" si="14"/>
        <v>Medium</v>
      </c>
    </row>
    <row r="320" spans="1:18" x14ac:dyDescent="0.25">
      <c r="A320" s="3">
        <v>10399</v>
      </c>
      <c r="B320" s="3">
        <v>1111</v>
      </c>
      <c r="C320" s="4">
        <v>45228</v>
      </c>
      <c r="D320" s="4">
        <v>45237</v>
      </c>
      <c r="E320" s="3" t="s">
        <v>15</v>
      </c>
      <c r="F320" s="3" t="s">
        <v>15</v>
      </c>
      <c r="G320" s="3" t="s">
        <v>23</v>
      </c>
      <c r="H320" s="3" t="s">
        <v>41</v>
      </c>
      <c r="I320" s="3" t="s">
        <v>18</v>
      </c>
      <c r="J320" s="3" t="s">
        <v>42</v>
      </c>
      <c r="K320" s="3" t="s">
        <v>32</v>
      </c>
      <c r="L320" s="3">
        <v>3</v>
      </c>
      <c r="M320" s="3">
        <v>1789.86</v>
      </c>
      <c r="N320" s="3">
        <v>0</v>
      </c>
      <c r="O320" s="3">
        <f t="shared" si="12"/>
        <v>5369.58</v>
      </c>
      <c r="P320" s="3" t="str">
        <f t="shared" si="13"/>
        <v>Low Price</v>
      </c>
      <c r="Q320" s="3" t="str" cm="1">
        <f t="array" ref="Q320">_xlfn.IFS(N320&gt;=10,"High",N320&gt;=5,"Medium",N320&lt;5,"Low")</f>
        <v>Low</v>
      </c>
      <c r="R320" s="3" t="str">
        <f t="shared" si="14"/>
        <v>Low</v>
      </c>
    </row>
    <row r="321" spans="1:18" x14ac:dyDescent="0.25">
      <c r="A321" s="3">
        <v>10403</v>
      </c>
      <c r="B321" s="3">
        <v>1152</v>
      </c>
      <c r="C321" s="4">
        <v>45035</v>
      </c>
      <c r="D321" s="4">
        <v>45037</v>
      </c>
      <c r="E321" s="3" t="s">
        <v>15</v>
      </c>
      <c r="F321" s="3" t="s">
        <v>37</v>
      </c>
      <c r="G321" s="3" t="s">
        <v>23</v>
      </c>
      <c r="H321" s="3" t="s">
        <v>43</v>
      </c>
      <c r="I321" s="3" t="s">
        <v>25</v>
      </c>
      <c r="J321" s="3" t="s">
        <v>35</v>
      </c>
      <c r="K321" s="3" t="s">
        <v>20</v>
      </c>
      <c r="L321" s="3">
        <v>1</v>
      </c>
      <c r="M321" s="3">
        <v>2743.75</v>
      </c>
      <c r="N321" s="3">
        <v>15</v>
      </c>
      <c r="O321" s="3">
        <f t="shared" si="12"/>
        <v>2332.1875</v>
      </c>
      <c r="P321" s="3" t="str">
        <f t="shared" si="13"/>
        <v>Low Price</v>
      </c>
      <c r="Q321" s="3" t="str" cm="1">
        <f t="array" ref="Q321">_xlfn.IFS(N321&gt;=10,"High",N321&gt;=5,"Medium",N321&lt;5,"Low")</f>
        <v>High</v>
      </c>
      <c r="R321" s="3" t="str">
        <f t="shared" si="14"/>
        <v>Low</v>
      </c>
    </row>
    <row r="322" spans="1:18" x14ac:dyDescent="0.25">
      <c r="A322" s="3">
        <v>10405</v>
      </c>
      <c r="B322" s="3">
        <v>1913</v>
      </c>
      <c r="C322" s="4">
        <v>45084</v>
      </c>
      <c r="D322" s="4">
        <v>45091</v>
      </c>
      <c r="E322" s="3" t="s">
        <v>45</v>
      </c>
      <c r="F322" s="3" t="s">
        <v>22</v>
      </c>
      <c r="G322" s="3" t="s">
        <v>23</v>
      </c>
      <c r="H322" s="3" t="s">
        <v>24</v>
      </c>
      <c r="I322" s="3" t="s">
        <v>18</v>
      </c>
      <c r="J322" s="3" t="s">
        <v>65</v>
      </c>
      <c r="K322" s="3" t="s">
        <v>44</v>
      </c>
      <c r="L322" s="3">
        <v>4</v>
      </c>
      <c r="M322" s="3">
        <v>1333.99</v>
      </c>
      <c r="N322" s="3">
        <v>5</v>
      </c>
      <c r="O322" s="3">
        <f t="shared" si="12"/>
        <v>5069.1619999999994</v>
      </c>
      <c r="P322" s="3" t="str">
        <f t="shared" si="13"/>
        <v>Low Price</v>
      </c>
      <c r="Q322" s="3" t="str" cm="1">
        <f t="array" ref="Q322">_xlfn.IFS(N322&gt;=10,"High",N322&gt;=5,"Medium",N322&lt;5,"Low")</f>
        <v>Medium</v>
      </c>
      <c r="R322" s="3" t="str">
        <f t="shared" si="14"/>
        <v>Low</v>
      </c>
    </row>
    <row r="323" spans="1:18" x14ac:dyDescent="0.25">
      <c r="A323" s="3">
        <v>10406</v>
      </c>
      <c r="B323" s="3">
        <v>1895</v>
      </c>
      <c r="C323" s="4">
        <v>45195</v>
      </c>
      <c r="D323" s="4">
        <v>45204</v>
      </c>
      <c r="E323" s="3" t="s">
        <v>15</v>
      </c>
      <c r="F323" s="3" t="s">
        <v>28</v>
      </c>
      <c r="G323" s="3" t="s">
        <v>29</v>
      </c>
      <c r="H323" s="3" t="s">
        <v>43</v>
      </c>
      <c r="I323" s="3" t="s">
        <v>48</v>
      </c>
      <c r="J323" s="3" t="s">
        <v>50</v>
      </c>
      <c r="K323" s="3" t="s">
        <v>20</v>
      </c>
      <c r="L323" s="3">
        <v>1</v>
      </c>
      <c r="M323" s="3">
        <v>2044.41</v>
      </c>
      <c r="N323" s="3">
        <v>0</v>
      </c>
      <c r="O323" s="3">
        <f t="shared" ref="O323:O373" si="15">(L323*M323)*(1-N323/100)</f>
        <v>2044.41</v>
      </c>
      <c r="P323" s="3" t="str">
        <f t="shared" ref="P323:P373" si="16">IF(O323&gt;=15000,"High Price","Low Price")</f>
        <v>Low Price</v>
      </c>
      <c r="Q323" s="3" t="str" cm="1">
        <f t="array" ref="Q323">_xlfn.IFS(N323&gt;=10,"High",N323&gt;=5,"Medium",N323&lt;5,"Low")</f>
        <v>Low</v>
      </c>
      <c r="R323" s="3" t="str">
        <f t="shared" ref="R323:R373" si="17">IF(L323&gt;8,"High",IF(L323&gt;4,"Medium","Low"))</f>
        <v>Low</v>
      </c>
    </row>
    <row r="324" spans="1:18" x14ac:dyDescent="0.25">
      <c r="A324" s="3">
        <v>10407</v>
      </c>
      <c r="B324" s="3">
        <v>1877</v>
      </c>
      <c r="C324" s="4">
        <v>45088</v>
      </c>
      <c r="D324" s="4">
        <v>45090</v>
      </c>
      <c r="E324" s="3" t="s">
        <v>21</v>
      </c>
      <c r="F324" s="3" t="s">
        <v>22</v>
      </c>
      <c r="G324" s="3" t="s">
        <v>23</v>
      </c>
      <c r="H324" s="3" t="s">
        <v>24</v>
      </c>
      <c r="I324" s="3" t="s">
        <v>51</v>
      </c>
      <c r="J324" s="3" t="s">
        <v>52</v>
      </c>
      <c r="K324" s="3" t="s">
        <v>32</v>
      </c>
      <c r="L324" s="3">
        <v>9</v>
      </c>
      <c r="M324" s="3">
        <v>3216.56</v>
      </c>
      <c r="N324" s="3">
        <v>20</v>
      </c>
      <c r="O324" s="3">
        <f t="shared" si="15"/>
        <v>23159.232000000004</v>
      </c>
      <c r="P324" s="3" t="str">
        <f t="shared" si="16"/>
        <v>High Price</v>
      </c>
      <c r="Q324" s="3" t="str" cm="1">
        <f t="array" ref="Q324">_xlfn.IFS(N324&gt;=10,"High",N324&gt;=5,"Medium",N324&lt;5,"Low")</f>
        <v>High</v>
      </c>
      <c r="R324" s="3" t="str">
        <f t="shared" si="17"/>
        <v>High</v>
      </c>
    </row>
    <row r="325" spans="1:18" x14ac:dyDescent="0.25">
      <c r="A325" s="3">
        <v>10409</v>
      </c>
      <c r="B325" s="3">
        <v>1705</v>
      </c>
      <c r="C325" s="4">
        <v>45028</v>
      </c>
      <c r="D325" s="4">
        <v>45034</v>
      </c>
      <c r="E325" s="3" t="s">
        <v>36</v>
      </c>
      <c r="F325" s="3" t="s">
        <v>15</v>
      </c>
      <c r="G325" s="3" t="s">
        <v>23</v>
      </c>
      <c r="H325" s="3" t="s">
        <v>17</v>
      </c>
      <c r="I325" s="3" t="s">
        <v>30</v>
      </c>
      <c r="J325" s="3" t="s">
        <v>38</v>
      </c>
      <c r="K325" s="3" t="s">
        <v>32</v>
      </c>
      <c r="L325" s="3">
        <v>7</v>
      </c>
      <c r="M325" s="3">
        <v>1020.23</v>
      </c>
      <c r="N325" s="3">
        <v>10</v>
      </c>
      <c r="O325" s="3">
        <f t="shared" si="15"/>
        <v>6427.4490000000005</v>
      </c>
      <c r="P325" s="3" t="str">
        <f t="shared" si="16"/>
        <v>Low Price</v>
      </c>
      <c r="Q325" s="3" t="str" cm="1">
        <f t="array" ref="Q325">_xlfn.IFS(N325&gt;=10,"High",N325&gt;=5,"Medium",N325&lt;5,"Low")</f>
        <v>High</v>
      </c>
      <c r="R325" s="3" t="str">
        <f t="shared" si="17"/>
        <v>Medium</v>
      </c>
    </row>
    <row r="326" spans="1:18" x14ac:dyDescent="0.25">
      <c r="A326" s="3">
        <v>10411</v>
      </c>
      <c r="B326" s="3">
        <v>1162</v>
      </c>
      <c r="C326" s="4">
        <v>44985</v>
      </c>
      <c r="D326" s="4">
        <v>44993</v>
      </c>
      <c r="E326" s="3" t="s">
        <v>45</v>
      </c>
      <c r="F326" s="3" t="s">
        <v>15</v>
      </c>
      <c r="G326" s="3" t="s">
        <v>29</v>
      </c>
      <c r="H326" s="3" t="s">
        <v>24</v>
      </c>
      <c r="I326" s="3" t="s">
        <v>18</v>
      </c>
      <c r="J326" s="3" t="s">
        <v>42</v>
      </c>
      <c r="K326" s="3" t="s">
        <v>32</v>
      </c>
      <c r="L326" s="3">
        <v>3</v>
      </c>
      <c r="M326" s="3">
        <v>2165.7199999999998</v>
      </c>
      <c r="N326" s="3">
        <v>5</v>
      </c>
      <c r="O326" s="3">
        <f t="shared" si="15"/>
        <v>6172.3019999999997</v>
      </c>
      <c r="P326" s="3" t="str">
        <f t="shared" si="16"/>
        <v>Low Price</v>
      </c>
      <c r="Q326" s="3" t="str" cm="1">
        <f t="array" ref="Q326">_xlfn.IFS(N326&gt;=10,"High",N326&gt;=5,"Medium",N326&lt;5,"Low")</f>
        <v>Medium</v>
      </c>
      <c r="R326" s="3" t="str">
        <f t="shared" si="17"/>
        <v>Low</v>
      </c>
    </row>
    <row r="327" spans="1:18" x14ac:dyDescent="0.25">
      <c r="A327" s="3">
        <v>10413</v>
      </c>
      <c r="B327" s="3">
        <v>1956</v>
      </c>
      <c r="C327" s="4">
        <v>45054</v>
      </c>
      <c r="D327" s="4">
        <v>45056</v>
      </c>
      <c r="E327" s="3" t="s">
        <v>36</v>
      </c>
      <c r="F327" s="3" t="s">
        <v>53</v>
      </c>
      <c r="G327" s="3" t="s">
        <v>23</v>
      </c>
      <c r="H327" s="3" t="s">
        <v>17</v>
      </c>
      <c r="I327" s="3" t="s">
        <v>51</v>
      </c>
      <c r="J327" s="3" t="s">
        <v>52</v>
      </c>
      <c r="K327" s="3" t="s">
        <v>27</v>
      </c>
      <c r="L327" s="3">
        <v>8</v>
      </c>
      <c r="M327" s="3">
        <v>1297.5899999999999</v>
      </c>
      <c r="N327" s="3">
        <v>0</v>
      </c>
      <c r="O327" s="3">
        <f t="shared" si="15"/>
        <v>10380.719999999999</v>
      </c>
      <c r="P327" s="3" t="str">
        <f t="shared" si="16"/>
        <v>Low Price</v>
      </c>
      <c r="Q327" s="3" t="str" cm="1">
        <f t="array" ref="Q327">_xlfn.IFS(N327&gt;=10,"High",N327&gt;=5,"Medium",N327&lt;5,"Low")</f>
        <v>Low</v>
      </c>
      <c r="R327" s="3" t="str">
        <f t="shared" si="17"/>
        <v>Medium</v>
      </c>
    </row>
    <row r="328" spans="1:18" x14ac:dyDescent="0.25">
      <c r="A328" s="3">
        <v>10414</v>
      </c>
      <c r="B328" s="3">
        <v>1680</v>
      </c>
      <c r="C328" s="4">
        <v>45209</v>
      </c>
      <c r="D328" s="4">
        <v>45212</v>
      </c>
      <c r="E328" s="3" t="s">
        <v>45</v>
      </c>
      <c r="F328" s="3" t="s">
        <v>53</v>
      </c>
      <c r="G328" s="3" t="s">
        <v>29</v>
      </c>
      <c r="H328" s="3" t="s">
        <v>41</v>
      </c>
      <c r="I328" s="3" t="s">
        <v>25</v>
      </c>
      <c r="J328" s="3" t="s">
        <v>35</v>
      </c>
      <c r="K328" s="3" t="s">
        <v>44</v>
      </c>
      <c r="L328" s="3">
        <v>1</v>
      </c>
      <c r="M328" s="3">
        <v>1219.7</v>
      </c>
      <c r="N328" s="3">
        <v>5</v>
      </c>
      <c r="O328" s="3">
        <f t="shared" si="15"/>
        <v>1158.7149999999999</v>
      </c>
      <c r="P328" s="3" t="str">
        <f t="shared" si="16"/>
        <v>Low Price</v>
      </c>
      <c r="Q328" s="3" t="str" cm="1">
        <f t="array" ref="Q328">_xlfn.IFS(N328&gt;=10,"High",N328&gt;=5,"Medium",N328&lt;5,"Low")</f>
        <v>Medium</v>
      </c>
      <c r="R328" s="3" t="str">
        <f t="shared" si="17"/>
        <v>Low</v>
      </c>
    </row>
    <row r="329" spans="1:18" x14ac:dyDescent="0.25">
      <c r="A329" s="3">
        <v>10417</v>
      </c>
      <c r="B329" s="3">
        <v>1579</v>
      </c>
      <c r="C329" s="4">
        <v>45057</v>
      </c>
      <c r="D329" s="4">
        <v>45065</v>
      </c>
      <c r="E329" s="3" t="s">
        <v>21</v>
      </c>
      <c r="F329" s="3" t="s">
        <v>53</v>
      </c>
      <c r="G329" s="3" t="s">
        <v>16</v>
      </c>
      <c r="H329" s="3" t="s">
        <v>43</v>
      </c>
      <c r="I329" s="3" t="s">
        <v>51</v>
      </c>
      <c r="J329" s="3" t="s">
        <v>63</v>
      </c>
      <c r="K329" s="3" t="s">
        <v>44</v>
      </c>
      <c r="L329" s="3">
        <v>1</v>
      </c>
      <c r="M329" s="3">
        <v>3354.81</v>
      </c>
      <c r="N329" s="3">
        <v>0</v>
      </c>
      <c r="O329" s="3">
        <f t="shared" si="15"/>
        <v>3354.81</v>
      </c>
      <c r="P329" s="3" t="str">
        <f t="shared" si="16"/>
        <v>Low Price</v>
      </c>
      <c r="Q329" s="3" t="str" cm="1">
        <f t="array" ref="Q329">_xlfn.IFS(N329&gt;=10,"High",N329&gt;=5,"Medium",N329&lt;5,"Low")</f>
        <v>Low</v>
      </c>
      <c r="R329" s="3" t="str">
        <f t="shared" si="17"/>
        <v>Low</v>
      </c>
    </row>
    <row r="330" spans="1:18" x14ac:dyDescent="0.25">
      <c r="A330" s="3">
        <v>10418</v>
      </c>
      <c r="B330" s="3">
        <v>1800</v>
      </c>
      <c r="C330" s="4">
        <v>45279</v>
      </c>
      <c r="D330" s="4">
        <v>45280</v>
      </c>
      <c r="E330" s="3" t="s">
        <v>39</v>
      </c>
      <c r="F330" s="3" t="s">
        <v>53</v>
      </c>
      <c r="G330" s="3" t="s">
        <v>23</v>
      </c>
      <c r="H330" s="3" t="s">
        <v>34</v>
      </c>
      <c r="I330" s="3" t="s">
        <v>51</v>
      </c>
      <c r="J330" s="3" t="s">
        <v>55</v>
      </c>
      <c r="K330" s="3" t="s">
        <v>32</v>
      </c>
      <c r="L330" s="3">
        <v>8</v>
      </c>
      <c r="M330" s="3">
        <v>3905.57</v>
      </c>
      <c r="N330" s="3">
        <v>10</v>
      </c>
      <c r="O330" s="3">
        <f t="shared" si="15"/>
        <v>28120.104000000003</v>
      </c>
      <c r="P330" s="3" t="str">
        <f t="shared" si="16"/>
        <v>High Price</v>
      </c>
      <c r="Q330" s="3" t="str" cm="1">
        <f t="array" ref="Q330">_xlfn.IFS(N330&gt;=10,"High",N330&gt;=5,"Medium",N330&lt;5,"Low")</f>
        <v>High</v>
      </c>
      <c r="R330" s="3" t="str">
        <f t="shared" si="17"/>
        <v>Medium</v>
      </c>
    </row>
    <row r="331" spans="1:18" x14ac:dyDescent="0.25">
      <c r="A331" s="3">
        <v>10422</v>
      </c>
      <c r="B331" s="3">
        <v>1915</v>
      </c>
      <c r="C331" s="4">
        <v>45059</v>
      </c>
      <c r="D331" s="4">
        <v>45061</v>
      </c>
      <c r="E331" s="3" t="s">
        <v>15</v>
      </c>
      <c r="F331" s="3" t="s">
        <v>53</v>
      </c>
      <c r="G331" s="3" t="s">
        <v>16</v>
      </c>
      <c r="H331" s="3" t="s">
        <v>17</v>
      </c>
      <c r="I331" s="3" t="s">
        <v>51</v>
      </c>
      <c r="J331" s="3" t="s">
        <v>63</v>
      </c>
      <c r="K331" s="3" t="s">
        <v>46</v>
      </c>
      <c r="L331" s="3">
        <v>6</v>
      </c>
      <c r="M331" s="3">
        <v>1288.31</v>
      </c>
      <c r="N331" s="3">
        <v>15</v>
      </c>
      <c r="O331" s="3">
        <f t="shared" si="15"/>
        <v>6570.3809999999994</v>
      </c>
      <c r="P331" s="3" t="str">
        <f t="shared" si="16"/>
        <v>Low Price</v>
      </c>
      <c r="Q331" s="3" t="str" cm="1">
        <f t="array" ref="Q331">_xlfn.IFS(N331&gt;=10,"High",N331&gt;=5,"Medium",N331&lt;5,"Low")</f>
        <v>High</v>
      </c>
      <c r="R331" s="3" t="str">
        <f t="shared" si="17"/>
        <v>Medium</v>
      </c>
    </row>
    <row r="332" spans="1:18" x14ac:dyDescent="0.25">
      <c r="A332" s="3">
        <v>10423</v>
      </c>
      <c r="B332" s="3">
        <v>1503</v>
      </c>
      <c r="C332" s="4">
        <v>45153</v>
      </c>
      <c r="D332" s="4">
        <v>45155</v>
      </c>
      <c r="E332" s="3" t="s">
        <v>39</v>
      </c>
      <c r="F332" s="3" t="s">
        <v>15</v>
      </c>
      <c r="G332" s="3" t="s">
        <v>23</v>
      </c>
      <c r="H332" s="3" t="s">
        <v>43</v>
      </c>
      <c r="I332" s="3" t="s">
        <v>51</v>
      </c>
      <c r="J332" s="3" t="s">
        <v>59</v>
      </c>
      <c r="K332" s="3" t="s">
        <v>46</v>
      </c>
      <c r="L332" s="3">
        <v>9</v>
      </c>
      <c r="M332" s="3">
        <v>3740.3</v>
      </c>
      <c r="N332" s="3">
        <v>10</v>
      </c>
      <c r="O332" s="3">
        <f t="shared" si="15"/>
        <v>30296.430000000004</v>
      </c>
      <c r="P332" s="3" t="str">
        <f t="shared" si="16"/>
        <v>High Price</v>
      </c>
      <c r="Q332" s="3" t="str" cm="1">
        <f t="array" ref="Q332">_xlfn.IFS(N332&gt;=10,"High",N332&gt;=5,"Medium",N332&lt;5,"Low")</f>
        <v>High</v>
      </c>
      <c r="R332" s="3" t="str">
        <f t="shared" si="17"/>
        <v>High</v>
      </c>
    </row>
    <row r="333" spans="1:18" x14ac:dyDescent="0.25">
      <c r="A333" s="3">
        <v>10427</v>
      </c>
      <c r="B333" s="3">
        <v>1194</v>
      </c>
      <c r="C333" s="4">
        <v>45137</v>
      </c>
      <c r="D333" s="4">
        <v>45140</v>
      </c>
      <c r="E333" s="3" t="s">
        <v>39</v>
      </c>
      <c r="F333" s="3" t="s">
        <v>22</v>
      </c>
      <c r="G333" s="3" t="s">
        <v>23</v>
      </c>
      <c r="H333" s="3" t="s">
        <v>24</v>
      </c>
      <c r="I333" s="3" t="s">
        <v>18</v>
      </c>
      <c r="J333" s="3" t="s">
        <v>54</v>
      </c>
      <c r="K333" s="3" t="s">
        <v>27</v>
      </c>
      <c r="L333" s="3">
        <v>9</v>
      </c>
      <c r="M333" s="3">
        <v>2454.59</v>
      </c>
      <c r="N333" s="3">
        <v>5</v>
      </c>
      <c r="O333" s="3">
        <f t="shared" si="15"/>
        <v>20986.744500000001</v>
      </c>
      <c r="P333" s="3" t="str">
        <f t="shared" si="16"/>
        <v>High Price</v>
      </c>
      <c r="Q333" s="3" t="str" cm="1">
        <f t="array" ref="Q333">_xlfn.IFS(N333&gt;=10,"High",N333&gt;=5,"Medium",N333&lt;5,"Low")</f>
        <v>Medium</v>
      </c>
      <c r="R333" s="3" t="str">
        <f t="shared" si="17"/>
        <v>High</v>
      </c>
    </row>
    <row r="334" spans="1:18" x14ac:dyDescent="0.25">
      <c r="A334" s="3">
        <v>10431</v>
      </c>
      <c r="B334" s="3">
        <v>1687</v>
      </c>
      <c r="C334" s="4">
        <v>45139</v>
      </c>
      <c r="D334" s="4">
        <v>45146</v>
      </c>
      <c r="E334" s="3" t="s">
        <v>45</v>
      </c>
      <c r="F334" s="3" t="s">
        <v>37</v>
      </c>
      <c r="G334" s="3" t="s">
        <v>29</v>
      </c>
      <c r="H334" s="3" t="s">
        <v>34</v>
      </c>
      <c r="I334" s="3" t="s">
        <v>48</v>
      </c>
      <c r="J334" s="3" t="s">
        <v>50</v>
      </c>
      <c r="K334" s="3" t="s">
        <v>27</v>
      </c>
      <c r="L334" s="3">
        <v>6</v>
      </c>
      <c r="M334" s="3">
        <v>2247.37</v>
      </c>
      <c r="N334" s="3">
        <v>15</v>
      </c>
      <c r="O334" s="3">
        <f t="shared" si="15"/>
        <v>11461.587</v>
      </c>
      <c r="P334" s="3" t="str">
        <f t="shared" si="16"/>
        <v>Low Price</v>
      </c>
      <c r="Q334" s="3" t="str" cm="1">
        <f t="array" ref="Q334">_xlfn.IFS(N334&gt;=10,"High",N334&gt;=5,"Medium",N334&lt;5,"Low")</f>
        <v>High</v>
      </c>
      <c r="R334" s="3" t="str">
        <f t="shared" si="17"/>
        <v>Medium</v>
      </c>
    </row>
    <row r="335" spans="1:18" x14ac:dyDescent="0.25">
      <c r="A335" s="3">
        <v>10434</v>
      </c>
      <c r="B335" s="3">
        <v>1882</v>
      </c>
      <c r="C335" s="4">
        <v>45057</v>
      </c>
      <c r="D335" s="4">
        <v>45062</v>
      </c>
      <c r="E335" s="3" t="s">
        <v>45</v>
      </c>
      <c r="F335" s="3" t="s">
        <v>53</v>
      </c>
      <c r="G335" s="3" t="s">
        <v>23</v>
      </c>
      <c r="H335" s="3" t="s">
        <v>24</v>
      </c>
      <c r="I335" s="3" t="s">
        <v>18</v>
      </c>
      <c r="J335" s="3" t="s">
        <v>19</v>
      </c>
      <c r="K335" s="3" t="s">
        <v>44</v>
      </c>
      <c r="L335" s="3">
        <v>8</v>
      </c>
      <c r="M335" s="3">
        <v>437.36</v>
      </c>
      <c r="N335" s="3">
        <v>20</v>
      </c>
      <c r="O335" s="3">
        <f t="shared" si="15"/>
        <v>2799.1040000000003</v>
      </c>
      <c r="P335" s="3" t="str">
        <f t="shared" si="16"/>
        <v>Low Price</v>
      </c>
      <c r="Q335" s="3" t="str" cm="1">
        <f t="array" ref="Q335">_xlfn.IFS(N335&gt;=10,"High",N335&gt;=5,"Medium",N335&lt;5,"Low")</f>
        <v>High</v>
      </c>
      <c r="R335" s="3" t="str">
        <f t="shared" si="17"/>
        <v>Medium</v>
      </c>
    </row>
    <row r="336" spans="1:18" x14ac:dyDescent="0.25">
      <c r="A336" s="3">
        <v>10435</v>
      </c>
      <c r="B336" s="3">
        <v>1469</v>
      </c>
      <c r="C336" s="4">
        <v>45002</v>
      </c>
      <c r="D336" s="4">
        <v>45009</v>
      </c>
      <c r="E336" s="3" t="s">
        <v>14</v>
      </c>
      <c r="F336" s="3" t="s">
        <v>28</v>
      </c>
      <c r="G336" s="3" t="s">
        <v>23</v>
      </c>
      <c r="H336" s="3" t="s">
        <v>43</v>
      </c>
      <c r="I336" s="3" t="s">
        <v>51</v>
      </c>
      <c r="J336" s="3" t="s">
        <v>55</v>
      </c>
      <c r="K336" s="3" t="s">
        <v>20</v>
      </c>
      <c r="L336" s="3">
        <v>3</v>
      </c>
      <c r="M336" s="3">
        <v>3644.78</v>
      </c>
      <c r="N336" s="3">
        <v>0</v>
      </c>
      <c r="O336" s="3">
        <f t="shared" si="15"/>
        <v>10934.34</v>
      </c>
      <c r="P336" s="3" t="str">
        <f t="shared" si="16"/>
        <v>Low Price</v>
      </c>
      <c r="Q336" s="3" t="str" cm="1">
        <f t="array" ref="Q336">_xlfn.IFS(N336&gt;=10,"High",N336&gt;=5,"Medium",N336&lt;5,"Low")</f>
        <v>Low</v>
      </c>
      <c r="R336" s="3" t="str">
        <f t="shared" si="17"/>
        <v>Low</v>
      </c>
    </row>
    <row r="337" spans="1:18" x14ac:dyDescent="0.25">
      <c r="A337" s="3">
        <v>10436</v>
      </c>
      <c r="B337" s="3">
        <v>1374</v>
      </c>
      <c r="C337" s="4">
        <v>45212</v>
      </c>
      <c r="D337" s="4">
        <v>45213</v>
      </c>
      <c r="E337" s="3" t="s">
        <v>14</v>
      </c>
      <c r="F337" s="3" t="s">
        <v>22</v>
      </c>
      <c r="G337" s="3" t="s">
        <v>29</v>
      </c>
      <c r="H337" s="3" t="s">
        <v>17</v>
      </c>
      <c r="I337" s="3" t="s">
        <v>51</v>
      </c>
      <c r="J337" s="3" t="s">
        <v>59</v>
      </c>
      <c r="K337" s="3" t="s">
        <v>20</v>
      </c>
      <c r="L337" s="3">
        <v>3</v>
      </c>
      <c r="M337" s="3">
        <v>3986.78</v>
      </c>
      <c r="N337" s="3">
        <v>20</v>
      </c>
      <c r="O337" s="3">
        <f t="shared" si="15"/>
        <v>9568.2720000000008</v>
      </c>
      <c r="P337" s="3" t="str">
        <f t="shared" si="16"/>
        <v>Low Price</v>
      </c>
      <c r="Q337" s="3" t="str" cm="1">
        <f t="array" ref="Q337">_xlfn.IFS(N337&gt;=10,"High",N337&gt;=5,"Medium",N337&lt;5,"Low")</f>
        <v>High</v>
      </c>
      <c r="R337" s="3" t="str">
        <f t="shared" si="17"/>
        <v>Low</v>
      </c>
    </row>
    <row r="338" spans="1:18" x14ac:dyDescent="0.25">
      <c r="A338" s="3">
        <v>10438</v>
      </c>
      <c r="B338" s="3">
        <v>1749</v>
      </c>
      <c r="C338" s="4">
        <v>45082</v>
      </c>
      <c r="D338" s="4">
        <v>45091</v>
      </c>
      <c r="E338" s="3" t="s">
        <v>45</v>
      </c>
      <c r="F338" s="3" t="s">
        <v>22</v>
      </c>
      <c r="G338" s="3" t="s">
        <v>29</v>
      </c>
      <c r="H338" s="3" t="s">
        <v>17</v>
      </c>
      <c r="I338" s="3" t="s">
        <v>25</v>
      </c>
      <c r="J338" s="3" t="s">
        <v>60</v>
      </c>
      <c r="K338" s="3" t="s">
        <v>46</v>
      </c>
      <c r="L338" s="3">
        <v>5</v>
      </c>
      <c r="M338" s="3">
        <v>3116.22</v>
      </c>
      <c r="N338" s="3">
        <v>10</v>
      </c>
      <c r="O338" s="3">
        <f t="shared" si="15"/>
        <v>14022.99</v>
      </c>
      <c r="P338" s="3" t="str">
        <f t="shared" si="16"/>
        <v>Low Price</v>
      </c>
      <c r="Q338" s="3" t="str" cm="1">
        <f t="array" ref="Q338">_xlfn.IFS(N338&gt;=10,"High",N338&gt;=5,"Medium",N338&lt;5,"Low")</f>
        <v>High</v>
      </c>
      <c r="R338" s="3" t="str">
        <f t="shared" si="17"/>
        <v>Medium</v>
      </c>
    </row>
    <row r="339" spans="1:18" x14ac:dyDescent="0.25">
      <c r="A339" s="3">
        <v>10439</v>
      </c>
      <c r="B339" s="3">
        <v>1669</v>
      </c>
      <c r="C339" s="4">
        <v>45174</v>
      </c>
      <c r="D339" s="4">
        <v>45179</v>
      </c>
      <c r="E339" s="3" t="s">
        <v>33</v>
      </c>
      <c r="F339" s="3" t="s">
        <v>28</v>
      </c>
      <c r="G339" s="3" t="s">
        <v>23</v>
      </c>
      <c r="H339" s="3" t="s">
        <v>34</v>
      </c>
      <c r="I339" s="3" t="s">
        <v>48</v>
      </c>
      <c r="J339" s="3" t="s">
        <v>50</v>
      </c>
      <c r="K339" s="3" t="s">
        <v>27</v>
      </c>
      <c r="L339" s="3">
        <v>3</v>
      </c>
      <c r="M339" s="3">
        <v>1448.62</v>
      </c>
      <c r="N339" s="3">
        <v>10</v>
      </c>
      <c r="O339" s="3">
        <f t="shared" si="15"/>
        <v>3911.2739999999999</v>
      </c>
      <c r="P339" s="3" t="str">
        <f t="shared" si="16"/>
        <v>Low Price</v>
      </c>
      <c r="Q339" s="3" t="str" cm="1">
        <f t="array" ref="Q339">_xlfn.IFS(N339&gt;=10,"High",N339&gt;=5,"Medium",N339&lt;5,"Low")</f>
        <v>High</v>
      </c>
      <c r="R339" s="3" t="str">
        <f t="shared" si="17"/>
        <v>Low</v>
      </c>
    </row>
    <row r="340" spans="1:18" x14ac:dyDescent="0.25">
      <c r="A340" s="3">
        <v>10440</v>
      </c>
      <c r="B340" s="3">
        <v>1037</v>
      </c>
      <c r="C340" s="4">
        <v>45144</v>
      </c>
      <c r="D340" s="4">
        <v>45149</v>
      </c>
      <c r="E340" s="3" t="s">
        <v>36</v>
      </c>
      <c r="F340" s="3" t="s">
        <v>53</v>
      </c>
      <c r="G340" s="3" t="s">
        <v>16</v>
      </c>
      <c r="H340" s="3" t="s">
        <v>41</v>
      </c>
      <c r="I340" s="3" t="s">
        <v>48</v>
      </c>
      <c r="J340" s="3" t="s">
        <v>49</v>
      </c>
      <c r="K340" s="3" t="s">
        <v>32</v>
      </c>
      <c r="L340" s="3">
        <v>1</v>
      </c>
      <c r="M340" s="3">
        <v>3775.07</v>
      </c>
      <c r="N340" s="3">
        <v>10</v>
      </c>
      <c r="O340" s="3">
        <f t="shared" si="15"/>
        <v>3397.5630000000001</v>
      </c>
      <c r="P340" s="3" t="str">
        <f t="shared" si="16"/>
        <v>Low Price</v>
      </c>
      <c r="Q340" s="3" t="str" cm="1">
        <f t="array" ref="Q340">_xlfn.IFS(N340&gt;=10,"High",N340&gt;=5,"Medium",N340&lt;5,"Low")</f>
        <v>High</v>
      </c>
      <c r="R340" s="3" t="str">
        <f t="shared" si="17"/>
        <v>Low</v>
      </c>
    </row>
    <row r="341" spans="1:18" x14ac:dyDescent="0.25">
      <c r="A341" s="3">
        <v>10441</v>
      </c>
      <c r="B341" s="3">
        <v>1229</v>
      </c>
      <c r="C341" s="4">
        <v>45116</v>
      </c>
      <c r="D341" s="4">
        <v>45119</v>
      </c>
      <c r="E341" s="3" t="s">
        <v>15</v>
      </c>
      <c r="F341" s="3" t="s">
        <v>22</v>
      </c>
      <c r="G341" s="3" t="s">
        <v>16</v>
      </c>
      <c r="H341" s="3" t="s">
        <v>41</v>
      </c>
      <c r="I341" s="3" t="s">
        <v>30</v>
      </c>
      <c r="J341" s="3" t="s">
        <v>64</v>
      </c>
      <c r="K341" s="3" t="s">
        <v>44</v>
      </c>
      <c r="L341" s="3">
        <v>3</v>
      </c>
      <c r="M341" s="3">
        <v>2189.4</v>
      </c>
      <c r="N341" s="3">
        <v>20</v>
      </c>
      <c r="O341" s="3">
        <f t="shared" si="15"/>
        <v>5254.5600000000013</v>
      </c>
      <c r="P341" s="3" t="str">
        <f t="shared" si="16"/>
        <v>Low Price</v>
      </c>
      <c r="Q341" s="3" t="str" cm="1">
        <f t="array" ref="Q341">_xlfn.IFS(N341&gt;=10,"High",N341&gt;=5,"Medium",N341&lt;5,"Low")</f>
        <v>High</v>
      </c>
      <c r="R341" s="3" t="str">
        <f t="shared" si="17"/>
        <v>Low</v>
      </c>
    </row>
    <row r="342" spans="1:18" x14ac:dyDescent="0.25">
      <c r="A342" s="3">
        <v>10442</v>
      </c>
      <c r="B342" s="3">
        <v>1364</v>
      </c>
      <c r="C342" s="4">
        <v>45089</v>
      </c>
      <c r="D342" s="4">
        <v>45094</v>
      </c>
      <c r="E342" s="3" t="s">
        <v>14</v>
      </c>
      <c r="F342" s="3" t="s">
        <v>22</v>
      </c>
      <c r="G342" s="3" t="s">
        <v>23</v>
      </c>
      <c r="H342" s="3" t="s">
        <v>34</v>
      </c>
      <c r="I342" s="3" t="s">
        <v>56</v>
      </c>
      <c r="J342" s="3" t="s">
        <v>57</v>
      </c>
      <c r="K342" s="3" t="s">
        <v>44</v>
      </c>
      <c r="L342" s="3">
        <v>9</v>
      </c>
      <c r="M342" s="3">
        <v>2969.7</v>
      </c>
      <c r="N342" s="3">
        <v>10</v>
      </c>
      <c r="O342" s="3">
        <f t="shared" si="15"/>
        <v>24054.57</v>
      </c>
      <c r="P342" s="3" t="str">
        <f t="shared" si="16"/>
        <v>High Price</v>
      </c>
      <c r="Q342" s="3" t="str" cm="1">
        <f t="array" ref="Q342">_xlfn.IFS(N342&gt;=10,"High",N342&gt;=5,"Medium",N342&lt;5,"Low")</f>
        <v>High</v>
      </c>
      <c r="R342" s="3" t="str">
        <f t="shared" si="17"/>
        <v>High</v>
      </c>
    </row>
    <row r="343" spans="1:18" x14ac:dyDescent="0.25">
      <c r="A343" s="3">
        <v>10444</v>
      </c>
      <c r="B343" s="3">
        <v>1437</v>
      </c>
      <c r="C343" s="4">
        <v>44960</v>
      </c>
      <c r="D343" s="4">
        <v>44969</v>
      </c>
      <c r="E343" s="3" t="s">
        <v>39</v>
      </c>
      <c r="F343" s="3" t="s">
        <v>37</v>
      </c>
      <c r="G343" s="3" t="s">
        <v>29</v>
      </c>
      <c r="H343" s="3" t="s">
        <v>17</v>
      </c>
      <c r="I343" s="3" t="s">
        <v>30</v>
      </c>
      <c r="J343" s="3" t="s">
        <v>31</v>
      </c>
      <c r="K343" s="3" t="s">
        <v>20</v>
      </c>
      <c r="L343" s="3">
        <v>2</v>
      </c>
      <c r="M343" s="3">
        <v>3904.44</v>
      </c>
      <c r="N343" s="3">
        <v>10</v>
      </c>
      <c r="O343" s="3">
        <f t="shared" si="15"/>
        <v>7027.9920000000002</v>
      </c>
      <c r="P343" s="3" t="str">
        <f t="shared" si="16"/>
        <v>Low Price</v>
      </c>
      <c r="Q343" s="3" t="str" cm="1">
        <f t="array" ref="Q343">_xlfn.IFS(N343&gt;=10,"High",N343&gt;=5,"Medium",N343&lt;5,"Low")</f>
        <v>High</v>
      </c>
      <c r="R343" s="3" t="str">
        <f t="shared" si="17"/>
        <v>Low</v>
      </c>
    </row>
    <row r="344" spans="1:18" x14ac:dyDescent="0.25">
      <c r="A344" s="3">
        <v>10447</v>
      </c>
      <c r="B344" s="3">
        <v>1026</v>
      </c>
      <c r="C344" s="4">
        <v>45264</v>
      </c>
      <c r="D344" s="4">
        <v>45265</v>
      </c>
      <c r="E344" s="3" t="s">
        <v>33</v>
      </c>
      <c r="F344" s="3" t="s">
        <v>37</v>
      </c>
      <c r="G344" s="3" t="s">
        <v>16</v>
      </c>
      <c r="H344" s="3" t="s">
        <v>34</v>
      </c>
      <c r="I344" s="3" t="s">
        <v>25</v>
      </c>
      <c r="J344" s="3" t="s">
        <v>68</v>
      </c>
      <c r="K344" s="3" t="s">
        <v>27</v>
      </c>
      <c r="L344" s="3">
        <v>4</v>
      </c>
      <c r="M344" s="3">
        <v>3871.21</v>
      </c>
      <c r="N344" s="3">
        <v>10</v>
      </c>
      <c r="O344" s="3">
        <f t="shared" si="15"/>
        <v>13936.356</v>
      </c>
      <c r="P344" s="3" t="str">
        <f t="shared" si="16"/>
        <v>Low Price</v>
      </c>
      <c r="Q344" s="3" t="str" cm="1">
        <f t="array" ref="Q344">_xlfn.IFS(N344&gt;=10,"High",N344&gt;=5,"Medium",N344&lt;5,"Low")</f>
        <v>High</v>
      </c>
      <c r="R344" s="3" t="str">
        <f t="shared" si="17"/>
        <v>Low</v>
      </c>
    </row>
    <row r="345" spans="1:18" x14ac:dyDescent="0.25">
      <c r="A345" s="3">
        <v>10448</v>
      </c>
      <c r="B345" s="3">
        <v>1225</v>
      </c>
      <c r="C345" s="4">
        <v>45240</v>
      </c>
      <c r="D345" s="4">
        <v>45247</v>
      </c>
      <c r="E345" s="3" t="s">
        <v>39</v>
      </c>
      <c r="F345" s="3" t="s">
        <v>37</v>
      </c>
      <c r="G345" s="3" t="s">
        <v>29</v>
      </c>
      <c r="H345" s="3" t="s">
        <v>17</v>
      </c>
      <c r="I345" s="3" t="s">
        <v>18</v>
      </c>
      <c r="J345" s="3" t="s">
        <v>19</v>
      </c>
      <c r="K345" s="3" t="s">
        <v>32</v>
      </c>
      <c r="L345" s="3">
        <v>7</v>
      </c>
      <c r="M345" s="3">
        <v>2568.2600000000002</v>
      </c>
      <c r="N345" s="3">
        <v>10</v>
      </c>
      <c r="O345" s="3">
        <f t="shared" si="15"/>
        <v>16180.038</v>
      </c>
      <c r="P345" s="3" t="str">
        <f t="shared" si="16"/>
        <v>High Price</v>
      </c>
      <c r="Q345" s="3" t="str" cm="1">
        <f t="array" ref="Q345">_xlfn.IFS(N345&gt;=10,"High",N345&gt;=5,"Medium",N345&lt;5,"Low")</f>
        <v>High</v>
      </c>
      <c r="R345" s="3" t="str">
        <f t="shared" si="17"/>
        <v>Medium</v>
      </c>
    </row>
    <row r="346" spans="1:18" x14ac:dyDescent="0.25">
      <c r="A346" s="3">
        <v>10452</v>
      </c>
      <c r="B346" s="3">
        <v>1283</v>
      </c>
      <c r="C346" s="4">
        <v>45076</v>
      </c>
      <c r="D346" s="4">
        <v>45082</v>
      </c>
      <c r="E346" s="3" t="s">
        <v>45</v>
      </c>
      <c r="F346" s="3" t="s">
        <v>22</v>
      </c>
      <c r="G346" s="3" t="s">
        <v>23</v>
      </c>
      <c r="H346" s="3" t="s">
        <v>41</v>
      </c>
      <c r="I346" s="3" t="s">
        <v>48</v>
      </c>
      <c r="J346" s="3" t="s">
        <v>67</v>
      </c>
      <c r="K346" s="3" t="s">
        <v>27</v>
      </c>
      <c r="L346" s="3">
        <v>1</v>
      </c>
      <c r="M346" s="3">
        <v>1574.59</v>
      </c>
      <c r="N346" s="3">
        <v>5</v>
      </c>
      <c r="O346" s="3">
        <f t="shared" si="15"/>
        <v>1495.8604999999998</v>
      </c>
      <c r="P346" s="3" t="str">
        <f t="shared" si="16"/>
        <v>Low Price</v>
      </c>
      <c r="Q346" s="3" t="str" cm="1">
        <f t="array" ref="Q346">_xlfn.IFS(N346&gt;=10,"High",N346&gt;=5,"Medium",N346&lt;5,"Low")</f>
        <v>Medium</v>
      </c>
      <c r="R346" s="3" t="str">
        <f t="shared" si="17"/>
        <v>Low</v>
      </c>
    </row>
    <row r="347" spans="1:18" x14ac:dyDescent="0.25">
      <c r="A347" s="3">
        <v>10454</v>
      </c>
      <c r="B347" s="3">
        <v>1959</v>
      </c>
      <c r="C347" s="4">
        <v>45251</v>
      </c>
      <c r="D347" s="4">
        <v>45255</v>
      </c>
      <c r="E347" s="3" t="s">
        <v>33</v>
      </c>
      <c r="F347" s="3" t="s">
        <v>40</v>
      </c>
      <c r="G347" s="3" t="s">
        <v>16</v>
      </c>
      <c r="H347" s="3" t="s">
        <v>24</v>
      </c>
      <c r="I347" s="3" t="s">
        <v>56</v>
      </c>
      <c r="J347" s="3" t="s">
        <v>57</v>
      </c>
      <c r="K347" s="3" t="s">
        <v>27</v>
      </c>
      <c r="L347" s="3">
        <v>9</v>
      </c>
      <c r="M347" s="3">
        <v>3191.56</v>
      </c>
      <c r="N347" s="3">
        <v>20</v>
      </c>
      <c r="O347" s="3">
        <f t="shared" si="15"/>
        <v>22979.232000000004</v>
      </c>
      <c r="P347" s="3" t="str">
        <f t="shared" si="16"/>
        <v>High Price</v>
      </c>
      <c r="Q347" s="3" t="str" cm="1">
        <f t="array" ref="Q347">_xlfn.IFS(N347&gt;=10,"High",N347&gt;=5,"Medium",N347&lt;5,"Low")</f>
        <v>High</v>
      </c>
      <c r="R347" s="3" t="str">
        <f t="shared" si="17"/>
        <v>High</v>
      </c>
    </row>
    <row r="348" spans="1:18" x14ac:dyDescent="0.25">
      <c r="A348" s="3">
        <v>10455</v>
      </c>
      <c r="B348" s="3">
        <v>1480</v>
      </c>
      <c r="C348" s="4">
        <v>45034</v>
      </c>
      <c r="D348" s="4">
        <v>45036</v>
      </c>
      <c r="E348" s="3" t="s">
        <v>14</v>
      </c>
      <c r="F348" s="3" t="s">
        <v>28</v>
      </c>
      <c r="G348" s="3" t="s">
        <v>16</v>
      </c>
      <c r="H348" s="3" t="s">
        <v>17</v>
      </c>
      <c r="I348" s="3" t="s">
        <v>51</v>
      </c>
      <c r="J348" s="3" t="s">
        <v>63</v>
      </c>
      <c r="K348" s="3" t="s">
        <v>44</v>
      </c>
      <c r="L348" s="3">
        <v>2</v>
      </c>
      <c r="M348" s="3">
        <v>1374.23</v>
      </c>
      <c r="N348" s="3">
        <v>0</v>
      </c>
      <c r="O348" s="3">
        <f t="shared" si="15"/>
        <v>2748.46</v>
      </c>
      <c r="P348" s="3" t="str">
        <f t="shared" si="16"/>
        <v>Low Price</v>
      </c>
      <c r="Q348" s="3" t="str" cm="1">
        <f t="array" ref="Q348">_xlfn.IFS(N348&gt;=10,"High",N348&gt;=5,"Medium",N348&lt;5,"Low")</f>
        <v>Low</v>
      </c>
      <c r="R348" s="3" t="str">
        <f t="shared" si="17"/>
        <v>Low</v>
      </c>
    </row>
    <row r="349" spans="1:18" x14ac:dyDescent="0.25">
      <c r="A349" s="3">
        <v>10457</v>
      </c>
      <c r="B349" s="3">
        <v>1828</v>
      </c>
      <c r="C349" s="4">
        <v>45276</v>
      </c>
      <c r="D349" s="4">
        <v>45280</v>
      </c>
      <c r="E349" s="3" t="s">
        <v>45</v>
      </c>
      <c r="F349" s="3" t="s">
        <v>28</v>
      </c>
      <c r="G349" s="3" t="s">
        <v>23</v>
      </c>
      <c r="H349" s="3" t="s">
        <v>43</v>
      </c>
      <c r="I349" s="3" t="s">
        <v>25</v>
      </c>
      <c r="J349" s="3" t="s">
        <v>26</v>
      </c>
      <c r="K349" s="3" t="s">
        <v>27</v>
      </c>
      <c r="L349" s="3">
        <v>5</v>
      </c>
      <c r="M349" s="3">
        <v>1480.66</v>
      </c>
      <c r="N349" s="3">
        <v>0</v>
      </c>
      <c r="O349" s="3">
        <f t="shared" si="15"/>
        <v>7403.3</v>
      </c>
      <c r="P349" s="3" t="str">
        <f t="shared" si="16"/>
        <v>Low Price</v>
      </c>
      <c r="Q349" s="3" t="str" cm="1">
        <f t="array" ref="Q349">_xlfn.IFS(N349&gt;=10,"High",N349&gt;=5,"Medium",N349&lt;5,"Low")</f>
        <v>Low</v>
      </c>
      <c r="R349" s="3" t="str">
        <f t="shared" si="17"/>
        <v>Medium</v>
      </c>
    </row>
    <row r="350" spans="1:18" x14ac:dyDescent="0.25">
      <c r="A350" s="3">
        <v>10460</v>
      </c>
      <c r="B350" s="3">
        <v>1515</v>
      </c>
      <c r="C350" s="4">
        <v>45215</v>
      </c>
      <c r="D350" s="4">
        <v>45221</v>
      </c>
      <c r="E350" s="3" t="s">
        <v>21</v>
      </c>
      <c r="F350" s="3" t="s">
        <v>28</v>
      </c>
      <c r="G350" s="3" t="s">
        <v>23</v>
      </c>
      <c r="H350" s="3" t="s">
        <v>24</v>
      </c>
      <c r="I350" s="3" t="s">
        <v>48</v>
      </c>
      <c r="J350" s="3" t="s">
        <v>49</v>
      </c>
      <c r="K350" s="3" t="s">
        <v>20</v>
      </c>
      <c r="L350" s="3">
        <v>1</v>
      </c>
      <c r="M350" s="3">
        <v>445.38</v>
      </c>
      <c r="N350" s="3">
        <v>10</v>
      </c>
      <c r="O350" s="3">
        <f t="shared" si="15"/>
        <v>400.84199999999998</v>
      </c>
      <c r="P350" s="3" t="str">
        <f t="shared" si="16"/>
        <v>Low Price</v>
      </c>
      <c r="Q350" s="3" t="str" cm="1">
        <f t="array" ref="Q350">_xlfn.IFS(N350&gt;=10,"High",N350&gt;=5,"Medium",N350&lt;5,"Low")</f>
        <v>High</v>
      </c>
      <c r="R350" s="3" t="str">
        <f t="shared" si="17"/>
        <v>Low</v>
      </c>
    </row>
    <row r="351" spans="1:18" x14ac:dyDescent="0.25">
      <c r="A351" s="3">
        <v>10463</v>
      </c>
      <c r="B351" s="3">
        <v>1048</v>
      </c>
      <c r="C351" s="4">
        <v>44992</v>
      </c>
      <c r="D351" s="4">
        <v>45000</v>
      </c>
      <c r="E351" s="3" t="s">
        <v>21</v>
      </c>
      <c r="F351" s="3" t="s">
        <v>15</v>
      </c>
      <c r="G351" s="3" t="s">
        <v>23</v>
      </c>
      <c r="H351" s="3" t="s">
        <v>34</v>
      </c>
      <c r="I351" s="3" t="s">
        <v>25</v>
      </c>
      <c r="J351" s="3" t="s">
        <v>35</v>
      </c>
      <c r="K351" s="3" t="s">
        <v>46</v>
      </c>
      <c r="L351" s="3">
        <v>5</v>
      </c>
      <c r="M351" s="3">
        <v>2072.3200000000002</v>
      </c>
      <c r="N351" s="3">
        <v>15</v>
      </c>
      <c r="O351" s="3">
        <f t="shared" si="15"/>
        <v>8807.36</v>
      </c>
      <c r="P351" s="3" t="str">
        <f t="shared" si="16"/>
        <v>Low Price</v>
      </c>
      <c r="Q351" s="3" t="str" cm="1">
        <f t="array" ref="Q351">_xlfn.IFS(N351&gt;=10,"High",N351&gt;=5,"Medium",N351&lt;5,"Low")</f>
        <v>High</v>
      </c>
      <c r="R351" s="3" t="str">
        <f t="shared" si="17"/>
        <v>Medium</v>
      </c>
    </row>
    <row r="352" spans="1:18" x14ac:dyDescent="0.25">
      <c r="A352" s="3">
        <v>10464</v>
      </c>
      <c r="B352" s="3">
        <v>1511</v>
      </c>
      <c r="C352" s="4">
        <v>45174</v>
      </c>
      <c r="D352" s="4">
        <v>45176</v>
      </c>
      <c r="E352" s="3" t="s">
        <v>45</v>
      </c>
      <c r="F352" s="3" t="s">
        <v>22</v>
      </c>
      <c r="G352" s="3" t="s">
        <v>29</v>
      </c>
      <c r="H352" s="3" t="s">
        <v>41</v>
      </c>
      <c r="I352" s="3" t="s">
        <v>30</v>
      </c>
      <c r="J352" s="3" t="s">
        <v>64</v>
      </c>
      <c r="K352" s="3" t="s">
        <v>46</v>
      </c>
      <c r="L352" s="3">
        <v>1</v>
      </c>
      <c r="M352" s="3">
        <v>559.4</v>
      </c>
      <c r="N352" s="3">
        <v>20</v>
      </c>
      <c r="O352" s="3">
        <f t="shared" si="15"/>
        <v>447.52</v>
      </c>
      <c r="P352" s="3" t="str">
        <f t="shared" si="16"/>
        <v>Low Price</v>
      </c>
      <c r="Q352" s="3" t="str" cm="1">
        <f t="array" ref="Q352">_xlfn.IFS(N352&gt;=10,"High",N352&gt;=5,"Medium",N352&lt;5,"Low")</f>
        <v>High</v>
      </c>
      <c r="R352" s="3" t="str">
        <f t="shared" si="17"/>
        <v>Low</v>
      </c>
    </row>
    <row r="353" spans="1:18" x14ac:dyDescent="0.25">
      <c r="A353" s="3">
        <v>10465</v>
      </c>
      <c r="B353" s="3">
        <v>1016</v>
      </c>
      <c r="C353" s="4">
        <v>45082</v>
      </c>
      <c r="D353" s="4">
        <v>45089</v>
      </c>
      <c r="E353" s="3" t="s">
        <v>36</v>
      </c>
      <c r="F353" s="3" t="s">
        <v>22</v>
      </c>
      <c r="G353" s="3" t="s">
        <v>29</v>
      </c>
      <c r="H353" s="3" t="s">
        <v>43</v>
      </c>
      <c r="I353" s="3" t="s">
        <v>18</v>
      </c>
      <c r="J353" s="3" t="s">
        <v>42</v>
      </c>
      <c r="K353" s="3" t="s">
        <v>32</v>
      </c>
      <c r="L353" s="3">
        <v>4</v>
      </c>
      <c r="M353" s="3">
        <v>589.44000000000005</v>
      </c>
      <c r="N353" s="3">
        <v>20</v>
      </c>
      <c r="O353" s="3">
        <f t="shared" si="15"/>
        <v>1886.2080000000003</v>
      </c>
      <c r="P353" s="3" t="str">
        <f t="shared" si="16"/>
        <v>Low Price</v>
      </c>
      <c r="Q353" s="3" t="str" cm="1">
        <f t="array" ref="Q353">_xlfn.IFS(N353&gt;=10,"High",N353&gt;=5,"Medium",N353&lt;5,"Low")</f>
        <v>High</v>
      </c>
      <c r="R353" s="3" t="str">
        <f t="shared" si="17"/>
        <v>Low</v>
      </c>
    </row>
    <row r="354" spans="1:18" x14ac:dyDescent="0.25">
      <c r="A354" s="3">
        <v>10466</v>
      </c>
      <c r="B354" s="3">
        <v>1171</v>
      </c>
      <c r="C354" s="4">
        <v>44973</v>
      </c>
      <c r="D354" s="4">
        <v>44975</v>
      </c>
      <c r="E354" s="3" t="s">
        <v>15</v>
      </c>
      <c r="F354" s="3" t="s">
        <v>40</v>
      </c>
      <c r="G354" s="3" t="s">
        <v>29</v>
      </c>
      <c r="H354" s="3" t="s">
        <v>34</v>
      </c>
      <c r="I354" s="3" t="s">
        <v>18</v>
      </c>
      <c r="J354" s="3" t="s">
        <v>42</v>
      </c>
      <c r="K354" s="3" t="s">
        <v>27</v>
      </c>
      <c r="L354" s="3">
        <v>6</v>
      </c>
      <c r="M354" s="3">
        <v>3773.04</v>
      </c>
      <c r="N354" s="3">
        <v>0</v>
      </c>
      <c r="O354" s="3">
        <f t="shared" si="15"/>
        <v>22638.239999999998</v>
      </c>
      <c r="P354" s="3" t="str">
        <f t="shared" si="16"/>
        <v>High Price</v>
      </c>
      <c r="Q354" s="3" t="str" cm="1">
        <f t="array" ref="Q354">_xlfn.IFS(N354&gt;=10,"High",N354&gt;=5,"Medium",N354&lt;5,"Low")</f>
        <v>Low</v>
      </c>
      <c r="R354" s="3" t="str">
        <f t="shared" si="17"/>
        <v>Medium</v>
      </c>
    </row>
    <row r="355" spans="1:18" x14ac:dyDescent="0.25">
      <c r="A355" s="3">
        <v>10468</v>
      </c>
      <c r="B355" s="3">
        <v>1157</v>
      </c>
      <c r="C355" s="4">
        <v>45074</v>
      </c>
      <c r="D355" s="4">
        <v>45082</v>
      </c>
      <c r="E355" s="3" t="s">
        <v>21</v>
      </c>
      <c r="F355" s="3" t="s">
        <v>15</v>
      </c>
      <c r="G355" s="3" t="s">
        <v>16</v>
      </c>
      <c r="H355" s="3" t="s">
        <v>17</v>
      </c>
      <c r="I355" s="3" t="s">
        <v>56</v>
      </c>
      <c r="J355" s="3" t="s">
        <v>58</v>
      </c>
      <c r="K355" s="3" t="s">
        <v>44</v>
      </c>
      <c r="L355" s="3">
        <v>9</v>
      </c>
      <c r="M355" s="3">
        <v>1890.53</v>
      </c>
      <c r="N355" s="3">
        <v>15</v>
      </c>
      <c r="O355" s="3">
        <f t="shared" si="15"/>
        <v>14462.5545</v>
      </c>
      <c r="P355" s="3" t="str">
        <f t="shared" si="16"/>
        <v>Low Price</v>
      </c>
      <c r="Q355" s="3" t="str" cm="1">
        <f t="array" ref="Q355">_xlfn.IFS(N355&gt;=10,"High",N355&gt;=5,"Medium",N355&lt;5,"Low")</f>
        <v>High</v>
      </c>
      <c r="R355" s="3" t="str">
        <f t="shared" si="17"/>
        <v>High</v>
      </c>
    </row>
    <row r="356" spans="1:18" x14ac:dyDescent="0.25">
      <c r="A356" s="3">
        <v>10470</v>
      </c>
      <c r="B356" s="3">
        <v>1045</v>
      </c>
      <c r="C356" s="4">
        <v>44927</v>
      </c>
      <c r="D356" s="4">
        <v>44936</v>
      </c>
      <c r="E356" s="3" t="s">
        <v>33</v>
      </c>
      <c r="F356" s="3" t="s">
        <v>28</v>
      </c>
      <c r="G356" s="3" t="s">
        <v>29</v>
      </c>
      <c r="H356" s="3" t="s">
        <v>17</v>
      </c>
      <c r="I356" s="3" t="s">
        <v>25</v>
      </c>
      <c r="J356" s="3" t="s">
        <v>35</v>
      </c>
      <c r="K356" s="3" t="s">
        <v>27</v>
      </c>
      <c r="L356" s="3">
        <v>8</v>
      </c>
      <c r="M356" s="3">
        <v>150.72</v>
      </c>
      <c r="N356" s="3">
        <v>5</v>
      </c>
      <c r="O356" s="3">
        <f t="shared" si="15"/>
        <v>1145.472</v>
      </c>
      <c r="P356" s="3" t="str">
        <f t="shared" si="16"/>
        <v>Low Price</v>
      </c>
      <c r="Q356" s="3" t="str" cm="1">
        <f t="array" ref="Q356">_xlfn.IFS(N356&gt;=10,"High",N356&gt;=5,"Medium",N356&lt;5,"Low")</f>
        <v>Medium</v>
      </c>
      <c r="R356" s="3" t="str">
        <f t="shared" si="17"/>
        <v>Medium</v>
      </c>
    </row>
    <row r="357" spans="1:18" x14ac:dyDescent="0.25">
      <c r="A357" s="3">
        <v>10472</v>
      </c>
      <c r="B357" s="3">
        <v>1517</v>
      </c>
      <c r="C357" s="4">
        <v>45269</v>
      </c>
      <c r="D357" s="4">
        <v>45278</v>
      </c>
      <c r="E357" s="3" t="s">
        <v>14</v>
      </c>
      <c r="F357" s="3" t="s">
        <v>53</v>
      </c>
      <c r="G357" s="3" t="s">
        <v>29</v>
      </c>
      <c r="H357" s="3" t="s">
        <v>34</v>
      </c>
      <c r="I357" s="3" t="s">
        <v>30</v>
      </c>
      <c r="J357" s="3" t="s">
        <v>47</v>
      </c>
      <c r="K357" s="3" t="s">
        <v>27</v>
      </c>
      <c r="L357" s="3">
        <v>5</v>
      </c>
      <c r="M357" s="3">
        <v>2523.25</v>
      </c>
      <c r="N357" s="3">
        <v>10</v>
      </c>
      <c r="O357" s="3">
        <f t="shared" si="15"/>
        <v>11354.625</v>
      </c>
      <c r="P357" s="3" t="str">
        <f t="shared" si="16"/>
        <v>Low Price</v>
      </c>
      <c r="Q357" s="3" t="str" cm="1">
        <f t="array" ref="Q357">_xlfn.IFS(N357&gt;=10,"High",N357&gt;=5,"Medium",N357&lt;5,"Low")</f>
        <v>High</v>
      </c>
      <c r="R357" s="3" t="str">
        <f t="shared" si="17"/>
        <v>Medium</v>
      </c>
    </row>
    <row r="358" spans="1:18" x14ac:dyDescent="0.25">
      <c r="A358" s="3">
        <v>10480</v>
      </c>
      <c r="B358" s="3">
        <v>1301</v>
      </c>
      <c r="C358" s="4">
        <v>45117</v>
      </c>
      <c r="D358" s="4">
        <v>45119</v>
      </c>
      <c r="E358" s="3" t="s">
        <v>15</v>
      </c>
      <c r="F358" s="3" t="s">
        <v>28</v>
      </c>
      <c r="G358" s="3" t="s">
        <v>16</v>
      </c>
      <c r="H358" s="3" t="s">
        <v>43</v>
      </c>
      <c r="I358" s="3" t="s">
        <v>25</v>
      </c>
      <c r="J358" s="3" t="s">
        <v>35</v>
      </c>
      <c r="K358" s="3" t="s">
        <v>46</v>
      </c>
      <c r="L358" s="3">
        <v>6</v>
      </c>
      <c r="M358" s="3">
        <v>845</v>
      </c>
      <c r="N358" s="3">
        <v>15</v>
      </c>
      <c r="O358" s="3">
        <f t="shared" si="15"/>
        <v>4309.5</v>
      </c>
      <c r="P358" s="3" t="str">
        <f t="shared" si="16"/>
        <v>Low Price</v>
      </c>
      <c r="Q358" s="3" t="str" cm="1">
        <f t="array" ref="Q358">_xlfn.IFS(N358&gt;=10,"High",N358&gt;=5,"Medium",N358&lt;5,"Low")</f>
        <v>High</v>
      </c>
      <c r="R358" s="3" t="str">
        <f t="shared" si="17"/>
        <v>Medium</v>
      </c>
    </row>
    <row r="359" spans="1:18" x14ac:dyDescent="0.25">
      <c r="A359" s="3">
        <v>10481</v>
      </c>
      <c r="B359" s="3">
        <v>1180</v>
      </c>
      <c r="C359" s="4">
        <v>44947</v>
      </c>
      <c r="D359" s="4">
        <v>44955</v>
      </c>
      <c r="E359" s="3" t="s">
        <v>33</v>
      </c>
      <c r="F359" s="3" t="s">
        <v>40</v>
      </c>
      <c r="G359" s="3" t="s">
        <v>16</v>
      </c>
      <c r="H359" s="3" t="s">
        <v>43</v>
      </c>
      <c r="I359" s="3" t="s">
        <v>48</v>
      </c>
      <c r="J359" s="3" t="s">
        <v>49</v>
      </c>
      <c r="K359" s="3" t="s">
        <v>46</v>
      </c>
      <c r="L359" s="3">
        <v>8</v>
      </c>
      <c r="M359" s="3">
        <v>1160.51</v>
      </c>
      <c r="N359" s="3">
        <v>0</v>
      </c>
      <c r="O359" s="3">
        <f t="shared" si="15"/>
        <v>9284.08</v>
      </c>
      <c r="P359" s="3" t="str">
        <f t="shared" si="16"/>
        <v>Low Price</v>
      </c>
      <c r="Q359" s="3" t="str" cm="1">
        <f t="array" ref="Q359">_xlfn.IFS(N359&gt;=10,"High",N359&gt;=5,"Medium",N359&lt;5,"Low")</f>
        <v>Low</v>
      </c>
      <c r="R359" s="3" t="str">
        <f t="shared" si="17"/>
        <v>Medium</v>
      </c>
    </row>
    <row r="360" spans="1:18" x14ac:dyDescent="0.25">
      <c r="A360" s="3">
        <v>10482</v>
      </c>
      <c r="B360" s="3">
        <v>1606</v>
      </c>
      <c r="C360" s="4">
        <v>45153</v>
      </c>
      <c r="D360" s="4">
        <v>45162</v>
      </c>
      <c r="E360" s="3" t="s">
        <v>33</v>
      </c>
      <c r="F360" s="3" t="s">
        <v>53</v>
      </c>
      <c r="G360" s="3" t="s">
        <v>23</v>
      </c>
      <c r="H360" s="3" t="s">
        <v>24</v>
      </c>
      <c r="I360" s="3" t="s">
        <v>56</v>
      </c>
      <c r="J360" s="3" t="s">
        <v>66</v>
      </c>
      <c r="K360" s="3" t="s">
        <v>32</v>
      </c>
      <c r="L360" s="3">
        <v>7</v>
      </c>
      <c r="M360" s="3">
        <v>2172.2399999999998</v>
      </c>
      <c r="N360" s="3">
        <v>20</v>
      </c>
      <c r="O360" s="3">
        <f t="shared" si="15"/>
        <v>12164.544</v>
      </c>
      <c r="P360" s="3" t="str">
        <f t="shared" si="16"/>
        <v>Low Price</v>
      </c>
      <c r="Q360" s="3" t="str" cm="1">
        <f t="array" ref="Q360">_xlfn.IFS(N360&gt;=10,"High",N360&gt;=5,"Medium",N360&lt;5,"Low")</f>
        <v>High</v>
      </c>
      <c r="R360" s="3" t="str">
        <f t="shared" si="17"/>
        <v>Medium</v>
      </c>
    </row>
    <row r="361" spans="1:18" x14ac:dyDescent="0.25">
      <c r="A361" s="3">
        <v>10485</v>
      </c>
      <c r="B361" s="3">
        <v>1992</v>
      </c>
      <c r="C361" s="4">
        <v>45228</v>
      </c>
      <c r="D361" s="4">
        <v>45237</v>
      </c>
      <c r="E361" s="3" t="s">
        <v>15</v>
      </c>
      <c r="F361" s="3" t="s">
        <v>15</v>
      </c>
      <c r="G361" s="3" t="s">
        <v>16</v>
      </c>
      <c r="H361" s="3" t="s">
        <v>41</v>
      </c>
      <c r="I361" s="3" t="s">
        <v>18</v>
      </c>
      <c r="J361" s="3" t="s">
        <v>42</v>
      </c>
      <c r="K361" s="3" t="s">
        <v>44</v>
      </c>
      <c r="L361" s="3">
        <v>2</v>
      </c>
      <c r="M361" s="3">
        <v>1294.8399999999999</v>
      </c>
      <c r="N361" s="3">
        <v>15</v>
      </c>
      <c r="O361" s="3">
        <f t="shared" si="15"/>
        <v>2201.2279999999996</v>
      </c>
      <c r="P361" s="3" t="str">
        <f t="shared" si="16"/>
        <v>Low Price</v>
      </c>
      <c r="Q361" s="3" t="str" cm="1">
        <f t="array" ref="Q361">_xlfn.IFS(N361&gt;=10,"High",N361&gt;=5,"Medium",N361&lt;5,"Low")</f>
        <v>High</v>
      </c>
      <c r="R361" s="3" t="str">
        <f t="shared" si="17"/>
        <v>Low</v>
      </c>
    </row>
    <row r="362" spans="1:18" x14ac:dyDescent="0.25">
      <c r="A362" s="3">
        <v>10486</v>
      </c>
      <c r="B362" s="3">
        <v>1115</v>
      </c>
      <c r="C362" s="4">
        <v>45068</v>
      </c>
      <c r="D362" s="4">
        <v>45077</v>
      </c>
      <c r="E362" s="3" t="s">
        <v>15</v>
      </c>
      <c r="F362" s="3" t="s">
        <v>40</v>
      </c>
      <c r="G362" s="3" t="s">
        <v>23</v>
      </c>
      <c r="H362" s="3" t="s">
        <v>41</v>
      </c>
      <c r="I362" s="3" t="s">
        <v>48</v>
      </c>
      <c r="J362" s="3" t="s">
        <v>62</v>
      </c>
      <c r="K362" s="3" t="s">
        <v>32</v>
      </c>
      <c r="L362" s="3">
        <v>9</v>
      </c>
      <c r="M362" s="3">
        <v>775.77</v>
      </c>
      <c r="N362" s="3">
        <v>0</v>
      </c>
      <c r="O362" s="3">
        <f t="shared" si="15"/>
        <v>6981.93</v>
      </c>
      <c r="P362" s="3" t="str">
        <f t="shared" si="16"/>
        <v>Low Price</v>
      </c>
      <c r="Q362" s="3" t="str" cm="1">
        <f t="array" ref="Q362">_xlfn.IFS(N362&gt;=10,"High",N362&gt;=5,"Medium",N362&lt;5,"Low")</f>
        <v>Low</v>
      </c>
      <c r="R362" s="3" t="str">
        <f t="shared" si="17"/>
        <v>High</v>
      </c>
    </row>
    <row r="363" spans="1:18" x14ac:dyDescent="0.25">
      <c r="A363" s="3">
        <v>10487</v>
      </c>
      <c r="B363" s="3">
        <v>1190</v>
      </c>
      <c r="C363" s="4">
        <v>44965</v>
      </c>
      <c r="D363" s="4">
        <v>44966</v>
      </c>
      <c r="E363" s="3" t="s">
        <v>39</v>
      </c>
      <c r="F363" s="3" t="s">
        <v>15</v>
      </c>
      <c r="G363" s="3" t="s">
        <v>29</v>
      </c>
      <c r="H363" s="3" t="s">
        <v>24</v>
      </c>
      <c r="I363" s="3" t="s">
        <v>51</v>
      </c>
      <c r="J363" s="3" t="s">
        <v>52</v>
      </c>
      <c r="K363" s="3" t="s">
        <v>20</v>
      </c>
      <c r="L363" s="3">
        <v>4</v>
      </c>
      <c r="M363" s="3">
        <v>2751.14</v>
      </c>
      <c r="N363" s="3">
        <v>20</v>
      </c>
      <c r="O363" s="3">
        <f t="shared" si="15"/>
        <v>8803.6479999999992</v>
      </c>
      <c r="P363" s="3" t="str">
        <f t="shared" si="16"/>
        <v>Low Price</v>
      </c>
      <c r="Q363" s="3" t="str" cm="1">
        <f t="array" ref="Q363">_xlfn.IFS(N363&gt;=10,"High",N363&gt;=5,"Medium",N363&lt;5,"Low")</f>
        <v>High</v>
      </c>
      <c r="R363" s="3" t="str">
        <f t="shared" si="17"/>
        <v>Low</v>
      </c>
    </row>
    <row r="364" spans="1:18" x14ac:dyDescent="0.25">
      <c r="A364" s="3">
        <v>10489</v>
      </c>
      <c r="B364" s="3">
        <v>1980</v>
      </c>
      <c r="C364" s="4">
        <v>45178</v>
      </c>
      <c r="D364" s="4">
        <v>45187</v>
      </c>
      <c r="E364" s="3" t="s">
        <v>33</v>
      </c>
      <c r="F364" s="3" t="s">
        <v>22</v>
      </c>
      <c r="G364" s="3" t="s">
        <v>23</v>
      </c>
      <c r="H364" s="3" t="s">
        <v>17</v>
      </c>
      <c r="I364" s="3" t="s">
        <v>56</v>
      </c>
      <c r="J364" s="3" t="s">
        <v>61</v>
      </c>
      <c r="K364" s="3" t="s">
        <v>32</v>
      </c>
      <c r="L364" s="3">
        <v>8</v>
      </c>
      <c r="M364" s="3">
        <v>2536.88</v>
      </c>
      <c r="N364" s="3">
        <v>5</v>
      </c>
      <c r="O364" s="3">
        <f t="shared" si="15"/>
        <v>19280.288</v>
      </c>
      <c r="P364" s="3" t="str">
        <f t="shared" si="16"/>
        <v>High Price</v>
      </c>
      <c r="Q364" s="3" t="str" cm="1">
        <f t="array" ref="Q364">_xlfn.IFS(N364&gt;=10,"High",N364&gt;=5,"Medium",N364&lt;5,"Low")</f>
        <v>Medium</v>
      </c>
      <c r="R364" s="3" t="str">
        <f t="shared" si="17"/>
        <v>Medium</v>
      </c>
    </row>
    <row r="365" spans="1:18" x14ac:dyDescent="0.25">
      <c r="A365" s="3">
        <v>10490</v>
      </c>
      <c r="B365" s="3">
        <v>1927</v>
      </c>
      <c r="C365" s="4">
        <v>45259</v>
      </c>
      <c r="D365" s="4">
        <v>45261</v>
      </c>
      <c r="E365" s="3" t="s">
        <v>14</v>
      </c>
      <c r="F365" s="3" t="s">
        <v>28</v>
      </c>
      <c r="G365" s="3" t="s">
        <v>16</v>
      </c>
      <c r="H365" s="3" t="s">
        <v>34</v>
      </c>
      <c r="I365" s="3" t="s">
        <v>30</v>
      </c>
      <c r="J365" s="3" t="s">
        <v>31</v>
      </c>
      <c r="K365" s="3" t="s">
        <v>44</v>
      </c>
      <c r="L365" s="3">
        <v>7</v>
      </c>
      <c r="M365" s="3">
        <v>2838.06</v>
      </c>
      <c r="N365" s="3">
        <v>20</v>
      </c>
      <c r="O365" s="3">
        <f t="shared" si="15"/>
        <v>15893.135999999999</v>
      </c>
      <c r="P365" s="3" t="str">
        <f t="shared" si="16"/>
        <v>High Price</v>
      </c>
      <c r="Q365" s="3" t="str" cm="1">
        <f t="array" ref="Q365">_xlfn.IFS(N365&gt;=10,"High",N365&gt;=5,"Medium",N365&lt;5,"Low")</f>
        <v>High</v>
      </c>
      <c r="R365" s="3" t="str">
        <f t="shared" si="17"/>
        <v>Medium</v>
      </c>
    </row>
    <row r="366" spans="1:18" x14ac:dyDescent="0.25">
      <c r="A366" s="3">
        <v>10491</v>
      </c>
      <c r="B366" s="3">
        <v>1982</v>
      </c>
      <c r="C366" s="4">
        <v>45133</v>
      </c>
      <c r="D366" s="4">
        <v>45137</v>
      </c>
      <c r="E366" s="3" t="s">
        <v>15</v>
      </c>
      <c r="F366" s="3" t="s">
        <v>28</v>
      </c>
      <c r="G366" s="3" t="s">
        <v>16</v>
      </c>
      <c r="H366" s="3" t="s">
        <v>43</v>
      </c>
      <c r="I366" s="3" t="s">
        <v>48</v>
      </c>
      <c r="J366" s="3" t="s">
        <v>62</v>
      </c>
      <c r="K366" s="3" t="s">
        <v>27</v>
      </c>
      <c r="L366" s="3">
        <v>5</v>
      </c>
      <c r="M366" s="3">
        <v>977.43</v>
      </c>
      <c r="N366" s="3">
        <v>20</v>
      </c>
      <c r="O366" s="3">
        <f t="shared" si="15"/>
        <v>3909.72</v>
      </c>
      <c r="P366" s="3" t="str">
        <f t="shared" si="16"/>
        <v>Low Price</v>
      </c>
      <c r="Q366" s="3" t="str" cm="1">
        <f t="array" ref="Q366">_xlfn.IFS(N366&gt;=10,"High",N366&gt;=5,"Medium",N366&lt;5,"Low")</f>
        <v>High</v>
      </c>
      <c r="R366" s="3" t="str">
        <f t="shared" si="17"/>
        <v>Medium</v>
      </c>
    </row>
    <row r="367" spans="1:18" x14ac:dyDescent="0.25">
      <c r="A367" s="3">
        <v>10493</v>
      </c>
      <c r="B367" s="3">
        <v>1255</v>
      </c>
      <c r="C367" s="4">
        <v>45041</v>
      </c>
      <c r="D367" s="4">
        <v>45043</v>
      </c>
      <c r="E367" s="3" t="s">
        <v>39</v>
      </c>
      <c r="F367" s="3" t="s">
        <v>15</v>
      </c>
      <c r="G367" s="3" t="s">
        <v>23</v>
      </c>
      <c r="H367" s="3" t="s">
        <v>43</v>
      </c>
      <c r="I367" s="3" t="s">
        <v>48</v>
      </c>
      <c r="J367" s="3" t="s">
        <v>67</v>
      </c>
      <c r="K367" s="3" t="s">
        <v>27</v>
      </c>
      <c r="L367" s="3">
        <v>7</v>
      </c>
      <c r="M367" s="3">
        <v>1550.03</v>
      </c>
      <c r="N367" s="3">
        <v>10</v>
      </c>
      <c r="O367" s="3">
        <f t="shared" si="15"/>
        <v>9765.1890000000003</v>
      </c>
      <c r="P367" s="3" t="str">
        <f t="shared" si="16"/>
        <v>Low Price</v>
      </c>
      <c r="Q367" s="3" t="str" cm="1">
        <f t="array" ref="Q367">_xlfn.IFS(N367&gt;=10,"High",N367&gt;=5,"Medium",N367&lt;5,"Low")</f>
        <v>High</v>
      </c>
      <c r="R367" s="3" t="str">
        <f t="shared" si="17"/>
        <v>Medium</v>
      </c>
    </row>
    <row r="368" spans="1:18" x14ac:dyDescent="0.25">
      <c r="A368" s="3">
        <v>10494</v>
      </c>
      <c r="B368" s="3">
        <v>1322</v>
      </c>
      <c r="C368" s="4">
        <v>45151</v>
      </c>
      <c r="D368" s="4">
        <v>45154</v>
      </c>
      <c r="E368" s="3" t="s">
        <v>36</v>
      </c>
      <c r="F368" s="3" t="s">
        <v>40</v>
      </c>
      <c r="G368" s="3" t="s">
        <v>16</v>
      </c>
      <c r="H368" s="3" t="s">
        <v>43</v>
      </c>
      <c r="I368" s="3" t="s">
        <v>56</v>
      </c>
      <c r="J368" s="3" t="s">
        <v>66</v>
      </c>
      <c r="K368" s="3" t="s">
        <v>44</v>
      </c>
      <c r="L368" s="3">
        <v>5</v>
      </c>
      <c r="M368" s="3">
        <v>529.59</v>
      </c>
      <c r="N368" s="3">
        <v>5</v>
      </c>
      <c r="O368" s="3">
        <f t="shared" si="15"/>
        <v>2515.5525000000002</v>
      </c>
      <c r="P368" s="3" t="str">
        <f t="shared" si="16"/>
        <v>Low Price</v>
      </c>
      <c r="Q368" s="3" t="str" cm="1">
        <f t="array" ref="Q368">_xlfn.IFS(N368&gt;=10,"High",N368&gt;=5,"Medium",N368&lt;5,"Low")</f>
        <v>Medium</v>
      </c>
      <c r="R368" s="3" t="str">
        <f t="shared" si="17"/>
        <v>Medium</v>
      </c>
    </row>
    <row r="369" spans="1:18" x14ac:dyDescent="0.25">
      <c r="A369" s="3">
        <v>10495</v>
      </c>
      <c r="B369" s="3">
        <v>1127</v>
      </c>
      <c r="C369" s="4">
        <v>45060</v>
      </c>
      <c r="D369" s="4">
        <v>45063</v>
      </c>
      <c r="E369" s="3" t="s">
        <v>14</v>
      </c>
      <c r="F369" s="3" t="s">
        <v>22</v>
      </c>
      <c r="G369" s="3" t="s">
        <v>29</v>
      </c>
      <c r="H369" s="3" t="s">
        <v>24</v>
      </c>
      <c r="I369" s="3" t="s">
        <v>56</v>
      </c>
      <c r="J369" s="3" t="s">
        <v>58</v>
      </c>
      <c r="K369" s="3" t="s">
        <v>44</v>
      </c>
      <c r="L369" s="3">
        <v>8</v>
      </c>
      <c r="M369" s="3">
        <v>598.44000000000005</v>
      </c>
      <c r="N369" s="3">
        <v>0</v>
      </c>
      <c r="O369" s="3">
        <f t="shared" si="15"/>
        <v>4787.5200000000004</v>
      </c>
      <c r="P369" s="3" t="str">
        <f t="shared" si="16"/>
        <v>Low Price</v>
      </c>
      <c r="Q369" s="3" t="str" cm="1">
        <f t="array" ref="Q369">_xlfn.IFS(N369&gt;=10,"High",N369&gt;=5,"Medium",N369&lt;5,"Low")</f>
        <v>Low</v>
      </c>
      <c r="R369" s="3" t="str">
        <f t="shared" si="17"/>
        <v>Medium</v>
      </c>
    </row>
    <row r="370" spans="1:18" x14ac:dyDescent="0.25">
      <c r="A370" s="3">
        <v>10496</v>
      </c>
      <c r="B370" s="3">
        <v>1017</v>
      </c>
      <c r="C370" s="4">
        <v>45177</v>
      </c>
      <c r="D370" s="4">
        <v>45178</v>
      </c>
      <c r="E370" s="3" t="s">
        <v>14</v>
      </c>
      <c r="F370" s="3" t="s">
        <v>22</v>
      </c>
      <c r="G370" s="3" t="s">
        <v>16</v>
      </c>
      <c r="H370" s="3" t="s">
        <v>41</v>
      </c>
      <c r="I370" s="3" t="s">
        <v>51</v>
      </c>
      <c r="J370" s="3" t="s">
        <v>59</v>
      </c>
      <c r="K370" s="3" t="s">
        <v>44</v>
      </c>
      <c r="L370" s="3">
        <v>6</v>
      </c>
      <c r="M370" s="3">
        <v>1128.9100000000001</v>
      </c>
      <c r="N370" s="3">
        <v>20</v>
      </c>
      <c r="O370" s="3">
        <f t="shared" si="15"/>
        <v>5418.7680000000009</v>
      </c>
      <c r="P370" s="3" t="str">
        <f t="shared" si="16"/>
        <v>Low Price</v>
      </c>
      <c r="Q370" s="3" t="str" cm="1">
        <f t="array" ref="Q370">_xlfn.IFS(N370&gt;=10,"High",N370&gt;=5,"Medium",N370&lt;5,"Low")</f>
        <v>High</v>
      </c>
      <c r="R370" s="3" t="str">
        <f t="shared" si="17"/>
        <v>Medium</v>
      </c>
    </row>
    <row r="371" spans="1:18" x14ac:dyDescent="0.25">
      <c r="A371" s="3">
        <v>10497</v>
      </c>
      <c r="B371" s="3">
        <v>1792</v>
      </c>
      <c r="C371" s="4">
        <v>45145</v>
      </c>
      <c r="D371" s="4">
        <v>45151</v>
      </c>
      <c r="E371" s="3" t="s">
        <v>15</v>
      </c>
      <c r="F371" s="3" t="s">
        <v>28</v>
      </c>
      <c r="G371" s="3" t="s">
        <v>23</v>
      </c>
      <c r="H371" s="3" t="s">
        <v>41</v>
      </c>
      <c r="I371" s="3" t="s">
        <v>30</v>
      </c>
      <c r="J371" s="3" t="s">
        <v>38</v>
      </c>
      <c r="K371" s="3" t="s">
        <v>20</v>
      </c>
      <c r="L371" s="3">
        <v>5</v>
      </c>
      <c r="M371" s="3">
        <v>1287.55</v>
      </c>
      <c r="N371" s="3">
        <v>0</v>
      </c>
      <c r="O371" s="3">
        <f t="shared" si="15"/>
        <v>6437.75</v>
      </c>
      <c r="P371" s="3" t="str">
        <f t="shared" si="16"/>
        <v>Low Price</v>
      </c>
      <c r="Q371" s="3" t="str" cm="1">
        <f t="array" ref="Q371">_xlfn.IFS(N371&gt;=10,"High",N371&gt;=5,"Medium",N371&lt;5,"Low")</f>
        <v>Low</v>
      </c>
      <c r="R371" s="3" t="str">
        <f t="shared" si="17"/>
        <v>Medium</v>
      </c>
    </row>
    <row r="372" spans="1:18" x14ac:dyDescent="0.25">
      <c r="A372" s="3">
        <v>10498</v>
      </c>
      <c r="B372" s="3">
        <v>1734</v>
      </c>
      <c r="C372" s="4">
        <v>45017</v>
      </c>
      <c r="D372" s="4">
        <v>45025</v>
      </c>
      <c r="E372" s="3" t="s">
        <v>45</v>
      </c>
      <c r="F372" s="3" t="s">
        <v>15</v>
      </c>
      <c r="G372" s="3" t="s">
        <v>29</v>
      </c>
      <c r="H372" s="3" t="s">
        <v>17</v>
      </c>
      <c r="I372" s="3" t="s">
        <v>25</v>
      </c>
      <c r="J372" s="3" t="s">
        <v>35</v>
      </c>
      <c r="K372" s="3" t="s">
        <v>27</v>
      </c>
      <c r="L372" s="3">
        <v>9</v>
      </c>
      <c r="M372" s="3">
        <v>2190.39</v>
      </c>
      <c r="N372" s="3">
        <v>20</v>
      </c>
      <c r="O372" s="3">
        <f t="shared" si="15"/>
        <v>15770.807999999999</v>
      </c>
      <c r="P372" s="3" t="str">
        <f t="shared" si="16"/>
        <v>High Price</v>
      </c>
      <c r="Q372" s="3" t="str" cm="1">
        <f t="array" ref="Q372">_xlfn.IFS(N372&gt;=10,"High",N372&gt;=5,"Medium",N372&lt;5,"Low")</f>
        <v>High</v>
      </c>
      <c r="R372" s="3" t="str">
        <f t="shared" si="17"/>
        <v>High</v>
      </c>
    </row>
    <row r="373" spans="1:18" x14ac:dyDescent="0.25">
      <c r="A373" s="3">
        <v>10500</v>
      </c>
      <c r="B373" s="3">
        <v>1569</v>
      </c>
      <c r="C373" s="4">
        <v>44972</v>
      </c>
      <c r="D373" s="4">
        <v>44977</v>
      </c>
      <c r="E373" s="3" t="s">
        <v>14</v>
      </c>
      <c r="F373" s="3" t="s">
        <v>15</v>
      </c>
      <c r="G373" s="3" t="s">
        <v>29</v>
      </c>
      <c r="H373" s="3" t="s">
        <v>41</v>
      </c>
      <c r="I373" s="3" t="s">
        <v>30</v>
      </c>
      <c r="J373" s="3" t="s">
        <v>64</v>
      </c>
      <c r="K373" s="3" t="s">
        <v>32</v>
      </c>
      <c r="L373" s="3">
        <v>1</v>
      </c>
      <c r="M373" s="3">
        <v>2432.17</v>
      </c>
      <c r="N373" s="3">
        <v>20</v>
      </c>
      <c r="O373" s="3">
        <f t="shared" si="15"/>
        <v>1945.7360000000001</v>
      </c>
      <c r="P373" s="3" t="str">
        <f t="shared" si="16"/>
        <v>Low Price</v>
      </c>
      <c r="Q373" s="3" t="str" cm="1">
        <f t="array" ref="Q373">_xlfn.IFS(N373&gt;=10,"High",N373&gt;=5,"Medium",N373&lt;5,"Low")</f>
        <v>High</v>
      </c>
      <c r="R373" s="3" t="str">
        <f t="shared" si="17"/>
        <v>Low</v>
      </c>
    </row>
  </sheetData>
  <mergeCells count="2">
    <mergeCell ref="T11:U19"/>
    <mergeCell ref="T10:U10"/>
  </mergeCells>
  <conditionalFormatting sqref="A1:R373">
    <cfRule type="expression" dxfId="1" priority="1">
      <formula>A$1=$U$8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0B91-C8B5-402C-A27A-51A10336011B}">
  <dimension ref="A1:V373"/>
  <sheetViews>
    <sheetView tabSelected="1" topLeftCell="Q1" workbookViewId="0">
      <selection activeCell="R1" sqref="R1"/>
    </sheetView>
  </sheetViews>
  <sheetFormatPr defaultRowHeight="15.75" x14ac:dyDescent="0.25"/>
  <cols>
    <col min="1" max="1" width="11" style="2" bestFit="1" customWidth="1"/>
    <col min="2" max="2" width="15.42578125" style="2" bestFit="1" customWidth="1"/>
    <col min="3" max="3" width="14.140625" style="2" bestFit="1" customWidth="1"/>
    <col min="4" max="4" width="13.140625" style="2" bestFit="1" customWidth="1"/>
    <col min="5" max="5" width="11.7109375" style="2" bestFit="1" customWidth="1"/>
    <col min="6" max="6" width="13.140625" style="2" bestFit="1" customWidth="1"/>
    <col min="7" max="7" width="17" style="2" bestFit="1" customWidth="1"/>
    <col min="8" max="8" width="21.42578125" style="2" bestFit="1" customWidth="1"/>
    <col min="9" max="9" width="21.140625" style="2" bestFit="1" customWidth="1"/>
    <col min="10" max="10" width="17.7109375" style="2" bestFit="1" customWidth="1"/>
    <col min="11" max="11" width="8.5703125" style="2" bestFit="1" customWidth="1"/>
    <col min="12" max="12" width="12.7109375" style="2" bestFit="1" customWidth="1"/>
    <col min="13" max="13" width="12.42578125" style="2" bestFit="1" customWidth="1"/>
    <col min="14" max="14" width="14" style="2" bestFit="1" customWidth="1"/>
    <col min="15" max="15" width="13.5703125" style="2" bestFit="1" customWidth="1"/>
    <col min="16" max="16" width="18" style="2" bestFit="1" customWidth="1"/>
    <col min="17" max="17" width="22.42578125" style="2" bestFit="1" customWidth="1"/>
    <col min="18" max="18" width="17" style="2" bestFit="1" customWidth="1"/>
    <col min="19" max="20" width="9.140625" style="2"/>
    <col min="21" max="21" width="23.5703125" style="2" bestFit="1" customWidth="1"/>
    <col min="22" max="22" width="18.5703125" style="2" bestFit="1" customWidth="1"/>
    <col min="23" max="23" width="22.85546875" style="2" bestFit="1" customWidth="1"/>
    <col min="24" max="24" width="11.5703125" style="2" customWidth="1"/>
    <col min="25" max="25" width="16.85546875" style="2" customWidth="1"/>
    <col min="26" max="26" width="16.140625" style="2" customWidth="1"/>
    <col min="27" max="16384" width="9.140625" style="2"/>
  </cols>
  <sheetData>
    <row r="1" spans="1:22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69</v>
      </c>
      <c r="P1" s="1" t="s">
        <v>70</v>
      </c>
      <c r="Q1" s="1" t="s">
        <v>71</v>
      </c>
      <c r="R1" s="1" t="s">
        <v>72</v>
      </c>
    </row>
    <row r="2" spans="1:22" x14ac:dyDescent="0.25">
      <c r="A2" s="3">
        <v>10001</v>
      </c>
      <c r="B2" s="3">
        <v>1102</v>
      </c>
      <c r="C2" s="4">
        <v>45197</v>
      </c>
      <c r="D2" s="4">
        <v>45203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>
        <v>7</v>
      </c>
      <c r="M2" s="3">
        <v>2843.87</v>
      </c>
      <c r="N2" s="3">
        <v>0</v>
      </c>
      <c r="O2" s="3">
        <f>(L2*M2)*(1-N2/100)</f>
        <v>19907.09</v>
      </c>
      <c r="P2" s="3" t="str">
        <f>IF(O2&gt;=15000,"High Price","Low Price")</f>
        <v>High Price</v>
      </c>
      <c r="Q2" s="3" t="str" cm="1">
        <f t="array" ref="Q2">_xlfn.IFS(N2&gt;=10,"High",N2&gt;=5,"Medium",N2&lt;5,"Low")</f>
        <v>Low</v>
      </c>
      <c r="R2" s="3" t="str">
        <f>IF(L2&gt;8,"High",IF(L2&gt;4,"Medium","Low"))</f>
        <v>Medium</v>
      </c>
    </row>
    <row r="3" spans="1:22" x14ac:dyDescent="0.25">
      <c r="A3" s="3">
        <v>10002</v>
      </c>
      <c r="B3" s="3">
        <v>1435</v>
      </c>
      <c r="C3" s="4">
        <v>45199</v>
      </c>
      <c r="D3" s="4">
        <v>45203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>
        <v>9</v>
      </c>
      <c r="M3" s="3">
        <v>2525.23</v>
      </c>
      <c r="N3" s="3">
        <v>5</v>
      </c>
      <c r="O3" s="3">
        <f t="shared" ref="O3:O66" si="0">(L3*M3)*(1-N3/100)</f>
        <v>21590.716499999999</v>
      </c>
      <c r="P3" s="3" t="str">
        <f t="shared" ref="P3:P66" si="1">IF(O3&gt;=15000,"High Price","Low Price")</f>
        <v>High Price</v>
      </c>
      <c r="Q3" s="3" t="str" cm="1">
        <f t="array" ref="Q3">_xlfn.IFS(N3&gt;=10,"High",N3&gt;=5,"Medium",N3&lt;5,"Low")</f>
        <v>Medium</v>
      </c>
      <c r="R3" s="3" t="str">
        <f t="shared" ref="R3:R66" si="2">IF(L3&gt;8,"High",IF(L3&gt;4,"Medium","Low"))</f>
        <v>High</v>
      </c>
    </row>
    <row r="4" spans="1:22" x14ac:dyDescent="0.25">
      <c r="A4" s="3">
        <v>10003</v>
      </c>
      <c r="B4" s="3">
        <v>1860</v>
      </c>
      <c r="C4" s="4">
        <v>45109</v>
      </c>
      <c r="D4" s="4">
        <v>45114</v>
      </c>
      <c r="E4" s="3" t="s">
        <v>14</v>
      </c>
      <c r="F4" s="3" t="s">
        <v>28</v>
      </c>
      <c r="G4" s="3" t="s">
        <v>29</v>
      </c>
      <c r="H4" s="3" t="s">
        <v>24</v>
      </c>
      <c r="I4" s="3" t="s">
        <v>30</v>
      </c>
      <c r="J4" s="3" t="s">
        <v>31</v>
      </c>
      <c r="K4" s="3" t="s">
        <v>32</v>
      </c>
      <c r="L4" s="3">
        <v>6</v>
      </c>
      <c r="M4" s="3">
        <v>3474.34</v>
      </c>
      <c r="N4" s="3">
        <v>15</v>
      </c>
      <c r="O4" s="3">
        <f t="shared" si="0"/>
        <v>17719.134000000002</v>
      </c>
      <c r="P4" s="3" t="str">
        <f t="shared" si="1"/>
        <v>High Price</v>
      </c>
      <c r="Q4" s="3" t="str" cm="1">
        <f t="array" ref="Q4">_xlfn.IFS(N4&gt;=10,"High",N4&gt;=5,"Medium",N4&lt;5,"Low")</f>
        <v>High</v>
      </c>
      <c r="R4" s="3" t="str">
        <f t="shared" si="2"/>
        <v>Medium</v>
      </c>
    </row>
    <row r="5" spans="1:22" x14ac:dyDescent="0.25">
      <c r="A5" s="3">
        <v>10004</v>
      </c>
      <c r="B5" s="3">
        <v>1270</v>
      </c>
      <c r="C5" s="4">
        <v>45079</v>
      </c>
      <c r="D5" s="4">
        <v>45087</v>
      </c>
      <c r="E5" s="3" t="s">
        <v>33</v>
      </c>
      <c r="F5" s="3" t="s">
        <v>28</v>
      </c>
      <c r="G5" s="3" t="s">
        <v>23</v>
      </c>
      <c r="H5" s="3" t="s">
        <v>34</v>
      </c>
      <c r="I5" s="3" t="s">
        <v>25</v>
      </c>
      <c r="J5" s="3" t="s">
        <v>35</v>
      </c>
      <c r="K5" s="3" t="s">
        <v>20</v>
      </c>
      <c r="L5" s="3">
        <v>1</v>
      </c>
      <c r="M5" s="3">
        <v>1008.79</v>
      </c>
      <c r="N5" s="3">
        <v>15</v>
      </c>
      <c r="O5" s="3">
        <f t="shared" si="0"/>
        <v>857.47149999999999</v>
      </c>
      <c r="P5" s="3" t="str">
        <f t="shared" si="1"/>
        <v>Low Price</v>
      </c>
      <c r="Q5" s="3" t="str" cm="1">
        <f t="array" ref="Q5">_xlfn.IFS(N5&gt;=10,"High",N5&gt;=5,"Medium",N5&lt;5,"Low")</f>
        <v>High</v>
      </c>
      <c r="R5" s="3" t="str">
        <f t="shared" si="2"/>
        <v>Low</v>
      </c>
    </row>
    <row r="6" spans="1:22" x14ac:dyDescent="0.25">
      <c r="A6" s="3">
        <v>10005</v>
      </c>
      <c r="B6" s="3">
        <v>1106</v>
      </c>
      <c r="C6" s="4">
        <v>45241</v>
      </c>
      <c r="D6" s="4">
        <v>45244</v>
      </c>
      <c r="E6" s="3" t="s">
        <v>36</v>
      </c>
      <c r="F6" s="3" t="s">
        <v>37</v>
      </c>
      <c r="G6" s="3" t="s">
        <v>29</v>
      </c>
      <c r="H6" s="3" t="s">
        <v>17</v>
      </c>
      <c r="I6" s="3" t="s">
        <v>30</v>
      </c>
      <c r="J6" s="3" t="s">
        <v>38</v>
      </c>
      <c r="K6" s="3" t="s">
        <v>20</v>
      </c>
      <c r="L6" s="3">
        <v>7</v>
      </c>
      <c r="M6" s="3">
        <v>3511.47</v>
      </c>
      <c r="N6" s="3">
        <v>20</v>
      </c>
      <c r="O6" s="3">
        <f t="shared" si="0"/>
        <v>19664.232</v>
      </c>
      <c r="P6" s="3" t="str">
        <f t="shared" si="1"/>
        <v>High Price</v>
      </c>
      <c r="Q6" s="3" t="str" cm="1">
        <f t="array" ref="Q6">_xlfn.IFS(N6&gt;=10,"High",N6&gt;=5,"Medium",N6&lt;5,"Low")</f>
        <v>High</v>
      </c>
      <c r="R6" s="3" t="str">
        <f t="shared" si="2"/>
        <v>Medium</v>
      </c>
    </row>
    <row r="7" spans="1:22" x14ac:dyDescent="0.25">
      <c r="A7" s="3">
        <v>10006</v>
      </c>
      <c r="B7" s="3">
        <v>1071</v>
      </c>
      <c r="C7" s="4">
        <v>45260</v>
      </c>
      <c r="D7" s="4">
        <v>45263</v>
      </c>
      <c r="E7" s="3" t="s">
        <v>39</v>
      </c>
      <c r="F7" s="3" t="s">
        <v>40</v>
      </c>
      <c r="G7" s="3" t="s">
        <v>23</v>
      </c>
      <c r="H7" s="3" t="s">
        <v>41</v>
      </c>
      <c r="I7" s="3" t="s">
        <v>18</v>
      </c>
      <c r="J7" s="3" t="s">
        <v>42</v>
      </c>
      <c r="K7" s="3" t="s">
        <v>32</v>
      </c>
      <c r="L7" s="3">
        <v>3</v>
      </c>
      <c r="M7" s="3">
        <v>3189.55</v>
      </c>
      <c r="N7" s="3">
        <v>10</v>
      </c>
      <c r="O7" s="3">
        <f t="shared" si="0"/>
        <v>8611.7850000000017</v>
      </c>
      <c r="P7" s="3" t="str">
        <f t="shared" si="1"/>
        <v>Low Price</v>
      </c>
      <c r="Q7" s="3" t="str" cm="1">
        <f t="array" ref="Q7">_xlfn.IFS(N7&gt;=10,"High",N7&gt;=5,"Medium",N7&lt;5,"Low")</f>
        <v>High</v>
      </c>
      <c r="R7" s="3" t="str">
        <f t="shared" si="2"/>
        <v>Low</v>
      </c>
    </row>
    <row r="8" spans="1:22" x14ac:dyDescent="0.25">
      <c r="A8" s="3">
        <v>10007</v>
      </c>
      <c r="B8" s="3">
        <v>1700</v>
      </c>
      <c r="C8" s="4">
        <v>45050</v>
      </c>
      <c r="D8" s="4">
        <v>45054</v>
      </c>
      <c r="E8" s="3" t="s">
        <v>33</v>
      </c>
      <c r="F8" s="3" t="s">
        <v>40</v>
      </c>
      <c r="G8" s="3" t="s">
        <v>16</v>
      </c>
      <c r="H8" s="3" t="s">
        <v>43</v>
      </c>
      <c r="I8" s="3" t="s">
        <v>30</v>
      </c>
      <c r="J8" s="3" t="s">
        <v>31</v>
      </c>
      <c r="K8" s="3" t="s">
        <v>44</v>
      </c>
      <c r="L8" s="3">
        <v>5</v>
      </c>
      <c r="M8" s="3">
        <v>3030.42</v>
      </c>
      <c r="N8" s="3">
        <v>10</v>
      </c>
      <c r="O8" s="3">
        <f t="shared" si="0"/>
        <v>13636.890000000001</v>
      </c>
      <c r="P8" s="3" t="str">
        <f t="shared" si="1"/>
        <v>Low Price</v>
      </c>
      <c r="Q8" s="3" t="str" cm="1">
        <f t="array" ref="Q8">_xlfn.IFS(N8&gt;=10,"High",N8&gt;=5,"Medium",N8&lt;5,"Low")</f>
        <v>High</v>
      </c>
      <c r="R8" s="3" t="str">
        <f t="shared" si="2"/>
        <v>Medium</v>
      </c>
      <c r="U8" s="7" t="s">
        <v>5</v>
      </c>
      <c r="V8" s="6" t="s">
        <v>15</v>
      </c>
    </row>
    <row r="9" spans="1:22" x14ac:dyDescent="0.25">
      <c r="A9" s="3">
        <v>10008</v>
      </c>
      <c r="B9" s="3">
        <v>1020</v>
      </c>
      <c r="C9" s="4">
        <v>45040</v>
      </c>
      <c r="D9" s="4">
        <v>45041</v>
      </c>
      <c r="E9" s="3" t="s">
        <v>45</v>
      </c>
      <c r="F9" s="3" t="s">
        <v>15</v>
      </c>
      <c r="G9" s="3" t="s">
        <v>23</v>
      </c>
      <c r="H9" s="3" t="s">
        <v>17</v>
      </c>
      <c r="I9" s="3" t="s">
        <v>30</v>
      </c>
      <c r="J9" s="3" t="s">
        <v>31</v>
      </c>
      <c r="K9" s="3" t="s">
        <v>46</v>
      </c>
      <c r="L9" s="3">
        <v>4</v>
      </c>
      <c r="M9" s="3">
        <v>2310.83</v>
      </c>
      <c r="N9" s="3">
        <v>10</v>
      </c>
      <c r="O9" s="3">
        <f t="shared" si="0"/>
        <v>8318.9879999999994</v>
      </c>
      <c r="P9" s="3" t="str">
        <f t="shared" si="1"/>
        <v>Low Price</v>
      </c>
      <c r="Q9" s="3" t="str" cm="1">
        <f t="array" ref="Q9">_xlfn.IFS(N9&gt;=10,"High",N9&gt;=5,"Medium",N9&lt;5,"Low")</f>
        <v>High</v>
      </c>
      <c r="R9" s="3" t="str">
        <f t="shared" si="2"/>
        <v>Low</v>
      </c>
    </row>
    <row r="10" spans="1:22" x14ac:dyDescent="0.25">
      <c r="A10" s="3">
        <v>10009</v>
      </c>
      <c r="B10" s="3">
        <v>1614</v>
      </c>
      <c r="C10" s="4">
        <v>45204</v>
      </c>
      <c r="D10" s="4">
        <v>45213</v>
      </c>
      <c r="E10" s="3" t="s">
        <v>14</v>
      </c>
      <c r="F10" s="3" t="s">
        <v>28</v>
      </c>
      <c r="G10" s="3" t="s">
        <v>23</v>
      </c>
      <c r="H10" s="3" t="s">
        <v>24</v>
      </c>
      <c r="I10" s="3" t="s">
        <v>30</v>
      </c>
      <c r="J10" s="3" t="s">
        <v>47</v>
      </c>
      <c r="K10" s="3" t="s">
        <v>27</v>
      </c>
      <c r="L10" s="3">
        <v>5</v>
      </c>
      <c r="M10" s="3">
        <v>1098.04</v>
      </c>
      <c r="N10" s="3">
        <v>15</v>
      </c>
      <c r="O10" s="3">
        <f t="shared" si="0"/>
        <v>4666.67</v>
      </c>
      <c r="P10" s="3" t="str">
        <f t="shared" si="1"/>
        <v>Low Price</v>
      </c>
      <c r="Q10" s="3" t="str" cm="1">
        <f t="array" ref="Q10">_xlfn.IFS(N10&gt;=10,"High",N10&gt;=5,"Medium",N10&lt;5,"Low")</f>
        <v>High</v>
      </c>
      <c r="R10" s="3" t="str">
        <f t="shared" si="2"/>
        <v>Medium</v>
      </c>
      <c r="U10" s="10" t="s">
        <v>73</v>
      </c>
      <c r="V10" s="11"/>
    </row>
    <row r="11" spans="1:22" x14ac:dyDescent="0.25">
      <c r="A11" s="3">
        <v>10010</v>
      </c>
      <c r="B11" s="3">
        <v>1121</v>
      </c>
      <c r="C11" s="4">
        <v>45139</v>
      </c>
      <c r="D11" s="4">
        <v>45147</v>
      </c>
      <c r="E11" s="3" t="s">
        <v>33</v>
      </c>
      <c r="F11" s="3" t="s">
        <v>37</v>
      </c>
      <c r="G11" s="3" t="s">
        <v>23</v>
      </c>
      <c r="H11" s="3" t="s">
        <v>34</v>
      </c>
      <c r="I11" s="3" t="s">
        <v>48</v>
      </c>
      <c r="J11" s="3" t="s">
        <v>49</v>
      </c>
      <c r="K11" s="3" t="s">
        <v>46</v>
      </c>
      <c r="L11" s="3">
        <v>5</v>
      </c>
      <c r="M11" s="3">
        <v>1780.66</v>
      </c>
      <c r="N11" s="3">
        <v>20</v>
      </c>
      <c r="O11" s="3">
        <f t="shared" si="0"/>
        <v>7122.6400000000012</v>
      </c>
      <c r="P11" s="3" t="str">
        <f t="shared" si="1"/>
        <v>Low Price</v>
      </c>
      <c r="Q11" s="3" t="str" cm="1">
        <f t="array" ref="Q11">_xlfn.IFS(N11&gt;=10,"High",N11&gt;=5,"Medium",N11&lt;5,"Low")</f>
        <v>High</v>
      </c>
      <c r="R11" s="3" t="str">
        <f t="shared" si="2"/>
        <v>Medium</v>
      </c>
      <c r="U11" s="12" t="s">
        <v>74</v>
      </c>
      <c r="V11" s="13"/>
    </row>
    <row r="12" spans="1:22" x14ac:dyDescent="0.25">
      <c r="A12" s="3">
        <v>10011</v>
      </c>
      <c r="B12" s="3">
        <v>1466</v>
      </c>
      <c r="C12" s="4">
        <v>45098</v>
      </c>
      <c r="D12" s="4">
        <v>45106</v>
      </c>
      <c r="E12" s="3" t="s">
        <v>33</v>
      </c>
      <c r="F12" s="3" t="s">
        <v>37</v>
      </c>
      <c r="G12" s="3" t="s">
        <v>16</v>
      </c>
      <c r="H12" s="3" t="s">
        <v>34</v>
      </c>
      <c r="I12" s="3" t="s">
        <v>48</v>
      </c>
      <c r="J12" s="3" t="s">
        <v>49</v>
      </c>
      <c r="K12" s="3" t="s">
        <v>32</v>
      </c>
      <c r="L12" s="3">
        <v>6</v>
      </c>
      <c r="M12" s="3">
        <v>3205.25</v>
      </c>
      <c r="N12" s="3">
        <v>0</v>
      </c>
      <c r="O12" s="3">
        <f t="shared" si="0"/>
        <v>19231.5</v>
      </c>
      <c r="P12" s="3" t="str">
        <f t="shared" si="1"/>
        <v>High Price</v>
      </c>
      <c r="Q12" s="3" t="str" cm="1">
        <f t="array" ref="Q12">_xlfn.IFS(N12&gt;=10,"High",N12&gt;=5,"Medium",N12&lt;5,"Low")</f>
        <v>Low</v>
      </c>
      <c r="R12" s="3" t="str">
        <f t="shared" si="2"/>
        <v>Medium</v>
      </c>
      <c r="U12" s="13"/>
      <c r="V12" s="13"/>
    </row>
    <row r="13" spans="1:22" x14ac:dyDescent="0.25">
      <c r="A13" s="3">
        <v>10012</v>
      </c>
      <c r="B13" s="3">
        <v>1214</v>
      </c>
      <c r="C13" s="4">
        <v>45214</v>
      </c>
      <c r="D13" s="4">
        <v>45220</v>
      </c>
      <c r="E13" s="3" t="s">
        <v>45</v>
      </c>
      <c r="F13" s="3" t="s">
        <v>22</v>
      </c>
      <c r="G13" s="3" t="s">
        <v>23</v>
      </c>
      <c r="H13" s="3" t="s">
        <v>43</v>
      </c>
      <c r="I13" s="3" t="s">
        <v>48</v>
      </c>
      <c r="J13" s="3" t="s">
        <v>50</v>
      </c>
      <c r="K13" s="3" t="s">
        <v>20</v>
      </c>
      <c r="L13" s="3">
        <v>6</v>
      </c>
      <c r="M13" s="3">
        <v>272.35000000000002</v>
      </c>
      <c r="N13" s="3">
        <v>5</v>
      </c>
      <c r="O13" s="3">
        <f t="shared" si="0"/>
        <v>1552.395</v>
      </c>
      <c r="P13" s="3" t="str">
        <f t="shared" si="1"/>
        <v>Low Price</v>
      </c>
      <c r="Q13" s="3" t="str" cm="1">
        <f t="array" ref="Q13">_xlfn.IFS(N13&gt;=10,"High",N13&gt;=5,"Medium",N13&lt;5,"Low")</f>
        <v>Medium</v>
      </c>
      <c r="R13" s="3" t="str">
        <f t="shared" si="2"/>
        <v>Medium</v>
      </c>
      <c r="U13" s="13"/>
      <c r="V13" s="13"/>
    </row>
    <row r="14" spans="1:22" x14ac:dyDescent="0.25">
      <c r="A14" s="3">
        <v>10013</v>
      </c>
      <c r="B14" s="3">
        <v>1330</v>
      </c>
      <c r="C14" s="4">
        <v>45100</v>
      </c>
      <c r="D14" s="4">
        <v>45107</v>
      </c>
      <c r="E14" s="3" t="s">
        <v>15</v>
      </c>
      <c r="F14" s="3" t="s">
        <v>22</v>
      </c>
      <c r="G14" s="3" t="s">
        <v>16</v>
      </c>
      <c r="H14" s="3" t="s">
        <v>34</v>
      </c>
      <c r="I14" s="3" t="s">
        <v>18</v>
      </c>
      <c r="J14" s="3" t="s">
        <v>42</v>
      </c>
      <c r="K14" s="3" t="s">
        <v>20</v>
      </c>
      <c r="L14" s="3">
        <v>8</v>
      </c>
      <c r="M14" s="3">
        <v>3160.9</v>
      </c>
      <c r="N14" s="3">
        <v>0</v>
      </c>
      <c r="O14" s="3">
        <f t="shared" si="0"/>
        <v>25287.200000000001</v>
      </c>
      <c r="P14" s="3" t="str">
        <f t="shared" si="1"/>
        <v>High Price</v>
      </c>
      <c r="Q14" s="3" t="str" cm="1">
        <f t="array" ref="Q14">_xlfn.IFS(N14&gt;=10,"High",N14&gt;=5,"Medium",N14&lt;5,"Low")</f>
        <v>Low</v>
      </c>
      <c r="R14" s="3" t="str">
        <f t="shared" si="2"/>
        <v>Medium</v>
      </c>
      <c r="U14" s="13"/>
      <c r="V14" s="13"/>
    </row>
    <row r="15" spans="1:22" x14ac:dyDescent="0.25">
      <c r="A15" s="3">
        <v>10014</v>
      </c>
      <c r="B15" s="3">
        <v>1458</v>
      </c>
      <c r="C15" s="4">
        <v>45039</v>
      </c>
      <c r="D15" s="4">
        <v>45045</v>
      </c>
      <c r="E15" s="3" t="s">
        <v>36</v>
      </c>
      <c r="F15" s="3" t="s">
        <v>37</v>
      </c>
      <c r="G15" s="3" t="s">
        <v>29</v>
      </c>
      <c r="H15" s="3" t="s">
        <v>34</v>
      </c>
      <c r="I15" s="3" t="s">
        <v>25</v>
      </c>
      <c r="J15" s="3" t="s">
        <v>35</v>
      </c>
      <c r="K15" s="3" t="s">
        <v>27</v>
      </c>
      <c r="L15" s="3">
        <v>8</v>
      </c>
      <c r="M15" s="3">
        <v>1074.27</v>
      </c>
      <c r="N15" s="3">
        <v>15</v>
      </c>
      <c r="O15" s="3">
        <f t="shared" si="0"/>
        <v>7305.0360000000001</v>
      </c>
      <c r="P15" s="3" t="str">
        <f t="shared" si="1"/>
        <v>Low Price</v>
      </c>
      <c r="Q15" s="3" t="str" cm="1">
        <f t="array" ref="Q15">_xlfn.IFS(N15&gt;=10,"High",N15&gt;=5,"Medium",N15&lt;5,"Low")</f>
        <v>High</v>
      </c>
      <c r="R15" s="3" t="str">
        <f t="shared" si="2"/>
        <v>Medium</v>
      </c>
      <c r="U15" s="13"/>
      <c r="V15" s="13"/>
    </row>
    <row r="16" spans="1:22" x14ac:dyDescent="0.25">
      <c r="A16" s="3">
        <v>10015</v>
      </c>
      <c r="B16" s="3">
        <v>1087</v>
      </c>
      <c r="C16" s="4">
        <v>45048</v>
      </c>
      <c r="D16" s="4">
        <v>45057</v>
      </c>
      <c r="E16" s="3" t="s">
        <v>39</v>
      </c>
      <c r="F16" s="3" t="s">
        <v>22</v>
      </c>
      <c r="G16" s="3" t="s">
        <v>23</v>
      </c>
      <c r="H16" s="3" t="s">
        <v>17</v>
      </c>
      <c r="I16" s="3" t="s">
        <v>51</v>
      </c>
      <c r="J16" s="3" t="s">
        <v>52</v>
      </c>
      <c r="K16" s="3" t="s">
        <v>20</v>
      </c>
      <c r="L16" s="3">
        <v>9</v>
      </c>
      <c r="M16" s="3">
        <v>705.59</v>
      </c>
      <c r="N16" s="3">
        <v>10</v>
      </c>
      <c r="O16" s="3">
        <f t="shared" si="0"/>
        <v>5715.2790000000005</v>
      </c>
      <c r="P16" s="3" t="str">
        <f t="shared" si="1"/>
        <v>Low Price</v>
      </c>
      <c r="Q16" s="3" t="str" cm="1">
        <f t="array" ref="Q16">_xlfn.IFS(N16&gt;=10,"High",N16&gt;=5,"Medium",N16&lt;5,"Low")</f>
        <v>High</v>
      </c>
      <c r="R16" s="3" t="str">
        <f t="shared" si="2"/>
        <v>High</v>
      </c>
      <c r="U16" s="13"/>
      <c r="V16" s="13"/>
    </row>
    <row r="17" spans="1:22" x14ac:dyDescent="0.25">
      <c r="A17" s="3">
        <v>10016</v>
      </c>
      <c r="B17" s="3">
        <v>1372</v>
      </c>
      <c r="C17" s="4">
        <v>44958</v>
      </c>
      <c r="D17" s="4">
        <v>44961</v>
      </c>
      <c r="E17" s="3" t="s">
        <v>21</v>
      </c>
      <c r="F17" s="3" t="s">
        <v>28</v>
      </c>
      <c r="G17" s="3" t="s">
        <v>16</v>
      </c>
      <c r="H17" s="3" t="s">
        <v>41</v>
      </c>
      <c r="I17" s="3" t="s">
        <v>30</v>
      </c>
      <c r="J17" s="3" t="s">
        <v>38</v>
      </c>
      <c r="K17" s="3" t="s">
        <v>20</v>
      </c>
      <c r="L17" s="3">
        <v>8</v>
      </c>
      <c r="M17" s="3">
        <v>595.45000000000005</v>
      </c>
      <c r="N17" s="3">
        <v>5</v>
      </c>
      <c r="O17" s="3">
        <f t="shared" si="0"/>
        <v>4525.42</v>
      </c>
      <c r="P17" s="3" t="str">
        <f t="shared" si="1"/>
        <v>Low Price</v>
      </c>
      <c r="Q17" s="3" t="str" cm="1">
        <f t="array" ref="Q17">_xlfn.IFS(N17&gt;=10,"High",N17&gt;=5,"Medium",N17&lt;5,"Low")</f>
        <v>Medium</v>
      </c>
      <c r="R17" s="3" t="str">
        <f t="shared" si="2"/>
        <v>Medium</v>
      </c>
      <c r="U17" s="13"/>
      <c r="V17" s="13"/>
    </row>
    <row r="18" spans="1:22" x14ac:dyDescent="0.25">
      <c r="A18" s="3">
        <v>10017</v>
      </c>
      <c r="B18" s="3">
        <v>1099</v>
      </c>
      <c r="C18" s="4">
        <v>45148</v>
      </c>
      <c r="D18" s="4">
        <v>45151</v>
      </c>
      <c r="E18" s="3" t="s">
        <v>15</v>
      </c>
      <c r="F18" s="3" t="s">
        <v>53</v>
      </c>
      <c r="G18" s="3" t="s">
        <v>16</v>
      </c>
      <c r="H18" s="3" t="s">
        <v>43</v>
      </c>
      <c r="I18" s="3" t="s">
        <v>30</v>
      </c>
      <c r="J18" s="3" t="s">
        <v>38</v>
      </c>
      <c r="K18" s="3" t="s">
        <v>27</v>
      </c>
      <c r="L18" s="3">
        <v>2</v>
      </c>
      <c r="M18" s="3">
        <v>254.91</v>
      </c>
      <c r="N18" s="3">
        <v>15</v>
      </c>
      <c r="O18" s="3">
        <f t="shared" si="0"/>
        <v>433.34699999999998</v>
      </c>
      <c r="P18" s="3" t="str">
        <f t="shared" si="1"/>
        <v>Low Price</v>
      </c>
      <c r="Q18" s="3" t="str" cm="1">
        <f t="array" ref="Q18">_xlfn.IFS(N18&gt;=10,"High",N18&gt;=5,"Medium",N18&lt;5,"Low")</f>
        <v>High</v>
      </c>
      <c r="R18" s="3" t="str">
        <f t="shared" si="2"/>
        <v>Low</v>
      </c>
      <c r="U18" s="13"/>
      <c r="V18" s="13"/>
    </row>
    <row r="19" spans="1:22" x14ac:dyDescent="0.25">
      <c r="A19" s="3">
        <v>10018</v>
      </c>
      <c r="B19" s="3">
        <v>1871</v>
      </c>
      <c r="C19" s="4">
        <v>45045</v>
      </c>
      <c r="D19" s="4">
        <v>45048</v>
      </c>
      <c r="E19" s="3" t="s">
        <v>14</v>
      </c>
      <c r="F19" s="3" t="s">
        <v>28</v>
      </c>
      <c r="G19" s="3" t="s">
        <v>23</v>
      </c>
      <c r="H19" s="3" t="s">
        <v>17</v>
      </c>
      <c r="I19" s="3" t="s">
        <v>18</v>
      </c>
      <c r="J19" s="3" t="s">
        <v>54</v>
      </c>
      <c r="K19" s="3" t="s">
        <v>27</v>
      </c>
      <c r="L19" s="3">
        <v>1</v>
      </c>
      <c r="M19" s="3">
        <v>2165.81</v>
      </c>
      <c r="N19" s="3">
        <v>15</v>
      </c>
      <c r="O19" s="3">
        <f t="shared" si="0"/>
        <v>1840.9385</v>
      </c>
      <c r="P19" s="3" t="str">
        <f t="shared" si="1"/>
        <v>Low Price</v>
      </c>
      <c r="Q19" s="3" t="str" cm="1">
        <f t="array" ref="Q19">_xlfn.IFS(N19&gt;=10,"High",N19&gt;=5,"Medium",N19&lt;5,"Low")</f>
        <v>High</v>
      </c>
      <c r="R19" s="3" t="str">
        <f t="shared" si="2"/>
        <v>Low</v>
      </c>
      <c r="U19" s="13"/>
      <c r="V19" s="13"/>
    </row>
    <row r="20" spans="1:22" x14ac:dyDescent="0.25">
      <c r="A20" s="3">
        <v>10019</v>
      </c>
      <c r="B20" s="3">
        <v>1663</v>
      </c>
      <c r="C20" s="4">
        <v>44965</v>
      </c>
      <c r="D20" s="4">
        <v>44968</v>
      </c>
      <c r="E20" s="3" t="s">
        <v>33</v>
      </c>
      <c r="F20" s="3" t="s">
        <v>37</v>
      </c>
      <c r="G20" s="3" t="s">
        <v>29</v>
      </c>
      <c r="H20" s="3" t="s">
        <v>41</v>
      </c>
      <c r="I20" s="3" t="s">
        <v>30</v>
      </c>
      <c r="J20" s="3" t="s">
        <v>38</v>
      </c>
      <c r="K20" s="3" t="s">
        <v>32</v>
      </c>
      <c r="L20" s="3">
        <v>2</v>
      </c>
      <c r="M20" s="3">
        <v>990.3</v>
      </c>
      <c r="N20" s="3">
        <v>15</v>
      </c>
      <c r="O20" s="3">
        <f t="shared" si="0"/>
        <v>1683.51</v>
      </c>
      <c r="P20" s="3" t="str">
        <f t="shared" si="1"/>
        <v>Low Price</v>
      </c>
      <c r="Q20" s="3" t="str" cm="1">
        <f t="array" ref="Q20">_xlfn.IFS(N20&gt;=10,"High",N20&gt;=5,"Medium",N20&lt;5,"Low")</f>
        <v>High</v>
      </c>
      <c r="R20" s="3" t="str">
        <f t="shared" si="2"/>
        <v>Low</v>
      </c>
    </row>
    <row r="21" spans="1:22" x14ac:dyDescent="0.25">
      <c r="A21" s="3">
        <v>10020</v>
      </c>
      <c r="B21" s="3">
        <v>1130</v>
      </c>
      <c r="C21" s="4">
        <v>45194</v>
      </c>
      <c r="D21" s="4">
        <v>45203</v>
      </c>
      <c r="E21" s="3" t="s">
        <v>45</v>
      </c>
      <c r="F21" s="3" t="s">
        <v>37</v>
      </c>
      <c r="G21" s="3" t="s">
        <v>16</v>
      </c>
      <c r="H21" s="3" t="s">
        <v>17</v>
      </c>
      <c r="I21" s="3" t="s">
        <v>48</v>
      </c>
      <c r="J21" s="3" t="s">
        <v>50</v>
      </c>
      <c r="K21" s="3" t="s">
        <v>20</v>
      </c>
      <c r="L21" s="3">
        <v>2</v>
      </c>
      <c r="M21" s="3">
        <v>3959.31</v>
      </c>
      <c r="N21" s="3">
        <v>5</v>
      </c>
      <c r="O21" s="3">
        <f t="shared" si="0"/>
        <v>7522.6889999999994</v>
      </c>
      <c r="P21" s="3" t="str">
        <f t="shared" si="1"/>
        <v>Low Price</v>
      </c>
      <c r="Q21" s="3" t="str" cm="1">
        <f t="array" ref="Q21">_xlfn.IFS(N21&gt;=10,"High",N21&gt;=5,"Medium",N21&lt;5,"Low")</f>
        <v>Medium</v>
      </c>
      <c r="R21" s="3" t="str">
        <f t="shared" si="2"/>
        <v>Low</v>
      </c>
    </row>
    <row r="22" spans="1:22" x14ac:dyDescent="0.25">
      <c r="A22" s="3">
        <v>10021</v>
      </c>
      <c r="B22" s="3">
        <v>1661</v>
      </c>
      <c r="C22" s="4">
        <v>45159</v>
      </c>
      <c r="D22" s="4">
        <v>45163</v>
      </c>
      <c r="E22" s="3" t="s">
        <v>45</v>
      </c>
      <c r="F22" s="3" t="s">
        <v>28</v>
      </c>
      <c r="G22" s="3" t="s">
        <v>23</v>
      </c>
      <c r="H22" s="3" t="s">
        <v>17</v>
      </c>
      <c r="I22" s="3" t="s">
        <v>51</v>
      </c>
      <c r="J22" s="3" t="s">
        <v>55</v>
      </c>
      <c r="K22" s="3" t="s">
        <v>20</v>
      </c>
      <c r="L22" s="3">
        <v>3</v>
      </c>
      <c r="M22" s="3">
        <v>2361.58</v>
      </c>
      <c r="N22" s="3">
        <v>5</v>
      </c>
      <c r="O22" s="3">
        <f t="shared" si="0"/>
        <v>6730.5029999999997</v>
      </c>
      <c r="P22" s="3" t="str">
        <f t="shared" si="1"/>
        <v>Low Price</v>
      </c>
      <c r="Q22" s="3" t="str" cm="1">
        <f t="array" ref="Q22">_xlfn.IFS(N22&gt;=10,"High",N22&gt;=5,"Medium",N22&lt;5,"Low")</f>
        <v>Medium</v>
      </c>
      <c r="R22" s="3" t="str">
        <f t="shared" si="2"/>
        <v>Low</v>
      </c>
    </row>
    <row r="23" spans="1:22" x14ac:dyDescent="0.25">
      <c r="A23" s="3">
        <v>10022</v>
      </c>
      <c r="B23" s="3">
        <v>1308</v>
      </c>
      <c r="C23" s="4">
        <v>44944</v>
      </c>
      <c r="D23" s="4">
        <v>44951</v>
      </c>
      <c r="E23" s="3" t="s">
        <v>36</v>
      </c>
      <c r="F23" s="3" t="s">
        <v>22</v>
      </c>
      <c r="G23" s="3" t="s">
        <v>29</v>
      </c>
      <c r="H23" s="3" t="s">
        <v>34</v>
      </c>
      <c r="I23" s="3" t="s">
        <v>56</v>
      </c>
      <c r="J23" s="3" t="s">
        <v>57</v>
      </c>
      <c r="K23" s="3" t="s">
        <v>32</v>
      </c>
      <c r="L23" s="3">
        <v>7</v>
      </c>
      <c r="M23" s="3">
        <v>680.86</v>
      </c>
      <c r="N23" s="3">
        <v>20</v>
      </c>
      <c r="O23" s="3">
        <f t="shared" si="0"/>
        <v>3812.8160000000007</v>
      </c>
      <c r="P23" s="3" t="str">
        <f t="shared" si="1"/>
        <v>Low Price</v>
      </c>
      <c r="Q23" s="3" t="str" cm="1">
        <f t="array" ref="Q23">_xlfn.IFS(N23&gt;=10,"High",N23&gt;=5,"Medium",N23&lt;5,"Low")</f>
        <v>High</v>
      </c>
      <c r="R23" s="3" t="str">
        <f t="shared" si="2"/>
        <v>Medium</v>
      </c>
    </row>
    <row r="24" spans="1:22" x14ac:dyDescent="0.25">
      <c r="A24" s="3">
        <v>10023</v>
      </c>
      <c r="B24" s="3">
        <v>1769</v>
      </c>
      <c r="C24" s="4">
        <v>45075</v>
      </c>
      <c r="D24" s="4">
        <v>45084</v>
      </c>
      <c r="E24" s="3" t="s">
        <v>15</v>
      </c>
      <c r="F24" s="3" t="s">
        <v>22</v>
      </c>
      <c r="G24" s="3" t="s">
        <v>16</v>
      </c>
      <c r="H24" s="3" t="s">
        <v>41</v>
      </c>
      <c r="I24" s="3" t="s">
        <v>30</v>
      </c>
      <c r="J24" s="3" t="s">
        <v>31</v>
      </c>
      <c r="K24" s="3" t="s">
        <v>44</v>
      </c>
      <c r="L24" s="3">
        <v>2</v>
      </c>
      <c r="M24" s="3">
        <v>2801.74</v>
      </c>
      <c r="N24" s="3">
        <v>20</v>
      </c>
      <c r="O24" s="3">
        <f t="shared" si="0"/>
        <v>4482.7839999999997</v>
      </c>
      <c r="P24" s="3" t="str">
        <f t="shared" si="1"/>
        <v>Low Price</v>
      </c>
      <c r="Q24" s="3" t="str" cm="1">
        <f t="array" ref="Q24">_xlfn.IFS(N24&gt;=10,"High",N24&gt;=5,"Medium",N24&lt;5,"Low")</f>
        <v>High</v>
      </c>
      <c r="R24" s="3" t="str">
        <f t="shared" si="2"/>
        <v>Low</v>
      </c>
    </row>
    <row r="25" spans="1:22" x14ac:dyDescent="0.25">
      <c r="A25" s="3">
        <v>10024</v>
      </c>
      <c r="B25" s="3">
        <v>1343</v>
      </c>
      <c r="C25" s="4">
        <v>45075</v>
      </c>
      <c r="D25" s="4">
        <v>45082</v>
      </c>
      <c r="E25" s="3" t="s">
        <v>21</v>
      </c>
      <c r="F25" s="3" t="s">
        <v>40</v>
      </c>
      <c r="G25" s="3" t="s">
        <v>16</v>
      </c>
      <c r="H25" s="3" t="s">
        <v>43</v>
      </c>
      <c r="I25" s="3" t="s">
        <v>48</v>
      </c>
      <c r="J25" s="3" t="s">
        <v>50</v>
      </c>
      <c r="K25" s="3" t="s">
        <v>44</v>
      </c>
      <c r="L25" s="3">
        <v>1</v>
      </c>
      <c r="M25" s="3">
        <v>3606.31</v>
      </c>
      <c r="N25" s="3">
        <v>0</v>
      </c>
      <c r="O25" s="3">
        <f t="shared" si="0"/>
        <v>3606.31</v>
      </c>
      <c r="P25" s="3" t="str">
        <f t="shared" si="1"/>
        <v>Low Price</v>
      </c>
      <c r="Q25" s="3" t="str" cm="1">
        <f t="array" ref="Q25">_xlfn.IFS(N25&gt;=10,"High",N25&gt;=5,"Medium",N25&lt;5,"Low")</f>
        <v>Low</v>
      </c>
      <c r="R25" s="3" t="str">
        <f t="shared" si="2"/>
        <v>Low</v>
      </c>
    </row>
    <row r="26" spans="1:22" x14ac:dyDescent="0.25">
      <c r="A26" s="3">
        <v>10025</v>
      </c>
      <c r="B26" s="3">
        <v>1491</v>
      </c>
      <c r="C26" s="4">
        <v>45052</v>
      </c>
      <c r="D26" s="4">
        <v>45061</v>
      </c>
      <c r="E26" s="3" t="s">
        <v>36</v>
      </c>
      <c r="F26" s="3" t="s">
        <v>37</v>
      </c>
      <c r="G26" s="3" t="s">
        <v>29</v>
      </c>
      <c r="H26" s="3" t="s">
        <v>43</v>
      </c>
      <c r="I26" s="3" t="s">
        <v>56</v>
      </c>
      <c r="J26" s="3" t="s">
        <v>58</v>
      </c>
      <c r="K26" s="3" t="s">
        <v>44</v>
      </c>
      <c r="L26" s="3">
        <v>6</v>
      </c>
      <c r="M26" s="3">
        <v>3018.94</v>
      </c>
      <c r="N26" s="3">
        <v>5</v>
      </c>
      <c r="O26" s="3">
        <f t="shared" si="0"/>
        <v>17207.957999999999</v>
      </c>
      <c r="P26" s="3" t="str">
        <f t="shared" si="1"/>
        <v>High Price</v>
      </c>
      <c r="Q26" s="3" t="str" cm="1">
        <f t="array" ref="Q26">_xlfn.IFS(N26&gt;=10,"High",N26&gt;=5,"Medium",N26&lt;5,"Low")</f>
        <v>Medium</v>
      </c>
      <c r="R26" s="3" t="str">
        <f t="shared" si="2"/>
        <v>Medium</v>
      </c>
    </row>
    <row r="27" spans="1:22" x14ac:dyDescent="0.25">
      <c r="A27" s="3">
        <v>10026</v>
      </c>
      <c r="B27" s="3">
        <v>1413</v>
      </c>
      <c r="C27" s="4">
        <v>45228</v>
      </c>
      <c r="D27" s="4">
        <v>45231</v>
      </c>
      <c r="E27" s="3" t="s">
        <v>33</v>
      </c>
      <c r="F27" s="3" t="s">
        <v>15</v>
      </c>
      <c r="G27" s="3" t="s">
        <v>29</v>
      </c>
      <c r="H27" s="3" t="s">
        <v>41</v>
      </c>
      <c r="I27" s="3" t="s">
        <v>51</v>
      </c>
      <c r="J27" s="3" t="s">
        <v>59</v>
      </c>
      <c r="K27" s="3" t="s">
        <v>32</v>
      </c>
      <c r="L27" s="3">
        <v>9</v>
      </c>
      <c r="M27" s="3">
        <v>444.29</v>
      </c>
      <c r="N27" s="3">
        <v>5</v>
      </c>
      <c r="O27" s="3">
        <f t="shared" si="0"/>
        <v>3798.6794999999997</v>
      </c>
      <c r="P27" s="3" t="str">
        <f t="shared" si="1"/>
        <v>Low Price</v>
      </c>
      <c r="Q27" s="3" t="str" cm="1">
        <f t="array" ref="Q27">_xlfn.IFS(N27&gt;=10,"High",N27&gt;=5,"Medium",N27&lt;5,"Low")</f>
        <v>Medium</v>
      </c>
      <c r="R27" s="3" t="str">
        <f t="shared" si="2"/>
        <v>High</v>
      </c>
    </row>
    <row r="28" spans="1:22" x14ac:dyDescent="0.25">
      <c r="A28" s="3">
        <v>10027</v>
      </c>
      <c r="B28" s="3">
        <v>1805</v>
      </c>
      <c r="C28" s="4">
        <v>45286</v>
      </c>
      <c r="D28" s="4">
        <v>45290</v>
      </c>
      <c r="E28" s="3" t="s">
        <v>36</v>
      </c>
      <c r="F28" s="3" t="s">
        <v>40</v>
      </c>
      <c r="G28" s="3" t="s">
        <v>23</v>
      </c>
      <c r="H28" s="3" t="s">
        <v>34</v>
      </c>
      <c r="I28" s="3" t="s">
        <v>56</v>
      </c>
      <c r="J28" s="3" t="s">
        <v>57</v>
      </c>
      <c r="K28" s="3" t="s">
        <v>20</v>
      </c>
      <c r="L28" s="3">
        <v>3</v>
      </c>
      <c r="M28" s="3">
        <v>3599.15</v>
      </c>
      <c r="N28" s="3">
        <v>5</v>
      </c>
      <c r="O28" s="3">
        <f t="shared" si="0"/>
        <v>10257.577499999999</v>
      </c>
      <c r="P28" s="3" t="str">
        <f t="shared" si="1"/>
        <v>Low Price</v>
      </c>
      <c r="Q28" s="3" t="str" cm="1">
        <f t="array" ref="Q28">_xlfn.IFS(N28&gt;=10,"High",N28&gt;=5,"Medium",N28&lt;5,"Low")</f>
        <v>Medium</v>
      </c>
      <c r="R28" s="3" t="str">
        <f t="shared" si="2"/>
        <v>Low</v>
      </c>
    </row>
    <row r="29" spans="1:22" x14ac:dyDescent="0.25">
      <c r="A29" s="3">
        <v>10028</v>
      </c>
      <c r="B29" s="3">
        <v>1385</v>
      </c>
      <c r="C29" s="4">
        <v>45164</v>
      </c>
      <c r="D29" s="4">
        <v>45172</v>
      </c>
      <c r="E29" s="3" t="s">
        <v>39</v>
      </c>
      <c r="F29" s="3" t="s">
        <v>22</v>
      </c>
      <c r="G29" s="3" t="s">
        <v>23</v>
      </c>
      <c r="H29" s="3" t="s">
        <v>24</v>
      </c>
      <c r="I29" s="3" t="s">
        <v>48</v>
      </c>
      <c r="J29" s="3" t="s">
        <v>50</v>
      </c>
      <c r="K29" s="3" t="s">
        <v>32</v>
      </c>
      <c r="L29" s="3">
        <v>6</v>
      </c>
      <c r="M29" s="3">
        <v>3206.63</v>
      </c>
      <c r="N29" s="3">
        <v>20</v>
      </c>
      <c r="O29" s="3">
        <f t="shared" si="0"/>
        <v>15391.824000000001</v>
      </c>
      <c r="P29" s="3" t="str">
        <f t="shared" si="1"/>
        <v>High Price</v>
      </c>
      <c r="Q29" s="3" t="str" cm="1">
        <f t="array" ref="Q29">_xlfn.IFS(N29&gt;=10,"High",N29&gt;=5,"Medium",N29&lt;5,"Low")</f>
        <v>High</v>
      </c>
      <c r="R29" s="3" t="str">
        <f t="shared" si="2"/>
        <v>Medium</v>
      </c>
    </row>
    <row r="30" spans="1:22" x14ac:dyDescent="0.25">
      <c r="A30" s="3">
        <v>10029</v>
      </c>
      <c r="B30" s="3">
        <v>1191</v>
      </c>
      <c r="C30" s="4">
        <v>45061</v>
      </c>
      <c r="D30" s="4">
        <v>45067</v>
      </c>
      <c r="E30" s="3" t="s">
        <v>45</v>
      </c>
      <c r="F30" s="3" t="s">
        <v>28</v>
      </c>
      <c r="G30" s="3" t="s">
        <v>16</v>
      </c>
      <c r="H30" s="3" t="s">
        <v>17</v>
      </c>
      <c r="I30" s="3" t="s">
        <v>25</v>
      </c>
      <c r="J30" s="3" t="s">
        <v>26</v>
      </c>
      <c r="K30" s="3" t="s">
        <v>32</v>
      </c>
      <c r="L30" s="3">
        <v>3</v>
      </c>
      <c r="M30" s="3">
        <v>759.47</v>
      </c>
      <c r="N30" s="3">
        <v>15</v>
      </c>
      <c r="O30" s="3">
        <f t="shared" si="0"/>
        <v>1936.6484999999998</v>
      </c>
      <c r="P30" s="3" t="str">
        <f t="shared" si="1"/>
        <v>Low Price</v>
      </c>
      <c r="Q30" s="3" t="str" cm="1">
        <f t="array" ref="Q30">_xlfn.IFS(N30&gt;=10,"High",N30&gt;=5,"Medium",N30&lt;5,"Low")</f>
        <v>High</v>
      </c>
      <c r="R30" s="3" t="str">
        <f t="shared" si="2"/>
        <v>Low</v>
      </c>
    </row>
    <row r="31" spans="1:22" x14ac:dyDescent="0.25">
      <c r="A31" s="3">
        <v>10030</v>
      </c>
      <c r="B31" s="3">
        <v>1955</v>
      </c>
      <c r="C31" s="4">
        <v>45077</v>
      </c>
      <c r="D31" s="4">
        <v>45082</v>
      </c>
      <c r="E31" s="3" t="s">
        <v>45</v>
      </c>
      <c r="F31" s="3" t="s">
        <v>22</v>
      </c>
      <c r="G31" s="3" t="s">
        <v>29</v>
      </c>
      <c r="H31" s="3" t="s">
        <v>34</v>
      </c>
      <c r="I31" s="3" t="s">
        <v>25</v>
      </c>
      <c r="J31" s="3" t="s">
        <v>60</v>
      </c>
      <c r="K31" s="3" t="s">
        <v>44</v>
      </c>
      <c r="L31" s="3">
        <v>1</v>
      </c>
      <c r="M31" s="3">
        <v>349.38</v>
      </c>
      <c r="N31" s="3">
        <v>10</v>
      </c>
      <c r="O31" s="3">
        <f t="shared" si="0"/>
        <v>314.44200000000001</v>
      </c>
      <c r="P31" s="3" t="str">
        <f t="shared" si="1"/>
        <v>Low Price</v>
      </c>
      <c r="Q31" s="3" t="str" cm="1">
        <f t="array" ref="Q31">_xlfn.IFS(N31&gt;=10,"High",N31&gt;=5,"Medium",N31&lt;5,"Low")</f>
        <v>High</v>
      </c>
      <c r="R31" s="3" t="str">
        <f t="shared" si="2"/>
        <v>Low</v>
      </c>
    </row>
    <row r="32" spans="1:22" x14ac:dyDescent="0.25">
      <c r="A32" s="3">
        <v>10031</v>
      </c>
      <c r="B32" s="3">
        <v>1276</v>
      </c>
      <c r="C32" s="4">
        <v>45162</v>
      </c>
      <c r="D32" s="4">
        <v>45166</v>
      </c>
      <c r="E32" s="3" t="s">
        <v>14</v>
      </c>
      <c r="F32" s="3" t="s">
        <v>28</v>
      </c>
      <c r="G32" s="3" t="s">
        <v>29</v>
      </c>
      <c r="H32" s="3" t="s">
        <v>41</v>
      </c>
      <c r="I32" s="3" t="s">
        <v>56</v>
      </c>
      <c r="J32" s="3" t="s">
        <v>61</v>
      </c>
      <c r="K32" s="3" t="s">
        <v>46</v>
      </c>
      <c r="L32" s="3">
        <v>5</v>
      </c>
      <c r="M32" s="3">
        <v>2295.65</v>
      </c>
      <c r="N32" s="3">
        <v>20</v>
      </c>
      <c r="O32" s="3">
        <f t="shared" si="0"/>
        <v>9182.6</v>
      </c>
      <c r="P32" s="3" t="str">
        <f t="shared" si="1"/>
        <v>Low Price</v>
      </c>
      <c r="Q32" s="3" t="str" cm="1">
        <f t="array" ref="Q32">_xlfn.IFS(N32&gt;=10,"High",N32&gt;=5,"Medium",N32&lt;5,"Low")</f>
        <v>High</v>
      </c>
      <c r="R32" s="3" t="str">
        <f t="shared" si="2"/>
        <v>Medium</v>
      </c>
    </row>
    <row r="33" spans="1:18" x14ac:dyDescent="0.25">
      <c r="A33" s="3">
        <v>10032</v>
      </c>
      <c r="B33" s="3">
        <v>1160</v>
      </c>
      <c r="C33" s="4">
        <v>45150</v>
      </c>
      <c r="D33" s="4">
        <v>45158</v>
      </c>
      <c r="E33" s="3" t="s">
        <v>14</v>
      </c>
      <c r="F33" s="3" t="s">
        <v>40</v>
      </c>
      <c r="G33" s="3" t="s">
        <v>29</v>
      </c>
      <c r="H33" s="3" t="s">
        <v>17</v>
      </c>
      <c r="I33" s="3" t="s">
        <v>18</v>
      </c>
      <c r="J33" s="3" t="s">
        <v>42</v>
      </c>
      <c r="K33" s="3" t="s">
        <v>20</v>
      </c>
      <c r="L33" s="3">
        <v>4</v>
      </c>
      <c r="M33" s="3">
        <v>750.74</v>
      </c>
      <c r="N33" s="3">
        <v>5</v>
      </c>
      <c r="O33" s="3">
        <f t="shared" si="0"/>
        <v>2852.8119999999999</v>
      </c>
      <c r="P33" s="3" t="str">
        <f t="shared" si="1"/>
        <v>Low Price</v>
      </c>
      <c r="Q33" s="3" t="str" cm="1">
        <f t="array" ref="Q33">_xlfn.IFS(N33&gt;=10,"High",N33&gt;=5,"Medium",N33&lt;5,"Low")</f>
        <v>Medium</v>
      </c>
      <c r="R33" s="3" t="str">
        <f t="shared" si="2"/>
        <v>Low</v>
      </c>
    </row>
    <row r="34" spans="1:18" x14ac:dyDescent="0.25">
      <c r="A34" s="3">
        <v>10033</v>
      </c>
      <c r="B34" s="3">
        <v>1459</v>
      </c>
      <c r="C34" s="4">
        <v>45129</v>
      </c>
      <c r="D34" s="4">
        <v>45130</v>
      </c>
      <c r="E34" s="3" t="s">
        <v>21</v>
      </c>
      <c r="F34" s="3" t="s">
        <v>37</v>
      </c>
      <c r="G34" s="3" t="s">
        <v>16</v>
      </c>
      <c r="H34" s="3" t="s">
        <v>43</v>
      </c>
      <c r="I34" s="3" t="s">
        <v>56</v>
      </c>
      <c r="J34" s="3" t="s">
        <v>58</v>
      </c>
      <c r="K34" s="3" t="s">
        <v>44</v>
      </c>
      <c r="L34" s="3">
        <v>7</v>
      </c>
      <c r="M34" s="3">
        <v>3363.18</v>
      </c>
      <c r="N34" s="3">
        <v>20</v>
      </c>
      <c r="O34" s="3">
        <f t="shared" si="0"/>
        <v>18833.808000000001</v>
      </c>
      <c r="P34" s="3" t="str">
        <f t="shared" si="1"/>
        <v>High Price</v>
      </c>
      <c r="Q34" s="3" t="str" cm="1">
        <f t="array" ref="Q34">_xlfn.IFS(N34&gt;=10,"High",N34&gt;=5,"Medium",N34&lt;5,"Low")</f>
        <v>High</v>
      </c>
      <c r="R34" s="3" t="str">
        <f t="shared" si="2"/>
        <v>Medium</v>
      </c>
    </row>
    <row r="35" spans="1:18" x14ac:dyDescent="0.25">
      <c r="A35" s="3">
        <v>10034</v>
      </c>
      <c r="B35" s="3">
        <v>1313</v>
      </c>
      <c r="C35" s="4">
        <v>45182</v>
      </c>
      <c r="D35" s="4">
        <v>45191</v>
      </c>
      <c r="E35" s="3" t="s">
        <v>33</v>
      </c>
      <c r="F35" s="3" t="s">
        <v>22</v>
      </c>
      <c r="G35" s="3" t="s">
        <v>29</v>
      </c>
      <c r="H35" s="3" t="s">
        <v>24</v>
      </c>
      <c r="I35" s="3" t="s">
        <v>30</v>
      </c>
      <c r="J35" s="3" t="s">
        <v>47</v>
      </c>
      <c r="K35" s="3" t="s">
        <v>46</v>
      </c>
      <c r="L35" s="3">
        <v>6</v>
      </c>
      <c r="M35" s="3">
        <v>1529.59</v>
      </c>
      <c r="N35" s="3">
        <v>0</v>
      </c>
      <c r="O35" s="3">
        <f t="shared" si="0"/>
        <v>9177.5399999999991</v>
      </c>
      <c r="P35" s="3" t="str">
        <f t="shared" si="1"/>
        <v>Low Price</v>
      </c>
      <c r="Q35" s="3" t="str" cm="1">
        <f t="array" ref="Q35">_xlfn.IFS(N35&gt;=10,"High",N35&gt;=5,"Medium",N35&lt;5,"Low")</f>
        <v>Low</v>
      </c>
      <c r="R35" s="3" t="str">
        <f t="shared" si="2"/>
        <v>Medium</v>
      </c>
    </row>
    <row r="36" spans="1:18" x14ac:dyDescent="0.25">
      <c r="A36" s="3">
        <v>10035</v>
      </c>
      <c r="B36" s="3">
        <v>1021</v>
      </c>
      <c r="C36" s="4">
        <v>45012</v>
      </c>
      <c r="D36" s="4">
        <v>45013</v>
      </c>
      <c r="E36" s="3" t="s">
        <v>39</v>
      </c>
      <c r="F36" s="3" t="s">
        <v>28</v>
      </c>
      <c r="G36" s="3" t="s">
        <v>29</v>
      </c>
      <c r="H36" s="3" t="s">
        <v>43</v>
      </c>
      <c r="I36" s="3" t="s">
        <v>30</v>
      </c>
      <c r="J36" s="3" t="s">
        <v>47</v>
      </c>
      <c r="K36" s="3" t="s">
        <v>46</v>
      </c>
      <c r="L36" s="3">
        <v>7</v>
      </c>
      <c r="M36" s="3">
        <v>3664.64</v>
      </c>
      <c r="N36" s="3">
        <v>5</v>
      </c>
      <c r="O36" s="3">
        <f t="shared" si="0"/>
        <v>24369.856</v>
      </c>
      <c r="P36" s="3" t="str">
        <f t="shared" si="1"/>
        <v>High Price</v>
      </c>
      <c r="Q36" s="3" t="str" cm="1">
        <f t="array" ref="Q36">_xlfn.IFS(N36&gt;=10,"High",N36&gt;=5,"Medium",N36&lt;5,"Low")</f>
        <v>Medium</v>
      </c>
      <c r="R36" s="3" t="str">
        <f t="shared" si="2"/>
        <v>Medium</v>
      </c>
    </row>
    <row r="37" spans="1:18" x14ac:dyDescent="0.25">
      <c r="A37" s="3">
        <v>10036</v>
      </c>
      <c r="B37" s="3">
        <v>1252</v>
      </c>
      <c r="C37" s="4">
        <v>45076</v>
      </c>
      <c r="D37" s="4">
        <v>45084</v>
      </c>
      <c r="E37" s="3" t="s">
        <v>15</v>
      </c>
      <c r="F37" s="3" t="s">
        <v>37</v>
      </c>
      <c r="G37" s="3" t="s">
        <v>16</v>
      </c>
      <c r="H37" s="3" t="s">
        <v>41</v>
      </c>
      <c r="I37" s="3" t="s">
        <v>25</v>
      </c>
      <c r="J37" s="3" t="s">
        <v>26</v>
      </c>
      <c r="K37" s="3" t="s">
        <v>27</v>
      </c>
      <c r="L37" s="3">
        <v>5</v>
      </c>
      <c r="M37" s="3">
        <v>2327.9</v>
      </c>
      <c r="N37" s="3">
        <v>0</v>
      </c>
      <c r="O37" s="3">
        <f t="shared" si="0"/>
        <v>11639.5</v>
      </c>
      <c r="P37" s="3" t="str">
        <f t="shared" si="1"/>
        <v>Low Price</v>
      </c>
      <c r="Q37" s="3" t="str" cm="1">
        <f t="array" ref="Q37">_xlfn.IFS(N37&gt;=10,"High",N37&gt;=5,"Medium",N37&lt;5,"Low")</f>
        <v>Low</v>
      </c>
      <c r="R37" s="3" t="str">
        <f t="shared" si="2"/>
        <v>Medium</v>
      </c>
    </row>
    <row r="38" spans="1:18" x14ac:dyDescent="0.25">
      <c r="A38" s="3">
        <v>10037</v>
      </c>
      <c r="B38" s="3">
        <v>1747</v>
      </c>
      <c r="C38" s="4">
        <v>45161</v>
      </c>
      <c r="D38" s="4">
        <v>45165</v>
      </c>
      <c r="E38" s="3" t="s">
        <v>36</v>
      </c>
      <c r="F38" s="3" t="s">
        <v>15</v>
      </c>
      <c r="G38" s="3" t="s">
        <v>23</v>
      </c>
      <c r="H38" s="3" t="s">
        <v>17</v>
      </c>
      <c r="I38" s="3" t="s">
        <v>18</v>
      </c>
      <c r="J38" s="3" t="s">
        <v>54</v>
      </c>
      <c r="K38" s="3" t="s">
        <v>20</v>
      </c>
      <c r="L38" s="3">
        <v>4</v>
      </c>
      <c r="M38" s="3">
        <v>853.29</v>
      </c>
      <c r="N38" s="3">
        <v>5</v>
      </c>
      <c r="O38" s="3">
        <f t="shared" si="0"/>
        <v>3242.5019999999995</v>
      </c>
      <c r="P38" s="3" t="str">
        <f t="shared" si="1"/>
        <v>Low Price</v>
      </c>
      <c r="Q38" s="3" t="str" cm="1">
        <f t="array" ref="Q38">_xlfn.IFS(N38&gt;=10,"High",N38&gt;=5,"Medium",N38&lt;5,"Low")</f>
        <v>Medium</v>
      </c>
      <c r="R38" s="3" t="str">
        <f t="shared" si="2"/>
        <v>Low</v>
      </c>
    </row>
    <row r="39" spans="1:18" x14ac:dyDescent="0.25">
      <c r="A39" s="3">
        <v>10038</v>
      </c>
      <c r="B39" s="3">
        <v>1856</v>
      </c>
      <c r="C39" s="4">
        <v>45271</v>
      </c>
      <c r="D39" s="4">
        <v>45280</v>
      </c>
      <c r="E39" s="3" t="s">
        <v>21</v>
      </c>
      <c r="F39" s="3" t="s">
        <v>28</v>
      </c>
      <c r="G39" s="3" t="s">
        <v>23</v>
      </c>
      <c r="H39" s="3" t="s">
        <v>41</v>
      </c>
      <c r="I39" s="3" t="s">
        <v>48</v>
      </c>
      <c r="J39" s="3" t="s">
        <v>62</v>
      </c>
      <c r="K39" s="3" t="s">
        <v>46</v>
      </c>
      <c r="L39" s="3">
        <v>7</v>
      </c>
      <c r="M39" s="3">
        <v>687.46</v>
      </c>
      <c r="N39" s="3">
        <v>20</v>
      </c>
      <c r="O39" s="3">
        <f t="shared" si="0"/>
        <v>3849.7760000000003</v>
      </c>
      <c r="P39" s="3" t="str">
        <f t="shared" si="1"/>
        <v>Low Price</v>
      </c>
      <c r="Q39" s="3" t="str" cm="1">
        <f t="array" ref="Q39">_xlfn.IFS(N39&gt;=10,"High",N39&gt;=5,"Medium",N39&lt;5,"Low")</f>
        <v>High</v>
      </c>
      <c r="R39" s="3" t="str">
        <f t="shared" si="2"/>
        <v>Medium</v>
      </c>
    </row>
    <row r="40" spans="1:18" x14ac:dyDescent="0.25">
      <c r="A40" s="3">
        <v>10039</v>
      </c>
      <c r="B40" s="3">
        <v>1560</v>
      </c>
      <c r="C40" s="4">
        <v>44948</v>
      </c>
      <c r="D40" s="4">
        <v>44953</v>
      </c>
      <c r="E40" s="3" t="s">
        <v>33</v>
      </c>
      <c r="F40" s="3" t="s">
        <v>40</v>
      </c>
      <c r="G40" s="3" t="s">
        <v>16</v>
      </c>
      <c r="H40" s="3" t="s">
        <v>17</v>
      </c>
      <c r="I40" s="3" t="s">
        <v>30</v>
      </c>
      <c r="J40" s="3" t="s">
        <v>47</v>
      </c>
      <c r="K40" s="3" t="s">
        <v>44</v>
      </c>
      <c r="L40" s="3">
        <v>7</v>
      </c>
      <c r="M40" s="3">
        <v>2369.42</v>
      </c>
      <c r="N40" s="3">
        <v>15</v>
      </c>
      <c r="O40" s="3">
        <f t="shared" si="0"/>
        <v>14098.049000000001</v>
      </c>
      <c r="P40" s="3" t="str">
        <f t="shared" si="1"/>
        <v>Low Price</v>
      </c>
      <c r="Q40" s="3" t="str" cm="1">
        <f t="array" ref="Q40">_xlfn.IFS(N40&gt;=10,"High",N40&gt;=5,"Medium",N40&lt;5,"Low")</f>
        <v>High</v>
      </c>
      <c r="R40" s="3" t="str">
        <f t="shared" si="2"/>
        <v>Medium</v>
      </c>
    </row>
    <row r="41" spans="1:18" x14ac:dyDescent="0.25">
      <c r="A41" s="3">
        <v>10040</v>
      </c>
      <c r="B41" s="3">
        <v>1474</v>
      </c>
      <c r="C41" s="4">
        <v>45274</v>
      </c>
      <c r="D41" s="4">
        <v>45277</v>
      </c>
      <c r="E41" s="3" t="s">
        <v>14</v>
      </c>
      <c r="F41" s="3" t="s">
        <v>15</v>
      </c>
      <c r="G41" s="3" t="s">
        <v>29</v>
      </c>
      <c r="H41" s="3" t="s">
        <v>34</v>
      </c>
      <c r="I41" s="3" t="s">
        <v>25</v>
      </c>
      <c r="J41" s="3" t="s">
        <v>26</v>
      </c>
      <c r="K41" s="3" t="s">
        <v>27</v>
      </c>
      <c r="L41" s="3">
        <v>6</v>
      </c>
      <c r="M41" s="3">
        <v>3083.25</v>
      </c>
      <c r="N41" s="3">
        <v>10</v>
      </c>
      <c r="O41" s="3">
        <f t="shared" si="0"/>
        <v>16649.55</v>
      </c>
      <c r="P41" s="3" t="str">
        <f t="shared" si="1"/>
        <v>High Price</v>
      </c>
      <c r="Q41" s="3" t="str" cm="1">
        <f t="array" ref="Q41">_xlfn.IFS(N41&gt;=10,"High",N41&gt;=5,"Medium",N41&lt;5,"Low")</f>
        <v>High</v>
      </c>
      <c r="R41" s="3" t="str">
        <f t="shared" si="2"/>
        <v>Medium</v>
      </c>
    </row>
    <row r="42" spans="1:18" x14ac:dyDescent="0.25">
      <c r="A42" s="3">
        <v>10041</v>
      </c>
      <c r="B42" s="3">
        <v>1058</v>
      </c>
      <c r="C42" s="4">
        <v>45211</v>
      </c>
      <c r="D42" s="4">
        <v>45220</v>
      </c>
      <c r="E42" s="3" t="s">
        <v>36</v>
      </c>
      <c r="F42" s="3" t="s">
        <v>15</v>
      </c>
      <c r="G42" s="3" t="s">
        <v>16</v>
      </c>
      <c r="H42" s="3" t="s">
        <v>24</v>
      </c>
      <c r="I42" s="3" t="s">
        <v>51</v>
      </c>
      <c r="J42" s="3" t="s">
        <v>63</v>
      </c>
      <c r="K42" s="3" t="s">
        <v>20</v>
      </c>
      <c r="L42" s="3">
        <v>8</v>
      </c>
      <c r="M42" s="3">
        <v>3158.8</v>
      </c>
      <c r="N42" s="3">
        <v>0</v>
      </c>
      <c r="O42" s="3">
        <f t="shared" si="0"/>
        <v>25270.400000000001</v>
      </c>
      <c r="P42" s="3" t="str">
        <f t="shared" si="1"/>
        <v>High Price</v>
      </c>
      <c r="Q42" s="3" t="str" cm="1">
        <f t="array" ref="Q42">_xlfn.IFS(N42&gt;=10,"High",N42&gt;=5,"Medium",N42&lt;5,"Low")</f>
        <v>Low</v>
      </c>
      <c r="R42" s="3" t="str">
        <f t="shared" si="2"/>
        <v>Medium</v>
      </c>
    </row>
    <row r="43" spans="1:18" x14ac:dyDescent="0.25">
      <c r="A43" s="3">
        <v>10042</v>
      </c>
      <c r="B43" s="3">
        <v>1510</v>
      </c>
      <c r="C43" s="4">
        <v>45195</v>
      </c>
      <c r="D43" s="4">
        <v>45204</v>
      </c>
      <c r="E43" s="3" t="s">
        <v>14</v>
      </c>
      <c r="F43" s="3" t="s">
        <v>53</v>
      </c>
      <c r="G43" s="3" t="s">
        <v>23</v>
      </c>
      <c r="H43" s="3" t="s">
        <v>34</v>
      </c>
      <c r="I43" s="3" t="s">
        <v>25</v>
      </c>
      <c r="J43" s="3" t="s">
        <v>26</v>
      </c>
      <c r="K43" s="3" t="s">
        <v>32</v>
      </c>
      <c r="L43" s="3">
        <v>4</v>
      </c>
      <c r="M43" s="3">
        <v>1211.67</v>
      </c>
      <c r="N43" s="3">
        <v>20</v>
      </c>
      <c r="O43" s="3">
        <f t="shared" si="0"/>
        <v>3877.3440000000005</v>
      </c>
      <c r="P43" s="3" t="str">
        <f t="shared" si="1"/>
        <v>Low Price</v>
      </c>
      <c r="Q43" s="3" t="str" cm="1">
        <f t="array" ref="Q43">_xlfn.IFS(N43&gt;=10,"High",N43&gt;=5,"Medium",N43&lt;5,"Low")</f>
        <v>High</v>
      </c>
      <c r="R43" s="3" t="str">
        <f t="shared" si="2"/>
        <v>Low</v>
      </c>
    </row>
    <row r="44" spans="1:18" x14ac:dyDescent="0.25">
      <c r="A44" s="3">
        <v>10043</v>
      </c>
      <c r="B44" s="3">
        <v>1681</v>
      </c>
      <c r="C44" s="4">
        <v>45184</v>
      </c>
      <c r="D44" s="4">
        <v>45188</v>
      </c>
      <c r="E44" s="3" t="s">
        <v>36</v>
      </c>
      <c r="F44" s="3" t="s">
        <v>22</v>
      </c>
      <c r="G44" s="3" t="s">
        <v>23</v>
      </c>
      <c r="H44" s="3" t="s">
        <v>34</v>
      </c>
      <c r="I44" s="3" t="s">
        <v>30</v>
      </c>
      <c r="J44" s="3" t="s">
        <v>47</v>
      </c>
      <c r="K44" s="3" t="s">
        <v>44</v>
      </c>
      <c r="L44" s="3">
        <v>5</v>
      </c>
      <c r="M44" s="3">
        <v>936.35</v>
      </c>
      <c r="N44" s="3">
        <v>15</v>
      </c>
      <c r="O44" s="3">
        <f t="shared" si="0"/>
        <v>3979.4874999999997</v>
      </c>
      <c r="P44" s="3" t="str">
        <f t="shared" si="1"/>
        <v>Low Price</v>
      </c>
      <c r="Q44" s="3" t="str" cm="1">
        <f t="array" ref="Q44">_xlfn.IFS(N44&gt;=10,"High",N44&gt;=5,"Medium",N44&lt;5,"Low")</f>
        <v>High</v>
      </c>
      <c r="R44" s="3" t="str">
        <f t="shared" si="2"/>
        <v>Medium</v>
      </c>
    </row>
    <row r="45" spans="1:18" x14ac:dyDescent="0.25">
      <c r="A45" s="3">
        <v>10044</v>
      </c>
      <c r="B45" s="3">
        <v>1475</v>
      </c>
      <c r="C45" s="4">
        <v>44955</v>
      </c>
      <c r="D45" s="4">
        <v>44959</v>
      </c>
      <c r="E45" s="3" t="s">
        <v>15</v>
      </c>
      <c r="F45" s="3" t="s">
        <v>28</v>
      </c>
      <c r="G45" s="3" t="s">
        <v>16</v>
      </c>
      <c r="H45" s="3" t="s">
        <v>41</v>
      </c>
      <c r="I45" s="3" t="s">
        <v>30</v>
      </c>
      <c r="J45" s="3" t="s">
        <v>47</v>
      </c>
      <c r="K45" s="3" t="s">
        <v>46</v>
      </c>
      <c r="L45" s="3">
        <v>4</v>
      </c>
      <c r="M45" s="3">
        <v>214.51</v>
      </c>
      <c r="N45" s="3">
        <v>20</v>
      </c>
      <c r="O45" s="3">
        <f t="shared" si="0"/>
        <v>686.43200000000002</v>
      </c>
      <c r="P45" s="3" t="str">
        <f t="shared" si="1"/>
        <v>Low Price</v>
      </c>
      <c r="Q45" s="3" t="str" cm="1">
        <f t="array" ref="Q45">_xlfn.IFS(N45&gt;=10,"High",N45&gt;=5,"Medium",N45&lt;5,"Low")</f>
        <v>High</v>
      </c>
      <c r="R45" s="3" t="str">
        <f t="shared" si="2"/>
        <v>Low</v>
      </c>
    </row>
    <row r="46" spans="1:18" x14ac:dyDescent="0.25">
      <c r="A46" s="3">
        <v>10045</v>
      </c>
      <c r="B46" s="3">
        <v>1699</v>
      </c>
      <c r="C46" s="4">
        <v>45139</v>
      </c>
      <c r="D46" s="4">
        <v>45147</v>
      </c>
      <c r="E46" s="3" t="s">
        <v>33</v>
      </c>
      <c r="F46" s="3" t="s">
        <v>15</v>
      </c>
      <c r="G46" s="3" t="s">
        <v>16</v>
      </c>
      <c r="H46" s="3" t="s">
        <v>24</v>
      </c>
      <c r="I46" s="3" t="s">
        <v>25</v>
      </c>
      <c r="J46" s="3" t="s">
        <v>60</v>
      </c>
      <c r="K46" s="3" t="s">
        <v>46</v>
      </c>
      <c r="L46" s="3">
        <v>1</v>
      </c>
      <c r="M46" s="3">
        <v>2764.92</v>
      </c>
      <c r="N46" s="3">
        <v>0</v>
      </c>
      <c r="O46" s="3">
        <f t="shared" si="0"/>
        <v>2764.92</v>
      </c>
      <c r="P46" s="3" t="str">
        <f t="shared" si="1"/>
        <v>Low Price</v>
      </c>
      <c r="Q46" s="3" t="str" cm="1">
        <f t="array" ref="Q46">_xlfn.IFS(N46&gt;=10,"High",N46&gt;=5,"Medium",N46&lt;5,"Low")</f>
        <v>Low</v>
      </c>
      <c r="R46" s="3" t="str">
        <f t="shared" si="2"/>
        <v>Low</v>
      </c>
    </row>
    <row r="47" spans="1:18" x14ac:dyDescent="0.25">
      <c r="A47" s="3">
        <v>10046</v>
      </c>
      <c r="B47" s="3">
        <v>1975</v>
      </c>
      <c r="C47" s="4">
        <v>45209</v>
      </c>
      <c r="D47" s="4">
        <v>45211</v>
      </c>
      <c r="E47" s="3" t="s">
        <v>36</v>
      </c>
      <c r="F47" s="3" t="s">
        <v>53</v>
      </c>
      <c r="G47" s="3" t="s">
        <v>23</v>
      </c>
      <c r="H47" s="3" t="s">
        <v>17</v>
      </c>
      <c r="I47" s="3" t="s">
        <v>48</v>
      </c>
      <c r="J47" s="3" t="s">
        <v>50</v>
      </c>
      <c r="K47" s="3" t="s">
        <v>44</v>
      </c>
      <c r="L47" s="3">
        <v>8</v>
      </c>
      <c r="M47" s="3">
        <v>444.79</v>
      </c>
      <c r="N47" s="3">
        <v>10</v>
      </c>
      <c r="O47" s="3">
        <f t="shared" si="0"/>
        <v>3202.4880000000003</v>
      </c>
      <c r="P47" s="3" t="str">
        <f t="shared" si="1"/>
        <v>Low Price</v>
      </c>
      <c r="Q47" s="3" t="str" cm="1">
        <f t="array" ref="Q47">_xlfn.IFS(N47&gt;=10,"High",N47&gt;=5,"Medium",N47&lt;5,"Low")</f>
        <v>High</v>
      </c>
      <c r="R47" s="3" t="str">
        <f t="shared" si="2"/>
        <v>Medium</v>
      </c>
    </row>
    <row r="48" spans="1:18" x14ac:dyDescent="0.25">
      <c r="A48" s="3">
        <v>10047</v>
      </c>
      <c r="B48" s="3">
        <v>1782</v>
      </c>
      <c r="C48" s="4">
        <v>44976</v>
      </c>
      <c r="D48" s="4">
        <v>44985</v>
      </c>
      <c r="E48" s="3" t="s">
        <v>39</v>
      </c>
      <c r="F48" s="3" t="s">
        <v>40</v>
      </c>
      <c r="G48" s="3" t="s">
        <v>16</v>
      </c>
      <c r="H48" s="3" t="s">
        <v>17</v>
      </c>
      <c r="I48" s="3" t="s">
        <v>56</v>
      </c>
      <c r="J48" s="3" t="s">
        <v>61</v>
      </c>
      <c r="K48" s="3" t="s">
        <v>46</v>
      </c>
      <c r="L48" s="3">
        <v>1</v>
      </c>
      <c r="M48" s="3">
        <v>1769.93</v>
      </c>
      <c r="N48" s="3">
        <v>20</v>
      </c>
      <c r="O48" s="3">
        <f t="shared" si="0"/>
        <v>1415.9440000000002</v>
      </c>
      <c r="P48" s="3" t="str">
        <f t="shared" si="1"/>
        <v>Low Price</v>
      </c>
      <c r="Q48" s="3" t="str" cm="1">
        <f t="array" ref="Q48">_xlfn.IFS(N48&gt;=10,"High",N48&gt;=5,"Medium",N48&lt;5,"Low")</f>
        <v>High</v>
      </c>
      <c r="R48" s="3" t="str">
        <f t="shared" si="2"/>
        <v>Low</v>
      </c>
    </row>
    <row r="49" spans="1:18" x14ac:dyDescent="0.25">
      <c r="A49" s="3">
        <v>10048</v>
      </c>
      <c r="B49" s="3">
        <v>1189</v>
      </c>
      <c r="C49" s="4">
        <v>45021</v>
      </c>
      <c r="D49" s="4">
        <v>45027</v>
      </c>
      <c r="E49" s="3" t="s">
        <v>21</v>
      </c>
      <c r="F49" s="3" t="s">
        <v>37</v>
      </c>
      <c r="G49" s="3" t="s">
        <v>23</v>
      </c>
      <c r="H49" s="3" t="s">
        <v>43</v>
      </c>
      <c r="I49" s="3" t="s">
        <v>30</v>
      </c>
      <c r="J49" s="3" t="s">
        <v>64</v>
      </c>
      <c r="K49" s="3" t="s">
        <v>27</v>
      </c>
      <c r="L49" s="3">
        <v>5</v>
      </c>
      <c r="M49" s="3">
        <v>2466.48</v>
      </c>
      <c r="N49" s="3">
        <v>5</v>
      </c>
      <c r="O49" s="3">
        <f t="shared" si="0"/>
        <v>11715.779999999999</v>
      </c>
      <c r="P49" s="3" t="str">
        <f t="shared" si="1"/>
        <v>Low Price</v>
      </c>
      <c r="Q49" s="3" t="str" cm="1">
        <f t="array" ref="Q49">_xlfn.IFS(N49&gt;=10,"High",N49&gt;=5,"Medium",N49&lt;5,"Low")</f>
        <v>Medium</v>
      </c>
      <c r="R49" s="3" t="str">
        <f t="shared" si="2"/>
        <v>Medium</v>
      </c>
    </row>
    <row r="50" spans="1:18" x14ac:dyDescent="0.25">
      <c r="A50" s="3">
        <v>10049</v>
      </c>
      <c r="B50" s="3">
        <v>1957</v>
      </c>
      <c r="C50" s="4">
        <v>45014</v>
      </c>
      <c r="D50" s="4">
        <v>45023</v>
      </c>
      <c r="E50" s="3" t="s">
        <v>45</v>
      </c>
      <c r="F50" s="3" t="s">
        <v>28</v>
      </c>
      <c r="G50" s="3" t="s">
        <v>16</v>
      </c>
      <c r="H50" s="3" t="s">
        <v>17</v>
      </c>
      <c r="I50" s="3" t="s">
        <v>25</v>
      </c>
      <c r="J50" s="3" t="s">
        <v>26</v>
      </c>
      <c r="K50" s="3" t="s">
        <v>20</v>
      </c>
      <c r="L50" s="3">
        <v>6</v>
      </c>
      <c r="M50" s="3">
        <v>3757.87</v>
      </c>
      <c r="N50" s="3">
        <v>15</v>
      </c>
      <c r="O50" s="3">
        <f t="shared" si="0"/>
        <v>19165.136999999999</v>
      </c>
      <c r="P50" s="3" t="str">
        <f t="shared" si="1"/>
        <v>High Price</v>
      </c>
      <c r="Q50" s="3" t="str" cm="1">
        <f t="array" ref="Q50">_xlfn.IFS(N50&gt;=10,"High",N50&gt;=5,"Medium",N50&lt;5,"Low")</f>
        <v>High</v>
      </c>
      <c r="R50" s="3" t="str">
        <f t="shared" si="2"/>
        <v>Medium</v>
      </c>
    </row>
    <row r="51" spans="1:18" x14ac:dyDescent="0.25">
      <c r="A51" s="3">
        <v>10050</v>
      </c>
      <c r="B51" s="3">
        <v>1686</v>
      </c>
      <c r="C51" s="4">
        <v>44970</v>
      </c>
      <c r="D51" s="4">
        <v>44978</v>
      </c>
      <c r="E51" s="3" t="s">
        <v>39</v>
      </c>
      <c r="F51" s="3" t="s">
        <v>15</v>
      </c>
      <c r="G51" s="3" t="s">
        <v>16</v>
      </c>
      <c r="H51" s="3" t="s">
        <v>41</v>
      </c>
      <c r="I51" s="3" t="s">
        <v>25</v>
      </c>
      <c r="J51" s="3" t="s">
        <v>60</v>
      </c>
      <c r="K51" s="3" t="s">
        <v>27</v>
      </c>
      <c r="L51" s="3">
        <v>6</v>
      </c>
      <c r="M51" s="3">
        <v>1350.44</v>
      </c>
      <c r="N51" s="3">
        <v>20</v>
      </c>
      <c r="O51" s="3">
        <f t="shared" si="0"/>
        <v>6482.112000000001</v>
      </c>
      <c r="P51" s="3" t="str">
        <f t="shared" si="1"/>
        <v>Low Price</v>
      </c>
      <c r="Q51" s="3" t="str" cm="1">
        <f t="array" ref="Q51">_xlfn.IFS(N51&gt;=10,"High",N51&gt;=5,"Medium",N51&lt;5,"Low")</f>
        <v>High</v>
      </c>
      <c r="R51" s="3" t="str">
        <f t="shared" si="2"/>
        <v>Medium</v>
      </c>
    </row>
    <row r="52" spans="1:18" x14ac:dyDescent="0.25">
      <c r="A52" s="3">
        <v>10052</v>
      </c>
      <c r="B52" s="3">
        <v>1562</v>
      </c>
      <c r="C52" s="4">
        <v>45097</v>
      </c>
      <c r="D52" s="4">
        <v>45098</v>
      </c>
      <c r="E52" s="3" t="s">
        <v>21</v>
      </c>
      <c r="F52" s="3" t="s">
        <v>53</v>
      </c>
      <c r="G52" s="3" t="s">
        <v>23</v>
      </c>
      <c r="H52" s="3" t="s">
        <v>34</v>
      </c>
      <c r="I52" s="3" t="s">
        <v>56</v>
      </c>
      <c r="J52" s="3" t="s">
        <v>61</v>
      </c>
      <c r="K52" s="3" t="s">
        <v>32</v>
      </c>
      <c r="L52" s="3">
        <v>3</v>
      </c>
      <c r="M52" s="3">
        <v>2668.52</v>
      </c>
      <c r="N52" s="3">
        <v>5</v>
      </c>
      <c r="O52" s="3">
        <f t="shared" si="0"/>
        <v>7605.2819999999992</v>
      </c>
      <c r="P52" s="3" t="str">
        <f t="shared" si="1"/>
        <v>Low Price</v>
      </c>
      <c r="Q52" s="3" t="str" cm="1">
        <f t="array" ref="Q52">_xlfn.IFS(N52&gt;=10,"High",N52&gt;=5,"Medium",N52&lt;5,"Low")</f>
        <v>Medium</v>
      </c>
      <c r="R52" s="3" t="str">
        <f t="shared" si="2"/>
        <v>Low</v>
      </c>
    </row>
    <row r="53" spans="1:18" x14ac:dyDescent="0.25">
      <c r="A53" s="3">
        <v>10053</v>
      </c>
      <c r="B53" s="3">
        <v>1875</v>
      </c>
      <c r="C53" s="4">
        <v>45115</v>
      </c>
      <c r="D53" s="4">
        <v>45118</v>
      </c>
      <c r="E53" s="3" t="s">
        <v>45</v>
      </c>
      <c r="F53" s="3" t="s">
        <v>15</v>
      </c>
      <c r="G53" s="3" t="s">
        <v>16</v>
      </c>
      <c r="H53" s="3" t="s">
        <v>34</v>
      </c>
      <c r="I53" s="3" t="s">
        <v>51</v>
      </c>
      <c r="J53" s="3" t="s">
        <v>63</v>
      </c>
      <c r="K53" s="3" t="s">
        <v>20</v>
      </c>
      <c r="L53" s="3">
        <v>5</v>
      </c>
      <c r="M53" s="3">
        <v>2534.0700000000002</v>
      </c>
      <c r="N53" s="3">
        <v>10</v>
      </c>
      <c r="O53" s="3">
        <f t="shared" si="0"/>
        <v>11403.315000000001</v>
      </c>
      <c r="P53" s="3" t="str">
        <f t="shared" si="1"/>
        <v>Low Price</v>
      </c>
      <c r="Q53" s="3" t="str" cm="1">
        <f t="array" ref="Q53">_xlfn.IFS(N53&gt;=10,"High",N53&gt;=5,"Medium",N53&lt;5,"Low")</f>
        <v>High</v>
      </c>
      <c r="R53" s="3" t="str">
        <f t="shared" si="2"/>
        <v>Medium</v>
      </c>
    </row>
    <row r="54" spans="1:18" x14ac:dyDescent="0.25">
      <c r="A54" s="3">
        <v>10054</v>
      </c>
      <c r="B54" s="3">
        <v>1566</v>
      </c>
      <c r="C54" s="4">
        <v>45279</v>
      </c>
      <c r="D54" s="4">
        <v>45281</v>
      </c>
      <c r="E54" s="3" t="s">
        <v>39</v>
      </c>
      <c r="F54" s="3" t="s">
        <v>22</v>
      </c>
      <c r="G54" s="3" t="s">
        <v>23</v>
      </c>
      <c r="H54" s="3" t="s">
        <v>24</v>
      </c>
      <c r="I54" s="3" t="s">
        <v>48</v>
      </c>
      <c r="J54" s="3" t="s">
        <v>49</v>
      </c>
      <c r="K54" s="3" t="s">
        <v>20</v>
      </c>
      <c r="L54" s="3">
        <v>8</v>
      </c>
      <c r="M54" s="3">
        <v>1428.62</v>
      </c>
      <c r="N54" s="3">
        <v>10</v>
      </c>
      <c r="O54" s="3">
        <f t="shared" si="0"/>
        <v>10286.064</v>
      </c>
      <c r="P54" s="3" t="str">
        <f t="shared" si="1"/>
        <v>Low Price</v>
      </c>
      <c r="Q54" s="3" t="str" cm="1">
        <f t="array" ref="Q54">_xlfn.IFS(N54&gt;=10,"High",N54&gt;=5,"Medium",N54&lt;5,"Low")</f>
        <v>High</v>
      </c>
      <c r="R54" s="3" t="str">
        <f t="shared" si="2"/>
        <v>Medium</v>
      </c>
    </row>
    <row r="55" spans="1:18" x14ac:dyDescent="0.25">
      <c r="A55" s="3">
        <v>10055</v>
      </c>
      <c r="B55" s="3">
        <v>1243</v>
      </c>
      <c r="C55" s="4">
        <v>45110</v>
      </c>
      <c r="D55" s="4">
        <v>45115</v>
      </c>
      <c r="E55" s="3" t="s">
        <v>36</v>
      </c>
      <c r="F55" s="3" t="s">
        <v>15</v>
      </c>
      <c r="G55" s="3" t="s">
        <v>23</v>
      </c>
      <c r="H55" s="3" t="s">
        <v>17</v>
      </c>
      <c r="I55" s="3" t="s">
        <v>51</v>
      </c>
      <c r="J55" s="3" t="s">
        <v>63</v>
      </c>
      <c r="K55" s="3" t="s">
        <v>44</v>
      </c>
      <c r="L55" s="3">
        <v>2</v>
      </c>
      <c r="M55" s="3">
        <v>3723.19</v>
      </c>
      <c r="N55" s="3">
        <v>5</v>
      </c>
      <c r="O55" s="3">
        <f t="shared" si="0"/>
        <v>7074.0609999999997</v>
      </c>
      <c r="P55" s="3" t="str">
        <f t="shared" si="1"/>
        <v>Low Price</v>
      </c>
      <c r="Q55" s="3" t="str" cm="1">
        <f t="array" ref="Q55">_xlfn.IFS(N55&gt;=10,"High",N55&gt;=5,"Medium",N55&lt;5,"Low")</f>
        <v>Medium</v>
      </c>
      <c r="R55" s="3" t="str">
        <f t="shared" si="2"/>
        <v>Low</v>
      </c>
    </row>
    <row r="56" spans="1:18" x14ac:dyDescent="0.25">
      <c r="A56" s="3">
        <v>10056</v>
      </c>
      <c r="B56" s="3">
        <v>1831</v>
      </c>
      <c r="C56" s="4">
        <v>44929</v>
      </c>
      <c r="D56" s="4">
        <v>44934</v>
      </c>
      <c r="E56" s="3" t="s">
        <v>36</v>
      </c>
      <c r="F56" s="3" t="s">
        <v>28</v>
      </c>
      <c r="G56" s="3" t="s">
        <v>16</v>
      </c>
      <c r="H56" s="3" t="s">
        <v>41</v>
      </c>
      <c r="I56" s="3" t="s">
        <v>56</v>
      </c>
      <c r="J56" s="3" t="s">
        <v>61</v>
      </c>
      <c r="K56" s="3" t="s">
        <v>44</v>
      </c>
      <c r="L56" s="3">
        <v>6</v>
      </c>
      <c r="M56" s="3">
        <v>3402.72</v>
      </c>
      <c r="N56" s="3">
        <v>15</v>
      </c>
      <c r="O56" s="3">
        <f t="shared" si="0"/>
        <v>17353.871999999999</v>
      </c>
      <c r="P56" s="3" t="str">
        <f t="shared" si="1"/>
        <v>High Price</v>
      </c>
      <c r="Q56" s="3" t="str" cm="1">
        <f t="array" ref="Q56">_xlfn.IFS(N56&gt;=10,"High",N56&gt;=5,"Medium",N56&lt;5,"Low")</f>
        <v>High</v>
      </c>
      <c r="R56" s="3" t="str">
        <f t="shared" si="2"/>
        <v>Medium</v>
      </c>
    </row>
    <row r="57" spans="1:18" x14ac:dyDescent="0.25">
      <c r="A57" s="3">
        <v>10057</v>
      </c>
      <c r="B57" s="3">
        <v>1504</v>
      </c>
      <c r="C57" s="4">
        <v>45117</v>
      </c>
      <c r="D57" s="4">
        <v>45122</v>
      </c>
      <c r="E57" s="3" t="s">
        <v>36</v>
      </c>
      <c r="F57" s="3" t="s">
        <v>28</v>
      </c>
      <c r="G57" s="3" t="s">
        <v>16</v>
      </c>
      <c r="H57" s="3" t="s">
        <v>24</v>
      </c>
      <c r="I57" s="3" t="s">
        <v>56</v>
      </c>
      <c r="J57" s="3" t="s">
        <v>57</v>
      </c>
      <c r="K57" s="3" t="s">
        <v>32</v>
      </c>
      <c r="L57" s="3">
        <v>9</v>
      </c>
      <c r="M57" s="3">
        <v>1012.33</v>
      </c>
      <c r="N57" s="3">
        <v>20</v>
      </c>
      <c r="O57" s="3">
        <f t="shared" si="0"/>
        <v>7288.7760000000017</v>
      </c>
      <c r="P57" s="3" t="str">
        <f t="shared" si="1"/>
        <v>Low Price</v>
      </c>
      <c r="Q57" s="3" t="str" cm="1">
        <f t="array" ref="Q57">_xlfn.IFS(N57&gt;=10,"High",N57&gt;=5,"Medium",N57&lt;5,"Low")</f>
        <v>High</v>
      </c>
      <c r="R57" s="3" t="str">
        <f t="shared" si="2"/>
        <v>High</v>
      </c>
    </row>
    <row r="58" spans="1:18" x14ac:dyDescent="0.25">
      <c r="A58" s="3">
        <v>10059</v>
      </c>
      <c r="B58" s="3">
        <v>1484</v>
      </c>
      <c r="C58" s="4">
        <v>44945</v>
      </c>
      <c r="D58" s="4">
        <v>44950</v>
      </c>
      <c r="E58" s="3" t="s">
        <v>39</v>
      </c>
      <c r="F58" s="3" t="s">
        <v>40</v>
      </c>
      <c r="G58" s="3" t="s">
        <v>23</v>
      </c>
      <c r="H58" s="3" t="s">
        <v>41</v>
      </c>
      <c r="I58" s="3" t="s">
        <v>51</v>
      </c>
      <c r="J58" s="3" t="s">
        <v>63</v>
      </c>
      <c r="K58" s="3" t="s">
        <v>32</v>
      </c>
      <c r="L58" s="3">
        <v>8</v>
      </c>
      <c r="M58" s="3">
        <v>2122.36</v>
      </c>
      <c r="N58" s="3">
        <v>0</v>
      </c>
      <c r="O58" s="3">
        <f t="shared" si="0"/>
        <v>16978.88</v>
      </c>
      <c r="P58" s="3" t="str">
        <f t="shared" si="1"/>
        <v>High Price</v>
      </c>
      <c r="Q58" s="3" t="str" cm="1">
        <f t="array" ref="Q58">_xlfn.IFS(N58&gt;=10,"High",N58&gt;=5,"Medium",N58&lt;5,"Low")</f>
        <v>Low</v>
      </c>
      <c r="R58" s="3" t="str">
        <f t="shared" si="2"/>
        <v>Medium</v>
      </c>
    </row>
    <row r="59" spans="1:18" x14ac:dyDescent="0.25">
      <c r="A59" s="3">
        <v>10060</v>
      </c>
      <c r="B59" s="3">
        <v>1818</v>
      </c>
      <c r="C59" s="4">
        <v>44949</v>
      </c>
      <c r="D59" s="4">
        <v>44952</v>
      </c>
      <c r="E59" s="3" t="s">
        <v>45</v>
      </c>
      <c r="F59" s="3" t="s">
        <v>40</v>
      </c>
      <c r="G59" s="3" t="s">
        <v>29</v>
      </c>
      <c r="H59" s="3" t="s">
        <v>41</v>
      </c>
      <c r="I59" s="3" t="s">
        <v>56</v>
      </c>
      <c r="J59" s="3" t="s">
        <v>61</v>
      </c>
      <c r="K59" s="3" t="s">
        <v>44</v>
      </c>
      <c r="L59" s="3">
        <v>8</v>
      </c>
      <c r="M59" s="3">
        <v>3128.25</v>
      </c>
      <c r="N59" s="3">
        <v>15</v>
      </c>
      <c r="O59" s="3">
        <f t="shared" si="0"/>
        <v>21272.1</v>
      </c>
      <c r="P59" s="3" t="str">
        <f t="shared" si="1"/>
        <v>High Price</v>
      </c>
      <c r="Q59" s="3" t="str" cm="1">
        <f t="array" ref="Q59">_xlfn.IFS(N59&gt;=10,"High",N59&gt;=5,"Medium",N59&lt;5,"Low")</f>
        <v>High</v>
      </c>
      <c r="R59" s="3" t="str">
        <f t="shared" si="2"/>
        <v>Medium</v>
      </c>
    </row>
    <row r="60" spans="1:18" x14ac:dyDescent="0.25">
      <c r="A60" s="3">
        <v>10061</v>
      </c>
      <c r="B60" s="3">
        <v>1646</v>
      </c>
      <c r="C60" s="4">
        <v>44956</v>
      </c>
      <c r="D60" s="4">
        <v>44957</v>
      </c>
      <c r="E60" s="3" t="s">
        <v>36</v>
      </c>
      <c r="F60" s="3" t="s">
        <v>53</v>
      </c>
      <c r="G60" s="3" t="s">
        <v>23</v>
      </c>
      <c r="H60" s="3" t="s">
        <v>41</v>
      </c>
      <c r="I60" s="3" t="s">
        <v>25</v>
      </c>
      <c r="J60" s="3" t="s">
        <v>35</v>
      </c>
      <c r="K60" s="3" t="s">
        <v>44</v>
      </c>
      <c r="L60" s="3">
        <v>7</v>
      </c>
      <c r="M60" s="3">
        <v>319.56</v>
      </c>
      <c r="N60" s="3">
        <v>10</v>
      </c>
      <c r="O60" s="3">
        <f t="shared" si="0"/>
        <v>2013.2280000000001</v>
      </c>
      <c r="P60" s="3" t="str">
        <f t="shared" si="1"/>
        <v>Low Price</v>
      </c>
      <c r="Q60" s="3" t="str" cm="1">
        <f t="array" ref="Q60">_xlfn.IFS(N60&gt;=10,"High",N60&gt;=5,"Medium",N60&lt;5,"Low")</f>
        <v>High</v>
      </c>
      <c r="R60" s="3" t="str">
        <f t="shared" si="2"/>
        <v>Medium</v>
      </c>
    </row>
    <row r="61" spans="1:18" x14ac:dyDescent="0.25">
      <c r="A61" s="3">
        <v>10063</v>
      </c>
      <c r="B61" s="3">
        <v>1840</v>
      </c>
      <c r="C61" s="4">
        <v>45034</v>
      </c>
      <c r="D61" s="4">
        <v>45043</v>
      </c>
      <c r="E61" s="3" t="s">
        <v>39</v>
      </c>
      <c r="F61" s="3" t="s">
        <v>22</v>
      </c>
      <c r="G61" s="3" t="s">
        <v>29</v>
      </c>
      <c r="H61" s="3" t="s">
        <v>41</v>
      </c>
      <c r="I61" s="3" t="s">
        <v>56</v>
      </c>
      <c r="J61" s="3" t="s">
        <v>61</v>
      </c>
      <c r="K61" s="3" t="s">
        <v>27</v>
      </c>
      <c r="L61" s="3">
        <v>6</v>
      </c>
      <c r="M61" s="3">
        <v>2645.71</v>
      </c>
      <c r="N61" s="3">
        <v>10</v>
      </c>
      <c r="O61" s="3">
        <f t="shared" si="0"/>
        <v>14286.834000000001</v>
      </c>
      <c r="P61" s="3" t="str">
        <f t="shared" si="1"/>
        <v>Low Price</v>
      </c>
      <c r="Q61" s="3" t="str" cm="1">
        <f t="array" ref="Q61">_xlfn.IFS(N61&gt;=10,"High",N61&gt;=5,"Medium",N61&lt;5,"Low")</f>
        <v>High</v>
      </c>
      <c r="R61" s="3" t="str">
        <f t="shared" si="2"/>
        <v>Medium</v>
      </c>
    </row>
    <row r="62" spans="1:18" x14ac:dyDescent="0.25">
      <c r="A62" s="3">
        <v>10064</v>
      </c>
      <c r="B62" s="3">
        <v>1166</v>
      </c>
      <c r="C62" s="4">
        <v>45207</v>
      </c>
      <c r="D62" s="4">
        <v>45216</v>
      </c>
      <c r="E62" s="3" t="s">
        <v>39</v>
      </c>
      <c r="F62" s="3" t="s">
        <v>15</v>
      </c>
      <c r="G62" s="3" t="s">
        <v>29</v>
      </c>
      <c r="H62" s="3" t="s">
        <v>17</v>
      </c>
      <c r="I62" s="3" t="s">
        <v>25</v>
      </c>
      <c r="J62" s="3" t="s">
        <v>35</v>
      </c>
      <c r="K62" s="3" t="s">
        <v>46</v>
      </c>
      <c r="L62" s="3">
        <v>2</v>
      </c>
      <c r="M62" s="3">
        <v>1041.2</v>
      </c>
      <c r="N62" s="3">
        <v>15</v>
      </c>
      <c r="O62" s="3">
        <f t="shared" si="0"/>
        <v>1770.04</v>
      </c>
      <c r="P62" s="3" t="str">
        <f t="shared" si="1"/>
        <v>Low Price</v>
      </c>
      <c r="Q62" s="3" t="str" cm="1">
        <f t="array" ref="Q62">_xlfn.IFS(N62&gt;=10,"High",N62&gt;=5,"Medium",N62&lt;5,"Low")</f>
        <v>High</v>
      </c>
      <c r="R62" s="3" t="str">
        <f t="shared" si="2"/>
        <v>Low</v>
      </c>
    </row>
    <row r="63" spans="1:18" x14ac:dyDescent="0.25">
      <c r="A63" s="3">
        <v>10065</v>
      </c>
      <c r="B63" s="3">
        <v>1273</v>
      </c>
      <c r="C63" s="4">
        <v>45054</v>
      </c>
      <c r="D63" s="4">
        <v>45058</v>
      </c>
      <c r="E63" s="3" t="s">
        <v>14</v>
      </c>
      <c r="F63" s="3" t="s">
        <v>37</v>
      </c>
      <c r="G63" s="3" t="s">
        <v>16</v>
      </c>
      <c r="H63" s="3" t="s">
        <v>41</v>
      </c>
      <c r="I63" s="3" t="s">
        <v>18</v>
      </c>
      <c r="J63" s="3" t="s">
        <v>42</v>
      </c>
      <c r="K63" s="3" t="s">
        <v>44</v>
      </c>
      <c r="L63" s="3">
        <v>2</v>
      </c>
      <c r="M63" s="3">
        <v>2773.21</v>
      </c>
      <c r="N63" s="3">
        <v>10</v>
      </c>
      <c r="O63" s="3">
        <f t="shared" si="0"/>
        <v>4991.7780000000002</v>
      </c>
      <c r="P63" s="3" t="str">
        <f t="shared" si="1"/>
        <v>Low Price</v>
      </c>
      <c r="Q63" s="3" t="str" cm="1">
        <f t="array" ref="Q63">_xlfn.IFS(N63&gt;=10,"High",N63&gt;=5,"Medium",N63&lt;5,"Low")</f>
        <v>High</v>
      </c>
      <c r="R63" s="3" t="str">
        <f t="shared" si="2"/>
        <v>Low</v>
      </c>
    </row>
    <row r="64" spans="1:18" x14ac:dyDescent="0.25">
      <c r="A64" s="3">
        <v>10066</v>
      </c>
      <c r="B64" s="3">
        <v>1387</v>
      </c>
      <c r="C64" s="4">
        <v>45155</v>
      </c>
      <c r="D64" s="4">
        <v>45158</v>
      </c>
      <c r="E64" s="3" t="s">
        <v>14</v>
      </c>
      <c r="F64" s="3" t="s">
        <v>22</v>
      </c>
      <c r="G64" s="3" t="s">
        <v>16</v>
      </c>
      <c r="H64" s="3" t="s">
        <v>34</v>
      </c>
      <c r="I64" s="3" t="s">
        <v>56</v>
      </c>
      <c r="J64" s="3" t="s">
        <v>66</v>
      </c>
      <c r="K64" s="3" t="s">
        <v>44</v>
      </c>
      <c r="L64" s="3">
        <v>8</v>
      </c>
      <c r="M64" s="3">
        <v>3769.71</v>
      </c>
      <c r="N64" s="3">
        <v>5</v>
      </c>
      <c r="O64" s="3">
        <f t="shared" si="0"/>
        <v>28649.795999999998</v>
      </c>
      <c r="P64" s="3" t="str">
        <f t="shared" si="1"/>
        <v>High Price</v>
      </c>
      <c r="Q64" s="3" t="str" cm="1">
        <f t="array" ref="Q64">_xlfn.IFS(N64&gt;=10,"High",N64&gt;=5,"Medium",N64&lt;5,"Low")</f>
        <v>Medium</v>
      </c>
      <c r="R64" s="3" t="str">
        <f t="shared" si="2"/>
        <v>Medium</v>
      </c>
    </row>
    <row r="65" spans="1:18" x14ac:dyDescent="0.25">
      <c r="A65" s="3">
        <v>10067</v>
      </c>
      <c r="B65" s="3">
        <v>1600</v>
      </c>
      <c r="C65" s="4">
        <v>45037</v>
      </c>
      <c r="D65" s="4">
        <v>45038</v>
      </c>
      <c r="E65" s="3" t="s">
        <v>15</v>
      </c>
      <c r="F65" s="3" t="s">
        <v>40</v>
      </c>
      <c r="G65" s="3" t="s">
        <v>23</v>
      </c>
      <c r="H65" s="3" t="s">
        <v>41</v>
      </c>
      <c r="I65" s="3" t="s">
        <v>51</v>
      </c>
      <c r="J65" s="3" t="s">
        <v>63</v>
      </c>
      <c r="K65" s="3" t="s">
        <v>27</v>
      </c>
      <c r="L65" s="3">
        <v>1</v>
      </c>
      <c r="M65" s="3">
        <v>330.13</v>
      </c>
      <c r="N65" s="3">
        <v>15</v>
      </c>
      <c r="O65" s="3">
        <f t="shared" si="0"/>
        <v>280.6105</v>
      </c>
      <c r="P65" s="3" t="str">
        <f t="shared" si="1"/>
        <v>Low Price</v>
      </c>
      <c r="Q65" s="3" t="str" cm="1">
        <f t="array" ref="Q65">_xlfn.IFS(N65&gt;=10,"High",N65&gt;=5,"Medium",N65&lt;5,"Low")</f>
        <v>High</v>
      </c>
      <c r="R65" s="3" t="str">
        <f t="shared" si="2"/>
        <v>Low</v>
      </c>
    </row>
    <row r="66" spans="1:18" x14ac:dyDescent="0.25">
      <c r="A66" s="3">
        <v>10068</v>
      </c>
      <c r="B66" s="3">
        <v>1315</v>
      </c>
      <c r="C66" s="4">
        <v>45062</v>
      </c>
      <c r="D66" s="4">
        <v>45064</v>
      </c>
      <c r="E66" s="3" t="s">
        <v>33</v>
      </c>
      <c r="F66" s="3" t="s">
        <v>40</v>
      </c>
      <c r="G66" s="3" t="s">
        <v>29</v>
      </c>
      <c r="H66" s="3" t="s">
        <v>43</v>
      </c>
      <c r="I66" s="3" t="s">
        <v>30</v>
      </c>
      <c r="J66" s="3" t="s">
        <v>47</v>
      </c>
      <c r="K66" s="3" t="s">
        <v>27</v>
      </c>
      <c r="L66" s="3">
        <v>6</v>
      </c>
      <c r="M66" s="3">
        <v>1380.66</v>
      </c>
      <c r="N66" s="3">
        <v>0</v>
      </c>
      <c r="O66" s="3">
        <f t="shared" si="0"/>
        <v>8283.9600000000009</v>
      </c>
      <c r="P66" s="3" t="str">
        <f t="shared" si="1"/>
        <v>Low Price</v>
      </c>
      <c r="Q66" s="3" t="str" cm="1">
        <f t="array" ref="Q66">_xlfn.IFS(N66&gt;=10,"High",N66&gt;=5,"Medium",N66&lt;5,"Low")</f>
        <v>Low</v>
      </c>
      <c r="R66" s="3" t="str">
        <f t="shared" si="2"/>
        <v>Medium</v>
      </c>
    </row>
    <row r="67" spans="1:18" x14ac:dyDescent="0.25">
      <c r="A67" s="3">
        <v>10069</v>
      </c>
      <c r="B67" s="3">
        <v>1013</v>
      </c>
      <c r="C67" s="4">
        <v>45288</v>
      </c>
      <c r="D67" s="4">
        <v>45296</v>
      </c>
      <c r="E67" s="3" t="s">
        <v>14</v>
      </c>
      <c r="F67" s="3" t="s">
        <v>22</v>
      </c>
      <c r="G67" s="3" t="s">
        <v>16</v>
      </c>
      <c r="H67" s="3" t="s">
        <v>43</v>
      </c>
      <c r="I67" s="3" t="s">
        <v>56</v>
      </c>
      <c r="J67" s="3" t="s">
        <v>61</v>
      </c>
      <c r="K67" s="3" t="s">
        <v>32</v>
      </c>
      <c r="L67" s="3">
        <v>6</v>
      </c>
      <c r="M67" s="3">
        <v>1836.98</v>
      </c>
      <c r="N67" s="3">
        <v>5</v>
      </c>
      <c r="O67" s="3">
        <f t="shared" ref="O67:O130" si="3">(L67*M67)*(1-N67/100)</f>
        <v>10470.786</v>
      </c>
      <c r="P67" s="3" t="str">
        <f t="shared" ref="P67:P130" si="4">IF(O67&gt;=15000,"High Price","Low Price")</f>
        <v>Low Price</v>
      </c>
      <c r="Q67" s="3" t="str" cm="1">
        <f t="array" ref="Q67">_xlfn.IFS(N67&gt;=10,"High",N67&gt;=5,"Medium",N67&lt;5,"Low")</f>
        <v>Medium</v>
      </c>
      <c r="R67" s="3" t="str">
        <f t="shared" ref="R67:R130" si="5">IF(L67&gt;8,"High",IF(L67&gt;4,"Medium","Low"))</f>
        <v>Medium</v>
      </c>
    </row>
    <row r="68" spans="1:18" x14ac:dyDescent="0.25">
      <c r="A68" s="3">
        <v>10070</v>
      </c>
      <c r="B68" s="3">
        <v>1241</v>
      </c>
      <c r="C68" s="4">
        <v>45112</v>
      </c>
      <c r="D68" s="4">
        <v>45113</v>
      </c>
      <c r="E68" s="3" t="s">
        <v>45</v>
      </c>
      <c r="F68" s="3" t="s">
        <v>40</v>
      </c>
      <c r="G68" s="3" t="s">
        <v>16</v>
      </c>
      <c r="H68" s="3" t="s">
        <v>34</v>
      </c>
      <c r="I68" s="3" t="s">
        <v>30</v>
      </c>
      <c r="J68" s="3" t="s">
        <v>38</v>
      </c>
      <c r="K68" s="3" t="s">
        <v>32</v>
      </c>
      <c r="L68" s="3">
        <v>4</v>
      </c>
      <c r="M68" s="3">
        <v>3612.15</v>
      </c>
      <c r="N68" s="3">
        <v>20</v>
      </c>
      <c r="O68" s="3">
        <f t="shared" si="3"/>
        <v>11558.880000000001</v>
      </c>
      <c r="P68" s="3" t="str">
        <f t="shared" si="4"/>
        <v>Low Price</v>
      </c>
      <c r="Q68" s="3" t="str" cm="1">
        <f t="array" ref="Q68">_xlfn.IFS(N68&gt;=10,"High",N68&gt;=5,"Medium",N68&lt;5,"Low")</f>
        <v>High</v>
      </c>
      <c r="R68" s="3" t="str">
        <f t="shared" si="5"/>
        <v>Low</v>
      </c>
    </row>
    <row r="69" spans="1:18" x14ac:dyDescent="0.25">
      <c r="A69" s="3">
        <v>10071</v>
      </c>
      <c r="B69" s="3">
        <v>1776</v>
      </c>
      <c r="C69" s="4">
        <v>45070</v>
      </c>
      <c r="D69" s="4">
        <v>45078</v>
      </c>
      <c r="E69" s="3" t="s">
        <v>14</v>
      </c>
      <c r="F69" s="3" t="s">
        <v>28</v>
      </c>
      <c r="G69" s="3" t="s">
        <v>16</v>
      </c>
      <c r="H69" s="3" t="s">
        <v>17</v>
      </c>
      <c r="I69" s="3" t="s">
        <v>25</v>
      </c>
      <c r="J69" s="3" t="s">
        <v>60</v>
      </c>
      <c r="K69" s="3" t="s">
        <v>46</v>
      </c>
      <c r="L69" s="3">
        <v>3</v>
      </c>
      <c r="M69" s="3">
        <v>3854.71</v>
      </c>
      <c r="N69" s="3">
        <v>5</v>
      </c>
      <c r="O69" s="3">
        <f t="shared" si="3"/>
        <v>10985.923500000001</v>
      </c>
      <c r="P69" s="3" t="str">
        <f t="shared" si="4"/>
        <v>Low Price</v>
      </c>
      <c r="Q69" s="3" t="str" cm="1">
        <f t="array" ref="Q69">_xlfn.IFS(N69&gt;=10,"High",N69&gt;=5,"Medium",N69&lt;5,"Low")</f>
        <v>Medium</v>
      </c>
      <c r="R69" s="3" t="str">
        <f t="shared" si="5"/>
        <v>Low</v>
      </c>
    </row>
    <row r="70" spans="1:18" x14ac:dyDescent="0.25">
      <c r="A70" s="3">
        <v>10072</v>
      </c>
      <c r="B70" s="3">
        <v>1345</v>
      </c>
      <c r="C70" s="4">
        <v>44998</v>
      </c>
      <c r="D70" s="4">
        <v>45005</v>
      </c>
      <c r="E70" s="3" t="s">
        <v>15</v>
      </c>
      <c r="F70" s="3" t="s">
        <v>53</v>
      </c>
      <c r="G70" s="3" t="s">
        <v>16</v>
      </c>
      <c r="H70" s="3" t="s">
        <v>17</v>
      </c>
      <c r="I70" s="3" t="s">
        <v>18</v>
      </c>
      <c r="J70" s="3" t="s">
        <v>54</v>
      </c>
      <c r="K70" s="3" t="s">
        <v>46</v>
      </c>
      <c r="L70" s="3">
        <v>3</v>
      </c>
      <c r="M70" s="3">
        <v>1859.84</v>
      </c>
      <c r="N70" s="3">
        <v>15</v>
      </c>
      <c r="O70" s="3">
        <f t="shared" si="3"/>
        <v>4742.5919999999996</v>
      </c>
      <c r="P70" s="3" t="str">
        <f t="shared" si="4"/>
        <v>Low Price</v>
      </c>
      <c r="Q70" s="3" t="str" cm="1">
        <f t="array" ref="Q70">_xlfn.IFS(N70&gt;=10,"High",N70&gt;=5,"Medium",N70&lt;5,"Low")</f>
        <v>High</v>
      </c>
      <c r="R70" s="3" t="str">
        <f t="shared" si="5"/>
        <v>Low</v>
      </c>
    </row>
    <row r="71" spans="1:18" x14ac:dyDescent="0.25">
      <c r="A71" s="3">
        <v>10073</v>
      </c>
      <c r="B71" s="3">
        <v>1564</v>
      </c>
      <c r="C71" s="4">
        <v>45055</v>
      </c>
      <c r="D71" s="4">
        <v>45063</v>
      </c>
      <c r="E71" s="3" t="s">
        <v>39</v>
      </c>
      <c r="F71" s="3" t="s">
        <v>15</v>
      </c>
      <c r="G71" s="3" t="s">
        <v>16</v>
      </c>
      <c r="H71" s="3" t="s">
        <v>24</v>
      </c>
      <c r="I71" s="3" t="s">
        <v>48</v>
      </c>
      <c r="J71" s="3" t="s">
        <v>67</v>
      </c>
      <c r="K71" s="3" t="s">
        <v>20</v>
      </c>
      <c r="L71" s="3">
        <v>1</v>
      </c>
      <c r="M71" s="3">
        <v>3037.61</v>
      </c>
      <c r="N71" s="3">
        <v>5</v>
      </c>
      <c r="O71" s="3">
        <f t="shared" si="3"/>
        <v>2885.7294999999999</v>
      </c>
      <c r="P71" s="3" t="str">
        <f t="shared" si="4"/>
        <v>Low Price</v>
      </c>
      <c r="Q71" s="3" t="str" cm="1">
        <f t="array" ref="Q71">_xlfn.IFS(N71&gt;=10,"High",N71&gt;=5,"Medium",N71&lt;5,"Low")</f>
        <v>Medium</v>
      </c>
      <c r="R71" s="3" t="str">
        <f t="shared" si="5"/>
        <v>Low</v>
      </c>
    </row>
    <row r="72" spans="1:18" x14ac:dyDescent="0.25">
      <c r="A72" s="3">
        <v>10074</v>
      </c>
      <c r="B72" s="3">
        <v>1897</v>
      </c>
      <c r="C72" s="4">
        <v>45290</v>
      </c>
      <c r="D72" s="4">
        <v>45296</v>
      </c>
      <c r="E72" s="3" t="s">
        <v>15</v>
      </c>
      <c r="F72" s="3" t="s">
        <v>53</v>
      </c>
      <c r="G72" s="3" t="s">
        <v>29</v>
      </c>
      <c r="H72" s="3" t="s">
        <v>34</v>
      </c>
      <c r="I72" s="3" t="s">
        <v>18</v>
      </c>
      <c r="J72" s="3" t="s">
        <v>42</v>
      </c>
      <c r="K72" s="3" t="s">
        <v>32</v>
      </c>
      <c r="L72" s="3">
        <v>3</v>
      </c>
      <c r="M72" s="3">
        <v>2196.89</v>
      </c>
      <c r="N72" s="3">
        <v>0</v>
      </c>
      <c r="O72" s="3">
        <f t="shared" si="3"/>
        <v>6590.67</v>
      </c>
      <c r="P72" s="3" t="str">
        <f t="shared" si="4"/>
        <v>Low Price</v>
      </c>
      <c r="Q72" s="3" t="str" cm="1">
        <f t="array" ref="Q72">_xlfn.IFS(N72&gt;=10,"High",N72&gt;=5,"Medium",N72&lt;5,"Low")</f>
        <v>Low</v>
      </c>
      <c r="R72" s="3" t="str">
        <f t="shared" si="5"/>
        <v>Low</v>
      </c>
    </row>
    <row r="73" spans="1:18" x14ac:dyDescent="0.25">
      <c r="A73" s="3">
        <v>10075</v>
      </c>
      <c r="B73" s="3">
        <v>1339</v>
      </c>
      <c r="C73" s="4">
        <v>45187</v>
      </c>
      <c r="D73" s="4">
        <v>45196</v>
      </c>
      <c r="E73" s="3" t="s">
        <v>39</v>
      </c>
      <c r="F73" s="3" t="s">
        <v>15</v>
      </c>
      <c r="G73" s="3" t="s">
        <v>29</v>
      </c>
      <c r="H73" s="3" t="s">
        <v>41</v>
      </c>
      <c r="I73" s="3" t="s">
        <v>56</v>
      </c>
      <c r="J73" s="3" t="s">
        <v>57</v>
      </c>
      <c r="K73" s="3" t="s">
        <v>44</v>
      </c>
      <c r="L73" s="3">
        <v>4</v>
      </c>
      <c r="M73" s="3">
        <v>2220.46</v>
      </c>
      <c r="N73" s="3">
        <v>0</v>
      </c>
      <c r="O73" s="3">
        <f t="shared" si="3"/>
        <v>8881.84</v>
      </c>
      <c r="P73" s="3" t="str">
        <f t="shared" si="4"/>
        <v>Low Price</v>
      </c>
      <c r="Q73" s="3" t="str" cm="1">
        <f t="array" ref="Q73">_xlfn.IFS(N73&gt;=10,"High",N73&gt;=5,"Medium",N73&lt;5,"Low")</f>
        <v>Low</v>
      </c>
      <c r="R73" s="3" t="str">
        <f t="shared" si="5"/>
        <v>Low</v>
      </c>
    </row>
    <row r="74" spans="1:18" x14ac:dyDescent="0.25">
      <c r="A74" s="3">
        <v>10076</v>
      </c>
      <c r="B74" s="3">
        <v>1091</v>
      </c>
      <c r="C74" s="4">
        <v>44929</v>
      </c>
      <c r="D74" s="4">
        <v>44932</v>
      </c>
      <c r="E74" s="3" t="s">
        <v>21</v>
      </c>
      <c r="F74" s="3" t="s">
        <v>15</v>
      </c>
      <c r="G74" s="3" t="s">
        <v>29</v>
      </c>
      <c r="H74" s="3" t="s">
        <v>34</v>
      </c>
      <c r="I74" s="3" t="s">
        <v>30</v>
      </c>
      <c r="J74" s="3" t="s">
        <v>38</v>
      </c>
      <c r="K74" s="3" t="s">
        <v>32</v>
      </c>
      <c r="L74" s="3">
        <v>5</v>
      </c>
      <c r="M74" s="3">
        <v>1220.68</v>
      </c>
      <c r="N74" s="3">
        <v>20</v>
      </c>
      <c r="O74" s="3">
        <f t="shared" si="3"/>
        <v>4882.72</v>
      </c>
      <c r="P74" s="3" t="str">
        <f t="shared" si="4"/>
        <v>Low Price</v>
      </c>
      <c r="Q74" s="3" t="str" cm="1">
        <f t="array" ref="Q74">_xlfn.IFS(N74&gt;=10,"High",N74&gt;=5,"Medium",N74&lt;5,"Low")</f>
        <v>High</v>
      </c>
      <c r="R74" s="3" t="str">
        <f t="shared" si="5"/>
        <v>Medium</v>
      </c>
    </row>
    <row r="75" spans="1:18" x14ac:dyDescent="0.25">
      <c r="A75" s="3">
        <v>10077</v>
      </c>
      <c r="B75" s="3">
        <v>1366</v>
      </c>
      <c r="C75" s="4">
        <v>45030</v>
      </c>
      <c r="D75" s="4">
        <v>45034</v>
      </c>
      <c r="E75" s="3" t="s">
        <v>21</v>
      </c>
      <c r="F75" s="3" t="s">
        <v>53</v>
      </c>
      <c r="G75" s="3" t="s">
        <v>29</v>
      </c>
      <c r="H75" s="3" t="s">
        <v>24</v>
      </c>
      <c r="I75" s="3" t="s">
        <v>30</v>
      </c>
      <c r="J75" s="3" t="s">
        <v>31</v>
      </c>
      <c r="K75" s="3" t="s">
        <v>44</v>
      </c>
      <c r="L75" s="3">
        <v>3</v>
      </c>
      <c r="M75" s="3">
        <v>985.28</v>
      </c>
      <c r="N75" s="3">
        <v>10</v>
      </c>
      <c r="O75" s="3">
        <f t="shared" si="3"/>
        <v>2660.2560000000003</v>
      </c>
      <c r="P75" s="3" t="str">
        <f t="shared" si="4"/>
        <v>Low Price</v>
      </c>
      <c r="Q75" s="3" t="str" cm="1">
        <f t="array" ref="Q75">_xlfn.IFS(N75&gt;=10,"High",N75&gt;=5,"Medium",N75&lt;5,"Low")</f>
        <v>High</v>
      </c>
      <c r="R75" s="3" t="str">
        <f t="shared" si="5"/>
        <v>Low</v>
      </c>
    </row>
    <row r="76" spans="1:18" x14ac:dyDescent="0.25">
      <c r="A76" s="3">
        <v>10079</v>
      </c>
      <c r="B76" s="3">
        <v>1454</v>
      </c>
      <c r="C76" s="4">
        <v>45246</v>
      </c>
      <c r="D76" s="4">
        <v>45254</v>
      </c>
      <c r="E76" s="3" t="s">
        <v>33</v>
      </c>
      <c r="F76" s="3" t="s">
        <v>15</v>
      </c>
      <c r="G76" s="3" t="s">
        <v>29</v>
      </c>
      <c r="H76" s="3" t="s">
        <v>34</v>
      </c>
      <c r="I76" s="3" t="s">
        <v>30</v>
      </c>
      <c r="J76" s="3" t="s">
        <v>31</v>
      </c>
      <c r="K76" s="3" t="s">
        <v>32</v>
      </c>
      <c r="L76" s="3">
        <v>5</v>
      </c>
      <c r="M76" s="3">
        <v>2291.86</v>
      </c>
      <c r="N76" s="3">
        <v>15</v>
      </c>
      <c r="O76" s="3">
        <f t="shared" si="3"/>
        <v>9740.4050000000007</v>
      </c>
      <c r="P76" s="3" t="str">
        <f t="shared" si="4"/>
        <v>Low Price</v>
      </c>
      <c r="Q76" s="3" t="str" cm="1">
        <f t="array" ref="Q76">_xlfn.IFS(N76&gt;=10,"High",N76&gt;=5,"Medium",N76&lt;5,"Low")</f>
        <v>High</v>
      </c>
      <c r="R76" s="3" t="str">
        <f t="shared" si="5"/>
        <v>Medium</v>
      </c>
    </row>
    <row r="77" spans="1:18" x14ac:dyDescent="0.25">
      <c r="A77" s="3">
        <v>10080</v>
      </c>
      <c r="B77" s="3">
        <v>1427</v>
      </c>
      <c r="C77" s="4">
        <v>45288</v>
      </c>
      <c r="D77" s="4">
        <v>45293</v>
      </c>
      <c r="E77" s="3" t="s">
        <v>14</v>
      </c>
      <c r="F77" s="3" t="s">
        <v>53</v>
      </c>
      <c r="G77" s="3" t="s">
        <v>16</v>
      </c>
      <c r="H77" s="3" t="s">
        <v>24</v>
      </c>
      <c r="I77" s="3" t="s">
        <v>51</v>
      </c>
      <c r="J77" s="3" t="s">
        <v>55</v>
      </c>
      <c r="K77" s="3" t="s">
        <v>27</v>
      </c>
      <c r="L77" s="3">
        <v>3</v>
      </c>
      <c r="M77" s="3">
        <v>262.25</v>
      </c>
      <c r="N77" s="3">
        <v>10</v>
      </c>
      <c r="O77" s="3">
        <f t="shared" si="3"/>
        <v>708.07500000000005</v>
      </c>
      <c r="P77" s="3" t="str">
        <f t="shared" si="4"/>
        <v>Low Price</v>
      </c>
      <c r="Q77" s="3" t="str" cm="1">
        <f t="array" ref="Q77">_xlfn.IFS(N77&gt;=10,"High",N77&gt;=5,"Medium",N77&lt;5,"Low")</f>
        <v>High</v>
      </c>
      <c r="R77" s="3" t="str">
        <f t="shared" si="5"/>
        <v>Low</v>
      </c>
    </row>
    <row r="78" spans="1:18" x14ac:dyDescent="0.25">
      <c r="A78" s="3">
        <v>10081</v>
      </c>
      <c r="B78" s="3">
        <v>1508</v>
      </c>
      <c r="C78" s="4">
        <v>45280</v>
      </c>
      <c r="D78" s="4">
        <v>45283</v>
      </c>
      <c r="E78" s="3" t="s">
        <v>45</v>
      </c>
      <c r="F78" s="3" t="s">
        <v>15</v>
      </c>
      <c r="G78" s="3" t="s">
        <v>29</v>
      </c>
      <c r="H78" s="3" t="s">
        <v>17</v>
      </c>
      <c r="I78" s="3" t="s">
        <v>25</v>
      </c>
      <c r="J78" s="3" t="s">
        <v>26</v>
      </c>
      <c r="K78" s="3" t="s">
        <v>46</v>
      </c>
      <c r="L78" s="3">
        <v>6</v>
      </c>
      <c r="M78" s="3">
        <v>3642.91</v>
      </c>
      <c r="N78" s="3">
        <v>0</v>
      </c>
      <c r="O78" s="3">
        <f t="shared" si="3"/>
        <v>21857.46</v>
      </c>
      <c r="P78" s="3" t="str">
        <f t="shared" si="4"/>
        <v>High Price</v>
      </c>
      <c r="Q78" s="3" t="str" cm="1">
        <f t="array" ref="Q78">_xlfn.IFS(N78&gt;=10,"High",N78&gt;=5,"Medium",N78&lt;5,"Low")</f>
        <v>Low</v>
      </c>
      <c r="R78" s="3" t="str">
        <f t="shared" si="5"/>
        <v>Medium</v>
      </c>
    </row>
    <row r="79" spans="1:18" x14ac:dyDescent="0.25">
      <c r="A79" s="3">
        <v>10082</v>
      </c>
      <c r="B79" s="3">
        <v>1775</v>
      </c>
      <c r="C79" s="4">
        <v>44936</v>
      </c>
      <c r="D79" s="4">
        <v>44942</v>
      </c>
      <c r="E79" s="3" t="s">
        <v>45</v>
      </c>
      <c r="F79" s="3" t="s">
        <v>37</v>
      </c>
      <c r="G79" s="3" t="s">
        <v>23</v>
      </c>
      <c r="H79" s="3" t="s">
        <v>41</v>
      </c>
      <c r="I79" s="3" t="s">
        <v>48</v>
      </c>
      <c r="J79" s="3" t="s">
        <v>62</v>
      </c>
      <c r="K79" s="3" t="s">
        <v>46</v>
      </c>
      <c r="L79" s="3">
        <v>6</v>
      </c>
      <c r="M79" s="3">
        <v>751.69</v>
      </c>
      <c r="N79" s="3">
        <v>0</v>
      </c>
      <c r="O79" s="3">
        <f t="shared" si="3"/>
        <v>4510.1400000000003</v>
      </c>
      <c r="P79" s="3" t="str">
        <f t="shared" si="4"/>
        <v>Low Price</v>
      </c>
      <c r="Q79" s="3" t="str" cm="1">
        <f t="array" ref="Q79">_xlfn.IFS(N79&gt;=10,"High",N79&gt;=5,"Medium",N79&lt;5,"Low")</f>
        <v>Low</v>
      </c>
      <c r="R79" s="3" t="str">
        <f t="shared" si="5"/>
        <v>Medium</v>
      </c>
    </row>
    <row r="80" spans="1:18" x14ac:dyDescent="0.25">
      <c r="A80" s="3">
        <v>10083</v>
      </c>
      <c r="B80" s="3">
        <v>1942</v>
      </c>
      <c r="C80" s="4">
        <v>45228</v>
      </c>
      <c r="D80" s="4">
        <v>45232</v>
      </c>
      <c r="E80" s="3" t="s">
        <v>36</v>
      </c>
      <c r="F80" s="3" t="s">
        <v>22</v>
      </c>
      <c r="G80" s="3" t="s">
        <v>16</v>
      </c>
      <c r="H80" s="3" t="s">
        <v>24</v>
      </c>
      <c r="I80" s="3" t="s">
        <v>56</v>
      </c>
      <c r="J80" s="3" t="s">
        <v>61</v>
      </c>
      <c r="K80" s="3" t="s">
        <v>20</v>
      </c>
      <c r="L80" s="3">
        <v>8</v>
      </c>
      <c r="M80" s="3">
        <v>997.34</v>
      </c>
      <c r="N80" s="3">
        <v>5</v>
      </c>
      <c r="O80" s="3">
        <f t="shared" si="3"/>
        <v>7579.7839999999997</v>
      </c>
      <c r="P80" s="3" t="str">
        <f t="shared" si="4"/>
        <v>Low Price</v>
      </c>
      <c r="Q80" s="3" t="str" cm="1">
        <f t="array" ref="Q80">_xlfn.IFS(N80&gt;=10,"High",N80&gt;=5,"Medium",N80&lt;5,"Low")</f>
        <v>Medium</v>
      </c>
      <c r="R80" s="3" t="str">
        <f t="shared" si="5"/>
        <v>Medium</v>
      </c>
    </row>
    <row r="81" spans="1:18" x14ac:dyDescent="0.25">
      <c r="A81" s="3">
        <v>10084</v>
      </c>
      <c r="B81" s="3">
        <v>1034</v>
      </c>
      <c r="C81" s="4">
        <v>45157</v>
      </c>
      <c r="D81" s="4">
        <v>45166</v>
      </c>
      <c r="E81" s="3" t="s">
        <v>39</v>
      </c>
      <c r="F81" s="3" t="s">
        <v>28</v>
      </c>
      <c r="G81" s="3" t="s">
        <v>29</v>
      </c>
      <c r="H81" s="3" t="s">
        <v>43</v>
      </c>
      <c r="I81" s="3" t="s">
        <v>51</v>
      </c>
      <c r="J81" s="3" t="s">
        <v>55</v>
      </c>
      <c r="K81" s="3" t="s">
        <v>32</v>
      </c>
      <c r="L81" s="3">
        <v>2</v>
      </c>
      <c r="M81" s="3">
        <v>2145.36</v>
      </c>
      <c r="N81" s="3">
        <v>20</v>
      </c>
      <c r="O81" s="3">
        <f t="shared" si="3"/>
        <v>3432.5760000000005</v>
      </c>
      <c r="P81" s="3" t="str">
        <f t="shared" si="4"/>
        <v>Low Price</v>
      </c>
      <c r="Q81" s="3" t="str" cm="1">
        <f t="array" ref="Q81">_xlfn.IFS(N81&gt;=10,"High",N81&gt;=5,"Medium",N81&lt;5,"Low")</f>
        <v>High</v>
      </c>
      <c r="R81" s="3" t="str">
        <f t="shared" si="5"/>
        <v>Low</v>
      </c>
    </row>
    <row r="82" spans="1:18" x14ac:dyDescent="0.25">
      <c r="A82" s="3">
        <v>10085</v>
      </c>
      <c r="B82" s="3">
        <v>1205</v>
      </c>
      <c r="C82" s="4">
        <v>45145</v>
      </c>
      <c r="D82" s="4">
        <v>45148</v>
      </c>
      <c r="E82" s="3" t="s">
        <v>45</v>
      </c>
      <c r="F82" s="3" t="s">
        <v>15</v>
      </c>
      <c r="G82" s="3" t="s">
        <v>29</v>
      </c>
      <c r="H82" s="3" t="s">
        <v>17</v>
      </c>
      <c r="I82" s="3" t="s">
        <v>48</v>
      </c>
      <c r="J82" s="3" t="s">
        <v>49</v>
      </c>
      <c r="K82" s="3" t="s">
        <v>27</v>
      </c>
      <c r="L82" s="3">
        <v>1</v>
      </c>
      <c r="M82" s="3">
        <v>2883.94</v>
      </c>
      <c r="N82" s="3">
        <v>20</v>
      </c>
      <c r="O82" s="3">
        <f t="shared" si="3"/>
        <v>2307.152</v>
      </c>
      <c r="P82" s="3" t="str">
        <f t="shared" si="4"/>
        <v>Low Price</v>
      </c>
      <c r="Q82" s="3" t="str" cm="1">
        <f t="array" ref="Q82">_xlfn.IFS(N82&gt;=10,"High",N82&gt;=5,"Medium",N82&lt;5,"Low")</f>
        <v>High</v>
      </c>
      <c r="R82" s="3" t="str">
        <f t="shared" si="5"/>
        <v>Low</v>
      </c>
    </row>
    <row r="83" spans="1:18" x14ac:dyDescent="0.25">
      <c r="A83" s="3">
        <v>10086</v>
      </c>
      <c r="B83" s="3">
        <v>1080</v>
      </c>
      <c r="C83" s="4">
        <v>44992</v>
      </c>
      <c r="D83" s="4">
        <v>44996</v>
      </c>
      <c r="E83" s="3" t="s">
        <v>33</v>
      </c>
      <c r="F83" s="3" t="s">
        <v>37</v>
      </c>
      <c r="G83" s="3" t="s">
        <v>29</v>
      </c>
      <c r="H83" s="3" t="s">
        <v>43</v>
      </c>
      <c r="I83" s="3" t="s">
        <v>30</v>
      </c>
      <c r="J83" s="3" t="s">
        <v>64</v>
      </c>
      <c r="K83" s="3" t="s">
        <v>44</v>
      </c>
      <c r="L83" s="3">
        <v>4</v>
      </c>
      <c r="M83" s="3">
        <v>518.55999999999995</v>
      </c>
      <c r="N83" s="3">
        <v>20</v>
      </c>
      <c r="O83" s="3">
        <f t="shared" si="3"/>
        <v>1659.3919999999998</v>
      </c>
      <c r="P83" s="3" t="str">
        <f t="shared" si="4"/>
        <v>Low Price</v>
      </c>
      <c r="Q83" s="3" t="str" cm="1">
        <f t="array" ref="Q83">_xlfn.IFS(N83&gt;=10,"High",N83&gt;=5,"Medium",N83&lt;5,"Low")</f>
        <v>High</v>
      </c>
      <c r="R83" s="3" t="str">
        <f t="shared" si="5"/>
        <v>Low</v>
      </c>
    </row>
    <row r="84" spans="1:18" x14ac:dyDescent="0.25">
      <c r="A84" s="3">
        <v>10087</v>
      </c>
      <c r="B84" s="3">
        <v>1931</v>
      </c>
      <c r="C84" s="4">
        <v>45038</v>
      </c>
      <c r="D84" s="4">
        <v>45045</v>
      </c>
      <c r="E84" s="3" t="s">
        <v>39</v>
      </c>
      <c r="F84" s="3" t="s">
        <v>28</v>
      </c>
      <c r="G84" s="3" t="s">
        <v>16</v>
      </c>
      <c r="H84" s="3" t="s">
        <v>17</v>
      </c>
      <c r="I84" s="3" t="s">
        <v>30</v>
      </c>
      <c r="J84" s="3" t="s">
        <v>38</v>
      </c>
      <c r="K84" s="3" t="s">
        <v>46</v>
      </c>
      <c r="L84" s="3">
        <v>7</v>
      </c>
      <c r="M84" s="3">
        <v>1373.12</v>
      </c>
      <c r="N84" s="3">
        <v>5</v>
      </c>
      <c r="O84" s="3">
        <f t="shared" si="3"/>
        <v>9131.2479999999996</v>
      </c>
      <c r="P84" s="3" t="str">
        <f t="shared" si="4"/>
        <v>Low Price</v>
      </c>
      <c r="Q84" s="3" t="str" cm="1">
        <f t="array" ref="Q84">_xlfn.IFS(N84&gt;=10,"High",N84&gt;=5,"Medium",N84&lt;5,"Low")</f>
        <v>Medium</v>
      </c>
      <c r="R84" s="3" t="str">
        <f t="shared" si="5"/>
        <v>Medium</v>
      </c>
    </row>
    <row r="85" spans="1:18" x14ac:dyDescent="0.25">
      <c r="A85" s="3">
        <v>10088</v>
      </c>
      <c r="B85" s="3">
        <v>1561</v>
      </c>
      <c r="C85" s="4">
        <v>44939</v>
      </c>
      <c r="D85" s="4">
        <v>44946</v>
      </c>
      <c r="E85" s="3" t="s">
        <v>33</v>
      </c>
      <c r="F85" s="3" t="s">
        <v>28</v>
      </c>
      <c r="G85" s="3" t="s">
        <v>16</v>
      </c>
      <c r="H85" s="3" t="s">
        <v>41</v>
      </c>
      <c r="I85" s="3" t="s">
        <v>48</v>
      </c>
      <c r="J85" s="3" t="s">
        <v>62</v>
      </c>
      <c r="K85" s="3" t="s">
        <v>46</v>
      </c>
      <c r="L85" s="3">
        <v>3</v>
      </c>
      <c r="M85" s="3">
        <v>3879.4</v>
      </c>
      <c r="N85" s="3">
        <v>20</v>
      </c>
      <c r="O85" s="3">
        <f t="shared" si="3"/>
        <v>9310.5600000000013</v>
      </c>
      <c r="P85" s="3" t="str">
        <f t="shared" si="4"/>
        <v>Low Price</v>
      </c>
      <c r="Q85" s="3" t="str" cm="1">
        <f t="array" ref="Q85">_xlfn.IFS(N85&gt;=10,"High",N85&gt;=5,"Medium",N85&lt;5,"Low")</f>
        <v>High</v>
      </c>
      <c r="R85" s="3" t="str">
        <f t="shared" si="5"/>
        <v>Low</v>
      </c>
    </row>
    <row r="86" spans="1:18" x14ac:dyDescent="0.25">
      <c r="A86" s="3">
        <v>10091</v>
      </c>
      <c r="B86" s="3">
        <v>1001</v>
      </c>
      <c r="C86" s="4">
        <v>45016</v>
      </c>
      <c r="D86" s="4">
        <v>45019</v>
      </c>
      <c r="E86" s="3" t="s">
        <v>36</v>
      </c>
      <c r="F86" s="3" t="s">
        <v>15</v>
      </c>
      <c r="G86" s="3" t="s">
        <v>16</v>
      </c>
      <c r="H86" s="3" t="s">
        <v>43</v>
      </c>
      <c r="I86" s="3" t="s">
        <v>25</v>
      </c>
      <c r="J86" s="3" t="s">
        <v>26</v>
      </c>
      <c r="K86" s="3" t="s">
        <v>27</v>
      </c>
      <c r="L86" s="3">
        <v>5</v>
      </c>
      <c r="M86" s="3">
        <v>3370.52</v>
      </c>
      <c r="N86" s="3">
        <v>10</v>
      </c>
      <c r="O86" s="3">
        <f t="shared" si="3"/>
        <v>15167.339999999998</v>
      </c>
      <c r="P86" s="3" t="str">
        <f t="shared" si="4"/>
        <v>High Price</v>
      </c>
      <c r="Q86" s="3" t="str" cm="1">
        <f t="array" ref="Q86">_xlfn.IFS(N86&gt;=10,"High",N86&gt;=5,"Medium",N86&lt;5,"Low")</f>
        <v>High</v>
      </c>
      <c r="R86" s="3" t="str">
        <f t="shared" si="5"/>
        <v>Medium</v>
      </c>
    </row>
    <row r="87" spans="1:18" x14ac:dyDescent="0.25">
      <c r="A87" s="3">
        <v>10092</v>
      </c>
      <c r="B87" s="3">
        <v>1389</v>
      </c>
      <c r="C87" s="4">
        <v>45240</v>
      </c>
      <c r="D87" s="4">
        <v>45246</v>
      </c>
      <c r="E87" s="3" t="s">
        <v>45</v>
      </c>
      <c r="F87" s="3" t="s">
        <v>37</v>
      </c>
      <c r="G87" s="3" t="s">
        <v>29</v>
      </c>
      <c r="H87" s="3" t="s">
        <v>17</v>
      </c>
      <c r="I87" s="3" t="s">
        <v>48</v>
      </c>
      <c r="J87" s="3" t="s">
        <v>49</v>
      </c>
      <c r="K87" s="3" t="s">
        <v>32</v>
      </c>
      <c r="L87" s="3">
        <v>3</v>
      </c>
      <c r="M87" s="3">
        <v>343.33</v>
      </c>
      <c r="N87" s="3">
        <v>5</v>
      </c>
      <c r="O87" s="3">
        <f t="shared" si="3"/>
        <v>978.4905</v>
      </c>
      <c r="P87" s="3" t="str">
        <f t="shared" si="4"/>
        <v>Low Price</v>
      </c>
      <c r="Q87" s="3" t="str" cm="1">
        <f t="array" ref="Q87">_xlfn.IFS(N87&gt;=10,"High",N87&gt;=5,"Medium",N87&lt;5,"Low")</f>
        <v>Medium</v>
      </c>
      <c r="R87" s="3" t="str">
        <f t="shared" si="5"/>
        <v>Low</v>
      </c>
    </row>
    <row r="88" spans="1:18" x14ac:dyDescent="0.25">
      <c r="A88" s="3">
        <v>10093</v>
      </c>
      <c r="B88" s="3">
        <v>1565</v>
      </c>
      <c r="C88" s="4">
        <v>44980</v>
      </c>
      <c r="D88" s="4">
        <v>44982</v>
      </c>
      <c r="E88" s="3" t="s">
        <v>39</v>
      </c>
      <c r="F88" s="3" t="s">
        <v>28</v>
      </c>
      <c r="G88" s="3" t="s">
        <v>16</v>
      </c>
      <c r="H88" s="3" t="s">
        <v>41</v>
      </c>
      <c r="I88" s="3" t="s">
        <v>51</v>
      </c>
      <c r="J88" s="3" t="s">
        <v>55</v>
      </c>
      <c r="K88" s="3" t="s">
        <v>32</v>
      </c>
      <c r="L88" s="3">
        <v>9</v>
      </c>
      <c r="M88" s="3">
        <v>1938.76</v>
      </c>
      <c r="N88" s="3">
        <v>20</v>
      </c>
      <c r="O88" s="3">
        <f t="shared" si="3"/>
        <v>13959.072</v>
      </c>
      <c r="P88" s="3" t="str">
        <f t="shared" si="4"/>
        <v>Low Price</v>
      </c>
      <c r="Q88" s="3" t="str" cm="1">
        <f t="array" ref="Q88">_xlfn.IFS(N88&gt;=10,"High",N88&gt;=5,"Medium",N88&lt;5,"Low")</f>
        <v>High</v>
      </c>
      <c r="R88" s="3" t="str">
        <f t="shared" si="5"/>
        <v>High</v>
      </c>
    </row>
    <row r="89" spans="1:18" x14ac:dyDescent="0.25">
      <c r="A89" s="3">
        <v>10094</v>
      </c>
      <c r="B89" s="3">
        <v>1105</v>
      </c>
      <c r="C89" s="4">
        <v>44938</v>
      </c>
      <c r="D89" s="4">
        <v>44946</v>
      </c>
      <c r="E89" s="3" t="s">
        <v>21</v>
      </c>
      <c r="F89" s="3" t="s">
        <v>15</v>
      </c>
      <c r="G89" s="3" t="s">
        <v>29</v>
      </c>
      <c r="H89" s="3" t="s">
        <v>24</v>
      </c>
      <c r="I89" s="3" t="s">
        <v>51</v>
      </c>
      <c r="J89" s="3" t="s">
        <v>59</v>
      </c>
      <c r="K89" s="3" t="s">
        <v>20</v>
      </c>
      <c r="L89" s="3">
        <v>4</v>
      </c>
      <c r="M89" s="3">
        <v>1611.52</v>
      </c>
      <c r="N89" s="3">
        <v>10</v>
      </c>
      <c r="O89" s="3">
        <f t="shared" si="3"/>
        <v>5801.4719999999998</v>
      </c>
      <c r="P89" s="3" t="str">
        <f t="shared" si="4"/>
        <v>Low Price</v>
      </c>
      <c r="Q89" s="3" t="str" cm="1">
        <f t="array" ref="Q89">_xlfn.IFS(N89&gt;=10,"High",N89&gt;=5,"Medium",N89&lt;5,"Low")</f>
        <v>High</v>
      </c>
      <c r="R89" s="3" t="str">
        <f t="shared" si="5"/>
        <v>Low</v>
      </c>
    </row>
    <row r="90" spans="1:18" x14ac:dyDescent="0.25">
      <c r="A90" s="3">
        <v>10095</v>
      </c>
      <c r="B90" s="3">
        <v>1771</v>
      </c>
      <c r="C90" s="4">
        <v>45135</v>
      </c>
      <c r="D90" s="4">
        <v>45137</v>
      </c>
      <c r="E90" s="3" t="s">
        <v>39</v>
      </c>
      <c r="F90" s="3" t="s">
        <v>53</v>
      </c>
      <c r="G90" s="3" t="s">
        <v>29</v>
      </c>
      <c r="H90" s="3" t="s">
        <v>41</v>
      </c>
      <c r="I90" s="3" t="s">
        <v>48</v>
      </c>
      <c r="J90" s="3" t="s">
        <v>49</v>
      </c>
      <c r="K90" s="3" t="s">
        <v>46</v>
      </c>
      <c r="L90" s="3">
        <v>3</v>
      </c>
      <c r="M90" s="3">
        <v>1368.86</v>
      </c>
      <c r="N90" s="3">
        <v>10</v>
      </c>
      <c r="O90" s="3">
        <f t="shared" si="3"/>
        <v>3695.922</v>
      </c>
      <c r="P90" s="3" t="str">
        <f t="shared" si="4"/>
        <v>Low Price</v>
      </c>
      <c r="Q90" s="3" t="str" cm="1">
        <f t="array" ref="Q90">_xlfn.IFS(N90&gt;=10,"High",N90&gt;=5,"Medium",N90&lt;5,"Low")</f>
        <v>High</v>
      </c>
      <c r="R90" s="3" t="str">
        <f t="shared" si="5"/>
        <v>Low</v>
      </c>
    </row>
    <row r="91" spans="1:18" x14ac:dyDescent="0.25">
      <c r="A91" s="3">
        <v>10096</v>
      </c>
      <c r="B91" s="3">
        <v>1821</v>
      </c>
      <c r="C91" s="4">
        <v>44940</v>
      </c>
      <c r="D91" s="4">
        <v>44947</v>
      </c>
      <c r="E91" s="3" t="s">
        <v>39</v>
      </c>
      <c r="F91" s="3" t="s">
        <v>15</v>
      </c>
      <c r="G91" s="3" t="s">
        <v>16</v>
      </c>
      <c r="H91" s="3" t="s">
        <v>24</v>
      </c>
      <c r="I91" s="3" t="s">
        <v>51</v>
      </c>
      <c r="J91" s="3" t="s">
        <v>59</v>
      </c>
      <c r="K91" s="3" t="s">
        <v>32</v>
      </c>
      <c r="L91" s="3">
        <v>2</v>
      </c>
      <c r="M91" s="3">
        <v>1249.94</v>
      </c>
      <c r="N91" s="3">
        <v>10</v>
      </c>
      <c r="O91" s="3">
        <f t="shared" si="3"/>
        <v>2249.8920000000003</v>
      </c>
      <c r="P91" s="3" t="str">
        <f t="shared" si="4"/>
        <v>Low Price</v>
      </c>
      <c r="Q91" s="3" t="str" cm="1">
        <f t="array" ref="Q91">_xlfn.IFS(N91&gt;=10,"High",N91&gt;=5,"Medium",N91&lt;5,"Low")</f>
        <v>High</v>
      </c>
      <c r="R91" s="3" t="str">
        <f t="shared" si="5"/>
        <v>Low</v>
      </c>
    </row>
    <row r="92" spans="1:18" x14ac:dyDescent="0.25">
      <c r="A92" s="3">
        <v>10097</v>
      </c>
      <c r="B92" s="3">
        <v>1476</v>
      </c>
      <c r="C92" s="4">
        <v>45047</v>
      </c>
      <c r="D92" s="4">
        <v>45056</v>
      </c>
      <c r="E92" s="3" t="s">
        <v>36</v>
      </c>
      <c r="F92" s="3" t="s">
        <v>22</v>
      </c>
      <c r="G92" s="3" t="s">
        <v>23</v>
      </c>
      <c r="H92" s="3" t="s">
        <v>17</v>
      </c>
      <c r="I92" s="3" t="s">
        <v>51</v>
      </c>
      <c r="J92" s="3" t="s">
        <v>59</v>
      </c>
      <c r="K92" s="3" t="s">
        <v>27</v>
      </c>
      <c r="L92" s="3">
        <v>9</v>
      </c>
      <c r="M92" s="3">
        <v>501.79</v>
      </c>
      <c r="N92" s="3">
        <v>5</v>
      </c>
      <c r="O92" s="3">
        <f t="shared" si="3"/>
        <v>4290.3045000000002</v>
      </c>
      <c r="P92" s="3" t="str">
        <f t="shared" si="4"/>
        <v>Low Price</v>
      </c>
      <c r="Q92" s="3" t="str" cm="1">
        <f t="array" ref="Q92">_xlfn.IFS(N92&gt;=10,"High",N92&gt;=5,"Medium",N92&lt;5,"Low")</f>
        <v>Medium</v>
      </c>
      <c r="R92" s="3" t="str">
        <f t="shared" si="5"/>
        <v>High</v>
      </c>
    </row>
    <row r="93" spans="1:18" x14ac:dyDescent="0.25">
      <c r="A93" s="3">
        <v>10098</v>
      </c>
      <c r="B93" s="3">
        <v>1702</v>
      </c>
      <c r="C93" s="4">
        <v>44946</v>
      </c>
      <c r="D93" s="4">
        <v>44947</v>
      </c>
      <c r="E93" s="3" t="s">
        <v>36</v>
      </c>
      <c r="F93" s="3" t="s">
        <v>53</v>
      </c>
      <c r="G93" s="3" t="s">
        <v>23</v>
      </c>
      <c r="H93" s="3" t="s">
        <v>41</v>
      </c>
      <c r="I93" s="3" t="s">
        <v>25</v>
      </c>
      <c r="J93" s="3" t="s">
        <v>35</v>
      </c>
      <c r="K93" s="3" t="s">
        <v>44</v>
      </c>
      <c r="L93" s="3">
        <v>4</v>
      </c>
      <c r="M93" s="3">
        <v>1362.08</v>
      </c>
      <c r="N93" s="3">
        <v>15</v>
      </c>
      <c r="O93" s="3">
        <f t="shared" si="3"/>
        <v>4631.0719999999992</v>
      </c>
      <c r="P93" s="3" t="str">
        <f t="shared" si="4"/>
        <v>Low Price</v>
      </c>
      <c r="Q93" s="3" t="str" cm="1">
        <f t="array" ref="Q93">_xlfn.IFS(N93&gt;=10,"High",N93&gt;=5,"Medium",N93&lt;5,"Low")</f>
        <v>High</v>
      </c>
      <c r="R93" s="3" t="str">
        <f t="shared" si="5"/>
        <v>Low</v>
      </c>
    </row>
    <row r="94" spans="1:18" x14ac:dyDescent="0.25">
      <c r="A94" s="3">
        <v>10099</v>
      </c>
      <c r="B94" s="3">
        <v>1401</v>
      </c>
      <c r="C94" s="4">
        <v>45001</v>
      </c>
      <c r="D94" s="4">
        <v>45009</v>
      </c>
      <c r="E94" s="3" t="s">
        <v>45</v>
      </c>
      <c r="F94" s="3" t="s">
        <v>37</v>
      </c>
      <c r="G94" s="3" t="s">
        <v>16</v>
      </c>
      <c r="H94" s="3" t="s">
        <v>41</v>
      </c>
      <c r="I94" s="3" t="s">
        <v>51</v>
      </c>
      <c r="J94" s="3" t="s">
        <v>52</v>
      </c>
      <c r="K94" s="3" t="s">
        <v>27</v>
      </c>
      <c r="L94" s="3">
        <v>3</v>
      </c>
      <c r="M94" s="3">
        <v>315.75</v>
      </c>
      <c r="N94" s="3">
        <v>20</v>
      </c>
      <c r="O94" s="3">
        <f t="shared" si="3"/>
        <v>757.80000000000007</v>
      </c>
      <c r="P94" s="3" t="str">
        <f t="shared" si="4"/>
        <v>Low Price</v>
      </c>
      <c r="Q94" s="3" t="str" cm="1">
        <f t="array" ref="Q94">_xlfn.IFS(N94&gt;=10,"High",N94&gt;=5,"Medium",N94&lt;5,"Low")</f>
        <v>High</v>
      </c>
      <c r="R94" s="3" t="str">
        <f t="shared" si="5"/>
        <v>Low</v>
      </c>
    </row>
    <row r="95" spans="1:18" x14ac:dyDescent="0.25">
      <c r="A95" s="3">
        <v>10100</v>
      </c>
      <c r="B95" s="3">
        <v>1729</v>
      </c>
      <c r="C95" s="4">
        <v>45169</v>
      </c>
      <c r="D95" s="4">
        <v>45176</v>
      </c>
      <c r="E95" s="3" t="s">
        <v>15</v>
      </c>
      <c r="F95" s="3" t="s">
        <v>28</v>
      </c>
      <c r="G95" s="3" t="s">
        <v>23</v>
      </c>
      <c r="H95" s="3" t="s">
        <v>17</v>
      </c>
      <c r="I95" s="3" t="s">
        <v>18</v>
      </c>
      <c r="J95" s="3" t="s">
        <v>42</v>
      </c>
      <c r="K95" s="3" t="s">
        <v>46</v>
      </c>
      <c r="L95" s="3">
        <v>7</v>
      </c>
      <c r="M95" s="3">
        <v>3156.71</v>
      </c>
      <c r="N95" s="3">
        <v>10</v>
      </c>
      <c r="O95" s="3">
        <f t="shared" si="3"/>
        <v>19887.273000000001</v>
      </c>
      <c r="P95" s="3" t="str">
        <f t="shared" si="4"/>
        <v>High Price</v>
      </c>
      <c r="Q95" s="3" t="str" cm="1">
        <f t="array" ref="Q95">_xlfn.IFS(N95&gt;=10,"High",N95&gt;=5,"Medium",N95&lt;5,"Low")</f>
        <v>High</v>
      </c>
      <c r="R95" s="3" t="str">
        <f t="shared" si="5"/>
        <v>Medium</v>
      </c>
    </row>
    <row r="96" spans="1:18" x14ac:dyDescent="0.25">
      <c r="A96" s="3">
        <v>10101</v>
      </c>
      <c r="B96" s="3">
        <v>1555</v>
      </c>
      <c r="C96" s="4">
        <v>45149</v>
      </c>
      <c r="D96" s="4">
        <v>45155</v>
      </c>
      <c r="E96" s="3" t="s">
        <v>15</v>
      </c>
      <c r="F96" s="3" t="s">
        <v>15</v>
      </c>
      <c r="G96" s="3" t="s">
        <v>29</v>
      </c>
      <c r="H96" s="3" t="s">
        <v>41</v>
      </c>
      <c r="I96" s="3" t="s">
        <v>56</v>
      </c>
      <c r="J96" s="3" t="s">
        <v>58</v>
      </c>
      <c r="K96" s="3" t="s">
        <v>27</v>
      </c>
      <c r="L96" s="3">
        <v>8</v>
      </c>
      <c r="M96" s="3">
        <v>1683.18</v>
      </c>
      <c r="N96" s="3">
        <v>15</v>
      </c>
      <c r="O96" s="3">
        <f t="shared" si="3"/>
        <v>11445.624</v>
      </c>
      <c r="P96" s="3" t="str">
        <f t="shared" si="4"/>
        <v>Low Price</v>
      </c>
      <c r="Q96" s="3" t="str" cm="1">
        <f t="array" ref="Q96">_xlfn.IFS(N96&gt;=10,"High",N96&gt;=5,"Medium",N96&lt;5,"Low")</f>
        <v>High</v>
      </c>
      <c r="R96" s="3" t="str">
        <f t="shared" si="5"/>
        <v>Medium</v>
      </c>
    </row>
    <row r="97" spans="1:18" x14ac:dyDescent="0.25">
      <c r="A97" s="3">
        <v>10102</v>
      </c>
      <c r="B97" s="3">
        <v>1161</v>
      </c>
      <c r="C97" s="4">
        <v>44996</v>
      </c>
      <c r="D97" s="4">
        <v>45002</v>
      </c>
      <c r="E97" s="3" t="s">
        <v>36</v>
      </c>
      <c r="F97" s="3" t="s">
        <v>53</v>
      </c>
      <c r="G97" s="3" t="s">
        <v>29</v>
      </c>
      <c r="H97" s="3" t="s">
        <v>24</v>
      </c>
      <c r="I97" s="3" t="s">
        <v>30</v>
      </c>
      <c r="J97" s="3" t="s">
        <v>38</v>
      </c>
      <c r="K97" s="3" t="s">
        <v>20</v>
      </c>
      <c r="L97" s="3">
        <v>2</v>
      </c>
      <c r="M97" s="3">
        <v>1859.03</v>
      </c>
      <c r="N97" s="3">
        <v>20</v>
      </c>
      <c r="O97" s="3">
        <f t="shared" si="3"/>
        <v>2974.4480000000003</v>
      </c>
      <c r="P97" s="3" t="str">
        <f t="shared" si="4"/>
        <v>Low Price</v>
      </c>
      <c r="Q97" s="3" t="str" cm="1">
        <f t="array" ref="Q97">_xlfn.IFS(N97&gt;=10,"High",N97&gt;=5,"Medium",N97&lt;5,"Low")</f>
        <v>High</v>
      </c>
      <c r="R97" s="3" t="str">
        <f t="shared" si="5"/>
        <v>Low</v>
      </c>
    </row>
    <row r="98" spans="1:18" x14ac:dyDescent="0.25">
      <c r="A98" s="3">
        <v>10103</v>
      </c>
      <c r="B98" s="3">
        <v>1201</v>
      </c>
      <c r="C98" s="4">
        <v>45238</v>
      </c>
      <c r="D98" s="4">
        <v>45244</v>
      </c>
      <c r="E98" s="3" t="s">
        <v>45</v>
      </c>
      <c r="F98" s="3" t="s">
        <v>22</v>
      </c>
      <c r="G98" s="3" t="s">
        <v>16</v>
      </c>
      <c r="H98" s="3" t="s">
        <v>41</v>
      </c>
      <c r="I98" s="3" t="s">
        <v>18</v>
      </c>
      <c r="J98" s="3" t="s">
        <v>19</v>
      </c>
      <c r="K98" s="3" t="s">
        <v>46</v>
      </c>
      <c r="L98" s="3">
        <v>7</v>
      </c>
      <c r="M98" s="3">
        <v>3590.34</v>
      </c>
      <c r="N98" s="3">
        <v>20</v>
      </c>
      <c r="O98" s="3">
        <f t="shared" si="3"/>
        <v>20105.904000000002</v>
      </c>
      <c r="P98" s="3" t="str">
        <f t="shared" si="4"/>
        <v>High Price</v>
      </c>
      <c r="Q98" s="3" t="str" cm="1">
        <f t="array" ref="Q98">_xlfn.IFS(N98&gt;=10,"High",N98&gt;=5,"Medium",N98&lt;5,"Low")</f>
        <v>High</v>
      </c>
      <c r="R98" s="3" t="str">
        <f t="shared" si="5"/>
        <v>Medium</v>
      </c>
    </row>
    <row r="99" spans="1:18" x14ac:dyDescent="0.25">
      <c r="A99" s="3">
        <v>10105</v>
      </c>
      <c r="B99" s="3">
        <v>1995</v>
      </c>
      <c r="C99" s="4">
        <v>45027</v>
      </c>
      <c r="D99" s="4">
        <v>45029</v>
      </c>
      <c r="E99" s="3" t="s">
        <v>45</v>
      </c>
      <c r="F99" s="3" t="s">
        <v>40</v>
      </c>
      <c r="G99" s="3" t="s">
        <v>23</v>
      </c>
      <c r="H99" s="3" t="s">
        <v>34</v>
      </c>
      <c r="I99" s="3" t="s">
        <v>25</v>
      </c>
      <c r="J99" s="3" t="s">
        <v>26</v>
      </c>
      <c r="K99" s="3" t="s">
        <v>20</v>
      </c>
      <c r="L99" s="3">
        <v>5</v>
      </c>
      <c r="M99" s="3">
        <v>181.03</v>
      </c>
      <c r="N99" s="3">
        <v>10</v>
      </c>
      <c r="O99" s="3">
        <f t="shared" si="3"/>
        <v>814.63499999999999</v>
      </c>
      <c r="P99" s="3" t="str">
        <f t="shared" si="4"/>
        <v>Low Price</v>
      </c>
      <c r="Q99" s="3" t="str" cm="1">
        <f t="array" ref="Q99">_xlfn.IFS(N99&gt;=10,"High",N99&gt;=5,"Medium",N99&lt;5,"Low")</f>
        <v>High</v>
      </c>
      <c r="R99" s="3" t="str">
        <f t="shared" si="5"/>
        <v>Medium</v>
      </c>
    </row>
    <row r="100" spans="1:18" x14ac:dyDescent="0.25">
      <c r="A100" s="3">
        <v>10106</v>
      </c>
      <c r="B100" s="3">
        <v>1269</v>
      </c>
      <c r="C100" s="4">
        <v>45112</v>
      </c>
      <c r="D100" s="4">
        <v>45113</v>
      </c>
      <c r="E100" s="3" t="s">
        <v>45</v>
      </c>
      <c r="F100" s="3" t="s">
        <v>22</v>
      </c>
      <c r="G100" s="3" t="s">
        <v>29</v>
      </c>
      <c r="H100" s="3" t="s">
        <v>24</v>
      </c>
      <c r="I100" s="3" t="s">
        <v>48</v>
      </c>
      <c r="J100" s="3" t="s">
        <v>62</v>
      </c>
      <c r="K100" s="3" t="s">
        <v>46</v>
      </c>
      <c r="L100" s="3">
        <v>3</v>
      </c>
      <c r="M100" s="3">
        <v>3781.22</v>
      </c>
      <c r="N100" s="3">
        <v>5</v>
      </c>
      <c r="O100" s="3">
        <f t="shared" si="3"/>
        <v>10776.476999999999</v>
      </c>
      <c r="P100" s="3" t="str">
        <f t="shared" si="4"/>
        <v>Low Price</v>
      </c>
      <c r="Q100" s="3" t="str" cm="1">
        <f t="array" ref="Q100">_xlfn.IFS(N100&gt;=10,"High",N100&gt;=5,"Medium",N100&lt;5,"Low")</f>
        <v>Medium</v>
      </c>
      <c r="R100" s="3" t="str">
        <f t="shared" si="5"/>
        <v>Low</v>
      </c>
    </row>
    <row r="101" spans="1:18" x14ac:dyDescent="0.25">
      <c r="A101" s="3">
        <v>10107</v>
      </c>
      <c r="B101" s="3">
        <v>1862</v>
      </c>
      <c r="C101" s="4">
        <v>45058</v>
      </c>
      <c r="D101" s="4">
        <v>45064</v>
      </c>
      <c r="E101" s="3" t="s">
        <v>45</v>
      </c>
      <c r="F101" s="3" t="s">
        <v>37</v>
      </c>
      <c r="G101" s="3" t="s">
        <v>16</v>
      </c>
      <c r="H101" s="3" t="s">
        <v>43</v>
      </c>
      <c r="I101" s="3" t="s">
        <v>51</v>
      </c>
      <c r="J101" s="3" t="s">
        <v>59</v>
      </c>
      <c r="K101" s="3" t="s">
        <v>44</v>
      </c>
      <c r="L101" s="3">
        <v>5</v>
      </c>
      <c r="M101" s="3">
        <v>1063.01</v>
      </c>
      <c r="N101" s="3">
        <v>15</v>
      </c>
      <c r="O101" s="3">
        <f t="shared" si="3"/>
        <v>4517.7925000000005</v>
      </c>
      <c r="P101" s="3" t="str">
        <f t="shared" si="4"/>
        <v>Low Price</v>
      </c>
      <c r="Q101" s="3" t="str" cm="1">
        <f t="array" ref="Q101">_xlfn.IFS(N101&gt;=10,"High",N101&gt;=5,"Medium",N101&lt;5,"Low")</f>
        <v>High</v>
      </c>
      <c r="R101" s="3" t="str">
        <f t="shared" si="5"/>
        <v>Medium</v>
      </c>
    </row>
    <row r="102" spans="1:18" x14ac:dyDescent="0.25">
      <c r="A102" s="3">
        <v>10108</v>
      </c>
      <c r="B102" s="3">
        <v>1815</v>
      </c>
      <c r="C102" s="4">
        <v>45037</v>
      </c>
      <c r="D102" s="4">
        <v>45045</v>
      </c>
      <c r="E102" s="3" t="s">
        <v>14</v>
      </c>
      <c r="F102" s="3" t="s">
        <v>28</v>
      </c>
      <c r="G102" s="3" t="s">
        <v>23</v>
      </c>
      <c r="H102" s="3" t="s">
        <v>17</v>
      </c>
      <c r="I102" s="3" t="s">
        <v>25</v>
      </c>
      <c r="J102" s="3" t="s">
        <v>35</v>
      </c>
      <c r="K102" s="3" t="s">
        <v>20</v>
      </c>
      <c r="L102" s="3">
        <v>2</v>
      </c>
      <c r="M102" s="3">
        <v>564.30999999999995</v>
      </c>
      <c r="N102" s="3">
        <v>15</v>
      </c>
      <c r="O102" s="3">
        <f t="shared" si="3"/>
        <v>959.32699999999988</v>
      </c>
      <c r="P102" s="3" t="str">
        <f t="shared" si="4"/>
        <v>Low Price</v>
      </c>
      <c r="Q102" s="3" t="str" cm="1">
        <f t="array" ref="Q102">_xlfn.IFS(N102&gt;=10,"High",N102&gt;=5,"Medium",N102&lt;5,"Low")</f>
        <v>High</v>
      </c>
      <c r="R102" s="3" t="str">
        <f t="shared" si="5"/>
        <v>Low</v>
      </c>
    </row>
    <row r="103" spans="1:18" x14ac:dyDescent="0.25">
      <c r="A103" s="3">
        <v>10110</v>
      </c>
      <c r="B103" s="3">
        <v>1455</v>
      </c>
      <c r="C103" s="4">
        <v>44946</v>
      </c>
      <c r="D103" s="4">
        <v>44947</v>
      </c>
      <c r="E103" s="3" t="s">
        <v>45</v>
      </c>
      <c r="F103" s="3" t="s">
        <v>15</v>
      </c>
      <c r="G103" s="3" t="s">
        <v>23</v>
      </c>
      <c r="H103" s="3" t="s">
        <v>34</v>
      </c>
      <c r="I103" s="3" t="s">
        <v>51</v>
      </c>
      <c r="J103" s="3" t="s">
        <v>55</v>
      </c>
      <c r="K103" s="3" t="s">
        <v>46</v>
      </c>
      <c r="L103" s="3">
        <v>6</v>
      </c>
      <c r="M103" s="3">
        <v>2076.84</v>
      </c>
      <c r="N103" s="3">
        <v>20</v>
      </c>
      <c r="O103" s="3">
        <f t="shared" si="3"/>
        <v>9968.8320000000022</v>
      </c>
      <c r="P103" s="3" t="str">
        <f t="shared" si="4"/>
        <v>Low Price</v>
      </c>
      <c r="Q103" s="3" t="str" cm="1">
        <f t="array" ref="Q103">_xlfn.IFS(N103&gt;=10,"High",N103&gt;=5,"Medium",N103&lt;5,"Low")</f>
        <v>High</v>
      </c>
      <c r="R103" s="3" t="str">
        <f t="shared" si="5"/>
        <v>Medium</v>
      </c>
    </row>
    <row r="104" spans="1:18" x14ac:dyDescent="0.25">
      <c r="A104" s="3">
        <v>10111</v>
      </c>
      <c r="B104" s="3">
        <v>1461</v>
      </c>
      <c r="C104" s="4">
        <v>44950</v>
      </c>
      <c r="D104" s="4">
        <v>44959</v>
      </c>
      <c r="E104" s="3" t="s">
        <v>14</v>
      </c>
      <c r="F104" s="3" t="s">
        <v>53</v>
      </c>
      <c r="G104" s="3" t="s">
        <v>29</v>
      </c>
      <c r="H104" s="3" t="s">
        <v>34</v>
      </c>
      <c r="I104" s="3" t="s">
        <v>48</v>
      </c>
      <c r="J104" s="3" t="s">
        <v>67</v>
      </c>
      <c r="K104" s="3" t="s">
        <v>32</v>
      </c>
      <c r="L104" s="3">
        <v>1</v>
      </c>
      <c r="M104" s="3">
        <v>1820.02</v>
      </c>
      <c r="N104" s="3">
        <v>10</v>
      </c>
      <c r="O104" s="3">
        <f t="shared" si="3"/>
        <v>1638.018</v>
      </c>
      <c r="P104" s="3" t="str">
        <f t="shared" si="4"/>
        <v>Low Price</v>
      </c>
      <c r="Q104" s="3" t="str" cm="1">
        <f t="array" ref="Q104">_xlfn.IFS(N104&gt;=10,"High",N104&gt;=5,"Medium",N104&lt;5,"Low")</f>
        <v>High</v>
      </c>
      <c r="R104" s="3" t="str">
        <f t="shared" si="5"/>
        <v>Low</v>
      </c>
    </row>
    <row r="105" spans="1:18" x14ac:dyDescent="0.25">
      <c r="A105" s="3">
        <v>10112</v>
      </c>
      <c r="B105" s="3">
        <v>1726</v>
      </c>
      <c r="C105" s="4">
        <v>45153</v>
      </c>
      <c r="D105" s="4">
        <v>45154</v>
      </c>
      <c r="E105" s="3" t="s">
        <v>36</v>
      </c>
      <c r="F105" s="3" t="s">
        <v>40</v>
      </c>
      <c r="G105" s="3" t="s">
        <v>29</v>
      </c>
      <c r="H105" s="3" t="s">
        <v>17</v>
      </c>
      <c r="I105" s="3" t="s">
        <v>25</v>
      </c>
      <c r="J105" s="3" t="s">
        <v>35</v>
      </c>
      <c r="K105" s="3" t="s">
        <v>20</v>
      </c>
      <c r="L105" s="3">
        <v>4</v>
      </c>
      <c r="M105" s="3">
        <v>1110.5899999999999</v>
      </c>
      <c r="N105" s="3">
        <v>20</v>
      </c>
      <c r="O105" s="3">
        <f t="shared" si="3"/>
        <v>3553.8879999999999</v>
      </c>
      <c r="P105" s="3" t="str">
        <f t="shared" si="4"/>
        <v>Low Price</v>
      </c>
      <c r="Q105" s="3" t="str" cm="1">
        <f t="array" ref="Q105">_xlfn.IFS(N105&gt;=10,"High",N105&gt;=5,"Medium",N105&lt;5,"Low")</f>
        <v>High</v>
      </c>
      <c r="R105" s="3" t="str">
        <f t="shared" si="5"/>
        <v>Low</v>
      </c>
    </row>
    <row r="106" spans="1:18" x14ac:dyDescent="0.25">
      <c r="A106" s="3">
        <v>10113</v>
      </c>
      <c r="B106" s="3">
        <v>1251</v>
      </c>
      <c r="C106" s="4">
        <v>45080</v>
      </c>
      <c r="D106" s="4">
        <v>45083</v>
      </c>
      <c r="E106" s="3" t="s">
        <v>15</v>
      </c>
      <c r="F106" s="3" t="s">
        <v>22</v>
      </c>
      <c r="G106" s="3" t="s">
        <v>16</v>
      </c>
      <c r="H106" s="3" t="s">
        <v>17</v>
      </c>
      <c r="I106" s="3" t="s">
        <v>25</v>
      </c>
      <c r="J106" s="3" t="s">
        <v>60</v>
      </c>
      <c r="K106" s="3" t="s">
        <v>20</v>
      </c>
      <c r="L106" s="3">
        <v>6</v>
      </c>
      <c r="M106" s="3">
        <v>2257.77</v>
      </c>
      <c r="N106" s="3">
        <v>20</v>
      </c>
      <c r="O106" s="3">
        <f t="shared" si="3"/>
        <v>10837.296</v>
      </c>
      <c r="P106" s="3" t="str">
        <f t="shared" si="4"/>
        <v>Low Price</v>
      </c>
      <c r="Q106" s="3" t="str" cm="1">
        <f t="array" ref="Q106">_xlfn.IFS(N106&gt;=10,"High",N106&gt;=5,"Medium",N106&lt;5,"Low")</f>
        <v>High</v>
      </c>
      <c r="R106" s="3" t="str">
        <f t="shared" si="5"/>
        <v>Medium</v>
      </c>
    </row>
    <row r="107" spans="1:18" x14ac:dyDescent="0.25">
      <c r="A107" s="3">
        <v>10114</v>
      </c>
      <c r="B107" s="3">
        <v>1701</v>
      </c>
      <c r="C107" s="4">
        <v>45219</v>
      </c>
      <c r="D107" s="4">
        <v>45227</v>
      </c>
      <c r="E107" s="3" t="s">
        <v>39</v>
      </c>
      <c r="F107" s="3" t="s">
        <v>22</v>
      </c>
      <c r="G107" s="3" t="s">
        <v>29</v>
      </c>
      <c r="H107" s="3" t="s">
        <v>24</v>
      </c>
      <c r="I107" s="3" t="s">
        <v>25</v>
      </c>
      <c r="J107" s="3" t="s">
        <v>68</v>
      </c>
      <c r="K107" s="3" t="s">
        <v>44</v>
      </c>
      <c r="L107" s="3">
        <v>9</v>
      </c>
      <c r="M107" s="3">
        <v>1206.3800000000001</v>
      </c>
      <c r="N107" s="3">
        <v>10</v>
      </c>
      <c r="O107" s="3">
        <f t="shared" si="3"/>
        <v>9771.6780000000017</v>
      </c>
      <c r="P107" s="3" t="str">
        <f t="shared" si="4"/>
        <v>Low Price</v>
      </c>
      <c r="Q107" s="3" t="str" cm="1">
        <f t="array" ref="Q107">_xlfn.IFS(N107&gt;=10,"High",N107&gt;=5,"Medium",N107&lt;5,"Low")</f>
        <v>High</v>
      </c>
      <c r="R107" s="3" t="str">
        <f t="shared" si="5"/>
        <v>High</v>
      </c>
    </row>
    <row r="108" spans="1:18" x14ac:dyDescent="0.25">
      <c r="A108" s="3">
        <v>10115</v>
      </c>
      <c r="B108" s="3">
        <v>1295</v>
      </c>
      <c r="C108" s="4">
        <v>45156</v>
      </c>
      <c r="D108" s="4">
        <v>45159</v>
      </c>
      <c r="E108" s="3" t="s">
        <v>21</v>
      </c>
      <c r="F108" s="3" t="s">
        <v>53</v>
      </c>
      <c r="G108" s="3" t="s">
        <v>23</v>
      </c>
      <c r="H108" s="3" t="s">
        <v>41</v>
      </c>
      <c r="I108" s="3" t="s">
        <v>56</v>
      </c>
      <c r="J108" s="3" t="s">
        <v>61</v>
      </c>
      <c r="K108" s="3" t="s">
        <v>27</v>
      </c>
      <c r="L108" s="3">
        <v>2</v>
      </c>
      <c r="M108" s="3">
        <v>3621.09</v>
      </c>
      <c r="N108" s="3">
        <v>0</v>
      </c>
      <c r="O108" s="3">
        <f t="shared" si="3"/>
        <v>7242.18</v>
      </c>
      <c r="P108" s="3" t="str">
        <f t="shared" si="4"/>
        <v>Low Price</v>
      </c>
      <c r="Q108" s="3" t="str" cm="1">
        <f t="array" ref="Q108">_xlfn.IFS(N108&gt;=10,"High",N108&gt;=5,"Medium",N108&lt;5,"Low")</f>
        <v>Low</v>
      </c>
      <c r="R108" s="3" t="str">
        <f t="shared" si="5"/>
        <v>Low</v>
      </c>
    </row>
    <row r="109" spans="1:18" x14ac:dyDescent="0.25">
      <c r="A109" s="3">
        <v>10116</v>
      </c>
      <c r="B109" s="3">
        <v>1724</v>
      </c>
      <c r="C109" s="4">
        <v>45236</v>
      </c>
      <c r="D109" s="4">
        <v>45240</v>
      </c>
      <c r="E109" s="3" t="s">
        <v>15</v>
      </c>
      <c r="F109" s="3" t="s">
        <v>40</v>
      </c>
      <c r="G109" s="3" t="s">
        <v>29</v>
      </c>
      <c r="H109" s="3" t="s">
        <v>17</v>
      </c>
      <c r="I109" s="3" t="s">
        <v>51</v>
      </c>
      <c r="J109" s="3" t="s">
        <v>59</v>
      </c>
      <c r="K109" s="3" t="s">
        <v>46</v>
      </c>
      <c r="L109" s="3">
        <v>7</v>
      </c>
      <c r="M109" s="3">
        <v>978.54</v>
      </c>
      <c r="N109" s="3">
        <v>15</v>
      </c>
      <c r="O109" s="3">
        <f t="shared" si="3"/>
        <v>5822.3129999999992</v>
      </c>
      <c r="P109" s="3" t="str">
        <f t="shared" si="4"/>
        <v>Low Price</v>
      </c>
      <c r="Q109" s="3" t="str" cm="1">
        <f t="array" ref="Q109">_xlfn.IFS(N109&gt;=10,"High",N109&gt;=5,"Medium",N109&lt;5,"Low")</f>
        <v>High</v>
      </c>
      <c r="R109" s="3" t="str">
        <f t="shared" si="5"/>
        <v>Medium</v>
      </c>
    </row>
    <row r="110" spans="1:18" x14ac:dyDescent="0.25">
      <c r="A110" s="3">
        <v>10117</v>
      </c>
      <c r="B110" s="3">
        <v>1719</v>
      </c>
      <c r="C110" s="4">
        <v>45285</v>
      </c>
      <c r="D110" s="4">
        <v>45293</v>
      </c>
      <c r="E110" s="3" t="s">
        <v>39</v>
      </c>
      <c r="F110" s="3" t="s">
        <v>53</v>
      </c>
      <c r="G110" s="3" t="s">
        <v>16</v>
      </c>
      <c r="H110" s="3" t="s">
        <v>41</v>
      </c>
      <c r="I110" s="3" t="s">
        <v>56</v>
      </c>
      <c r="J110" s="3" t="s">
        <v>57</v>
      </c>
      <c r="K110" s="3" t="s">
        <v>46</v>
      </c>
      <c r="L110" s="3">
        <v>6</v>
      </c>
      <c r="M110" s="3">
        <v>3554.77</v>
      </c>
      <c r="N110" s="3">
        <v>20</v>
      </c>
      <c r="O110" s="3">
        <f t="shared" si="3"/>
        <v>17062.896000000001</v>
      </c>
      <c r="P110" s="3" t="str">
        <f t="shared" si="4"/>
        <v>High Price</v>
      </c>
      <c r="Q110" s="3" t="str" cm="1">
        <f t="array" ref="Q110">_xlfn.IFS(N110&gt;=10,"High",N110&gt;=5,"Medium",N110&lt;5,"Low")</f>
        <v>High</v>
      </c>
      <c r="R110" s="3" t="str">
        <f t="shared" si="5"/>
        <v>Medium</v>
      </c>
    </row>
    <row r="111" spans="1:18" x14ac:dyDescent="0.25">
      <c r="A111" s="3">
        <v>10118</v>
      </c>
      <c r="B111" s="3">
        <v>1748</v>
      </c>
      <c r="C111" s="4">
        <v>45128</v>
      </c>
      <c r="D111" s="4">
        <v>45129</v>
      </c>
      <c r="E111" s="3" t="s">
        <v>21</v>
      </c>
      <c r="F111" s="3" t="s">
        <v>15</v>
      </c>
      <c r="G111" s="3" t="s">
        <v>16</v>
      </c>
      <c r="H111" s="3" t="s">
        <v>43</v>
      </c>
      <c r="I111" s="3" t="s">
        <v>30</v>
      </c>
      <c r="J111" s="3" t="s">
        <v>47</v>
      </c>
      <c r="K111" s="3" t="s">
        <v>32</v>
      </c>
      <c r="L111" s="3">
        <v>2</v>
      </c>
      <c r="M111" s="3">
        <v>2303.71</v>
      </c>
      <c r="N111" s="3">
        <v>20</v>
      </c>
      <c r="O111" s="3">
        <f t="shared" si="3"/>
        <v>3685.9360000000001</v>
      </c>
      <c r="P111" s="3" t="str">
        <f t="shared" si="4"/>
        <v>Low Price</v>
      </c>
      <c r="Q111" s="3" t="str" cm="1">
        <f t="array" ref="Q111">_xlfn.IFS(N111&gt;=10,"High",N111&gt;=5,"Medium",N111&lt;5,"Low")</f>
        <v>High</v>
      </c>
      <c r="R111" s="3" t="str">
        <f t="shared" si="5"/>
        <v>Low</v>
      </c>
    </row>
    <row r="112" spans="1:18" x14ac:dyDescent="0.25">
      <c r="A112" s="3">
        <v>10119</v>
      </c>
      <c r="B112" s="3">
        <v>1337</v>
      </c>
      <c r="C112" s="4">
        <v>44964</v>
      </c>
      <c r="D112" s="4">
        <v>44970</v>
      </c>
      <c r="E112" s="3" t="s">
        <v>15</v>
      </c>
      <c r="F112" s="3" t="s">
        <v>37</v>
      </c>
      <c r="G112" s="3" t="s">
        <v>16</v>
      </c>
      <c r="H112" s="3" t="s">
        <v>34</v>
      </c>
      <c r="I112" s="3" t="s">
        <v>30</v>
      </c>
      <c r="J112" s="3" t="s">
        <v>31</v>
      </c>
      <c r="K112" s="3" t="s">
        <v>32</v>
      </c>
      <c r="L112" s="3">
        <v>8</v>
      </c>
      <c r="M112" s="3">
        <v>3339.68</v>
      </c>
      <c r="N112" s="3">
        <v>0</v>
      </c>
      <c r="O112" s="3">
        <f t="shared" si="3"/>
        <v>26717.439999999999</v>
      </c>
      <c r="P112" s="3" t="str">
        <f t="shared" si="4"/>
        <v>High Price</v>
      </c>
      <c r="Q112" s="3" t="str" cm="1">
        <f t="array" ref="Q112">_xlfn.IFS(N112&gt;=10,"High",N112&gt;=5,"Medium",N112&lt;5,"Low")</f>
        <v>Low</v>
      </c>
      <c r="R112" s="3" t="str">
        <f t="shared" si="5"/>
        <v>Medium</v>
      </c>
    </row>
    <row r="113" spans="1:18" x14ac:dyDescent="0.25">
      <c r="A113" s="3">
        <v>10120</v>
      </c>
      <c r="B113" s="3">
        <v>1878</v>
      </c>
      <c r="C113" s="4">
        <v>45186</v>
      </c>
      <c r="D113" s="4">
        <v>45187</v>
      </c>
      <c r="E113" s="3" t="s">
        <v>39</v>
      </c>
      <c r="F113" s="3" t="s">
        <v>22</v>
      </c>
      <c r="G113" s="3" t="s">
        <v>23</v>
      </c>
      <c r="H113" s="3" t="s">
        <v>41</v>
      </c>
      <c r="I113" s="3" t="s">
        <v>51</v>
      </c>
      <c r="J113" s="3" t="s">
        <v>52</v>
      </c>
      <c r="K113" s="3" t="s">
        <v>46</v>
      </c>
      <c r="L113" s="3">
        <v>7</v>
      </c>
      <c r="M113" s="3">
        <v>2894.46</v>
      </c>
      <c r="N113" s="3">
        <v>5</v>
      </c>
      <c r="O113" s="3">
        <f t="shared" si="3"/>
        <v>19248.159</v>
      </c>
      <c r="P113" s="3" t="str">
        <f t="shared" si="4"/>
        <v>High Price</v>
      </c>
      <c r="Q113" s="3" t="str" cm="1">
        <f t="array" ref="Q113">_xlfn.IFS(N113&gt;=10,"High",N113&gt;=5,"Medium",N113&lt;5,"Low")</f>
        <v>Medium</v>
      </c>
      <c r="R113" s="3" t="str">
        <f t="shared" si="5"/>
        <v>Medium</v>
      </c>
    </row>
    <row r="114" spans="1:18" x14ac:dyDescent="0.25">
      <c r="A114" s="3">
        <v>10121</v>
      </c>
      <c r="B114" s="3">
        <v>1052</v>
      </c>
      <c r="C114" s="4">
        <v>45114</v>
      </c>
      <c r="D114" s="4">
        <v>45115</v>
      </c>
      <c r="E114" s="3" t="s">
        <v>15</v>
      </c>
      <c r="F114" s="3" t="s">
        <v>15</v>
      </c>
      <c r="G114" s="3" t="s">
        <v>23</v>
      </c>
      <c r="H114" s="3" t="s">
        <v>34</v>
      </c>
      <c r="I114" s="3" t="s">
        <v>56</v>
      </c>
      <c r="J114" s="3" t="s">
        <v>61</v>
      </c>
      <c r="K114" s="3" t="s">
        <v>32</v>
      </c>
      <c r="L114" s="3">
        <v>5</v>
      </c>
      <c r="M114" s="3">
        <v>2832.28</v>
      </c>
      <c r="N114" s="3">
        <v>0</v>
      </c>
      <c r="O114" s="3">
        <f t="shared" si="3"/>
        <v>14161.400000000001</v>
      </c>
      <c r="P114" s="3" t="str">
        <f t="shared" si="4"/>
        <v>Low Price</v>
      </c>
      <c r="Q114" s="3" t="str" cm="1">
        <f t="array" ref="Q114">_xlfn.IFS(N114&gt;=10,"High",N114&gt;=5,"Medium",N114&lt;5,"Low")</f>
        <v>Low</v>
      </c>
      <c r="R114" s="3" t="str">
        <f t="shared" si="5"/>
        <v>Medium</v>
      </c>
    </row>
    <row r="115" spans="1:18" x14ac:dyDescent="0.25">
      <c r="A115" s="3">
        <v>10122</v>
      </c>
      <c r="B115" s="3">
        <v>1791</v>
      </c>
      <c r="C115" s="4">
        <v>44983</v>
      </c>
      <c r="D115" s="4">
        <v>44991</v>
      </c>
      <c r="E115" s="3" t="s">
        <v>15</v>
      </c>
      <c r="F115" s="3" t="s">
        <v>37</v>
      </c>
      <c r="G115" s="3" t="s">
        <v>23</v>
      </c>
      <c r="H115" s="3" t="s">
        <v>41</v>
      </c>
      <c r="I115" s="3" t="s">
        <v>48</v>
      </c>
      <c r="J115" s="3" t="s">
        <v>62</v>
      </c>
      <c r="K115" s="3" t="s">
        <v>44</v>
      </c>
      <c r="L115" s="3">
        <v>5</v>
      </c>
      <c r="M115" s="3">
        <v>1398.73</v>
      </c>
      <c r="N115" s="3">
        <v>0</v>
      </c>
      <c r="O115" s="3">
        <f t="shared" si="3"/>
        <v>6993.65</v>
      </c>
      <c r="P115" s="3" t="str">
        <f t="shared" si="4"/>
        <v>Low Price</v>
      </c>
      <c r="Q115" s="3" t="str" cm="1">
        <f t="array" ref="Q115">_xlfn.IFS(N115&gt;=10,"High",N115&gt;=5,"Medium",N115&lt;5,"Low")</f>
        <v>Low</v>
      </c>
      <c r="R115" s="3" t="str">
        <f t="shared" si="5"/>
        <v>Medium</v>
      </c>
    </row>
    <row r="116" spans="1:18" x14ac:dyDescent="0.25">
      <c r="A116" s="3">
        <v>10123</v>
      </c>
      <c r="B116" s="3">
        <v>1921</v>
      </c>
      <c r="C116" s="4">
        <v>44946</v>
      </c>
      <c r="D116" s="4">
        <v>44950</v>
      </c>
      <c r="E116" s="3" t="s">
        <v>21</v>
      </c>
      <c r="F116" s="3" t="s">
        <v>15</v>
      </c>
      <c r="G116" s="3" t="s">
        <v>23</v>
      </c>
      <c r="H116" s="3" t="s">
        <v>43</v>
      </c>
      <c r="I116" s="3" t="s">
        <v>25</v>
      </c>
      <c r="J116" s="3" t="s">
        <v>68</v>
      </c>
      <c r="K116" s="3" t="s">
        <v>46</v>
      </c>
      <c r="L116" s="3">
        <v>7</v>
      </c>
      <c r="M116" s="3">
        <v>1050.5</v>
      </c>
      <c r="N116" s="3">
        <v>20</v>
      </c>
      <c r="O116" s="3">
        <f t="shared" si="3"/>
        <v>5882.8</v>
      </c>
      <c r="P116" s="3" t="str">
        <f t="shared" si="4"/>
        <v>Low Price</v>
      </c>
      <c r="Q116" s="3" t="str" cm="1">
        <f t="array" ref="Q116">_xlfn.IFS(N116&gt;=10,"High",N116&gt;=5,"Medium",N116&lt;5,"Low")</f>
        <v>High</v>
      </c>
      <c r="R116" s="3" t="str">
        <f t="shared" si="5"/>
        <v>Medium</v>
      </c>
    </row>
    <row r="117" spans="1:18" x14ac:dyDescent="0.25">
      <c r="A117" s="3">
        <v>10124</v>
      </c>
      <c r="B117" s="3">
        <v>1216</v>
      </c>
      <c r="C117" s="4">
        <v>45199</v>
      </c>
      <c r="D117" s="4">
        <v>45200</v>
      </c>
      <c r="E117" s="3" t="s">
        <v>15</v>
      </c>
      <c r="F117" s="3" t="s">
        <v>40</v>
      </c>
      <c r="G117" s="3" t="s">
        <v>23</v>
      </c>
      <c r="H117" s="3" t="s">
        <v>17</v>
      </c>
      <c r="I117" s="3" t="s">
        <v>25</v>
      </c>
      <c r="J117" s="3" t="s">
        <v>60</v>
      </c>
      <c r="K117" s="3" t="s">
        <v>32</v>
      </c>
      <c r="L117" s="3">
        <v>9</v>
      </c>
      <c r="M117" s="3">
        <v>961.91</v>
      </c>
      <c r="N117" s="3">
        <v>15</v>
      </c>
      <c r="O117" s="3">
        <f t="shared" si="3"/>
        <v>7358.6115</v>
      </c>
      <c r="P117" s="3" t="str">
        <f t="shared" si="4"/>
        <v>Low Price</v>
      </c>
      <c r="Q117" s="3" t="str" cm="1">
        <f t="array" ref="Q117">_xlfn.IFS(N117&gt;=10,"High",N117&gt;=5,"Medium",N117&lt;5,"Low")</f>
        <v>High</v>
      </c>
      <c r="R117" s="3" t="str">
        <f t="shared" si="5"/>
        <v>High</v>
      </c>
    </row>
    <row r="118" spans="1:18" x14ac:dyDescent="0.25">
      <c r="A118" s="3">
        <v>10125</v>
      </c>
      <c r="B118" s="3">
        <v>1763</v>
      </c>
      <c r="C118" s="4">
        <v>45045</v>
      </c>
      <c r="D118" s="4">
        <v>45052</v>
      </c>
      <c r="E118" s="3" t="s">
        <v>15</v>
      </c>
      <c r="F118" s="3" t="s">
        <v>22</v>
      </c>
      <c r="G118" s="3" t="s">
        <v>29</v>
      </c>
      <c r="H118" s="3" t="s">
        <v>43</v>
      </c>
      <c r="I118" s="3" t="s">
        <v>51</v>
      </c>
      <c r="J118" s="3" t="s">
        <v>63</v>
      </c>
      <c r="K118" s="3" t="s">
        <v>46</v>
      </c>
      <c r="L118" s="3">
        <v>9</v>
      </c>
      <c r="M118" s="3">
        <v>3450.19</v>
      </c>
      <c r="N118" s="3">
        <v>0</v>
      </c>
      <c r="O118" s="3">
        <f t="shared" si="3"/>
        <v>31051.71</v>
      </c>
      <c r="P118" s="3" t="str">
        <f t="shared" si="4"/>
        <v>High Price</v>
      </c>
      <c r="Q118" s="3" t="str" cm="1">
        <f t="array" ref="Q118">_xlfn.IFS(N118&gt;=10,"High",N118&gt;=5,"Medium",N118&lt;5,"Low")</f>
        <v>Low</v>
      </c>
      <c r="R118" s="3" t="str">
        <f t="shared" si="5"/>
        <v>High</v>
      </c>
    </row>
    <row r="119" spans="1:18" x14ac:dyDescent="0.25">
      <c r="A119" s="3">
        <v>10126</v>
      </c>
      <c r="B119" s="3">
        <v>1187</v>
      </c>
      <c r="C119" s="4">
        <v>44997</v>
      </c>
      <c r="D119" s="4">
        <v>45002</v>
      </c>
      <c r="E119" s="3" t="s">
        <v>21</v>
      </c>
      <c r="F119" s="3" t="s">
        <v>53</v>
      </c>
      <c r="G119" s="3" t="s">
        <v>23</v>
      </c>
      <c r="H119" s="3" t="s">
        <v>17</v>
      </c>
      <c r="I119" s="3" t="s">
        <v>30</v>
      </c>
      <c r="J119" s="3" t="s">
        <v>47</v>
      </c>
      <c r="K119" s="3" t="s">
        <v>27</v>
      </c>
      <c r="L119" s="3">
        <v>9</v>
      </c>
      <c r="M119" s="3">
        <v>3308.64</v>
      </c>
      <c r="N119" s="3">
        <v>5</v>
      </c>
      <c r="O119" s="3">
        <f t="shared" si="3"/>
        <v>28288.871999999996</v>
      </c>
      <c r="P119" s="3" t="str">
        <f t="shared" si="4"/>
        <v>High Price</v>
      </c>
      <c r="Q119" s="3" t="str" cm="1">
        <f t="array" ref="Q119">_xlfn.IFS(N119&gt;=10,"High",N119&gt;=5,"Medium",N119&lt;5,"Low")</f>
        <v>Medium</v>
      </c>
      <c r="R119" s="3" t="str">
        <f t="shared" si="5"/>
        <v>High</v>
      </c>
    </row>
    <row r="120" spans="1:18" x14ac:dyDescent="0.25">
      <c r="A120" s="3">
        <v>10127</v>
      </c>
      <c r="B120" s="3">
        <v>1379</v>
      </c>
      <c r="C120" s="4">
        <v>44930</v>
      </c>
      <c r="D120" s="4">
        <v>44935</v>
      </c>
      <c r="E120" s="3" t="s">
        <v>36</v>
      </c>
      <c r="F120" s="3" t="s">
        <v>53</v>
      </c>
      <c r="G120" s="3" t="s">
        <v>23</v>
      </c>
      <c r="H120" s="3" t="s">
        <v>17</v>
      </c>
      <c r="I120" s="3" t="s">
        <v>30</v>
      </c>
      <c r="J120" s="3" t="s">
        <v>38</v>
      </c>
      <c r="K120" s="3" t="s">
        <v>20</v>
      </c>
      <c r="L120" s="3">
        <v>6</v>
      </c>
      <c r="M120" s="3">
        <v>1846.21</v>
      </c>
      <c r="N120" s="3">
        <v>10</v>
      </c>
      <c r="O120" s="3">
        <f t="shared" si="3"/>
        <v>9969.5339999999997</v>
      </c>
      <c r="P120" s="3" t="str">
        <f t="shared" si="4"/>
        <v>Low Price</v>
      </c>
      <c r="Q120" s="3" t="str" cm="1">
        <f t="array" ref="Q120">_xlfn.IFS(N120&gt;=10,"High",N120&gt;=5,"Medium",N120&lt;5,"Low")</f>
        <v>High</v>
      </c>
      <c r="R120" s="3" t="str">
        <f t="shared" si="5"/>
        <v>Medium</v>
      </c>
    </row>
    <row r="121" spans="1:18" x14ac:dyDescent="0.25">
      <c r="A121" s="3">
        <v>10128</v>
      </c>
      <c r="B121" s="3">
        <v>1492</v>
      </c>
      <c r="C121" s="4">
        <v>45147</v>
      </c>
      <c r="D121" s="4">
        <v>45148</v>
      </c>
      <c r="E121" s="3" t="s">
        <v>45</v>
      </c>
      <c r="F121" s="3" t="s">
        <v>37</v>
      </c>
      <c r="G121" s="3" t="s">
        <v>29</v>
      </c>
      <c r="H121" s="3" t="s">
        <v>34</v>
      </c>
      <c r="I121" s="3" t="s">
        <v>25</v>
      </c>
      <c r="J121" s="3" t="s">
        <v>60</v>
      </c>
      <c r="K121" s="3" t="s">
        <v>46</v>
      </c>
      <c r="L121" s="3">
        <v>6</v>
      </c>
      <c r="M121" s="3">
        <v>659.76</v>
      </c>
      <c r="N121" s="3">
        <v>0</v>
      </c>
      <c r="O121" s="3">
        <f t="shared" si="3"/>
        <v>3958.56</v>
      </c>
      <c r="P121" s="3" t="str">
        <f t="shared" si="4"/>
        <v>Low Price</v>
      </c>
      <c r="Q121" s="3" t="str" cm="1">
        <f t="array" ref="Q121">_xlfn.IFS(N121&gt;=10,"High",N121&gt;=5,"Medium",N121&lt;5,"Low")</f>
        <v>Low</v>
      </c>
      <c r="R121" s="3" t="str">
        <f t="shared" si="5"/>
        <v>Medium</v>
      </c>
    </row>
    <row r="122" spans="1:18" x14ac:dyDescent="0.25">
      <c r="A122" s="3">
        <v>10129</v>
      </c>
      <c r="B122" s="3">
        <v>1040</v>
      </c>
      <c r="C122" s="4">
        <v>44940</v>
      </c>
      <c r="D122" s="4">
        <v>44946</v>
      </c>
      <c r="E122" s="3" t="s">
        <v>33</v>
      </c>
      <c r="F122" s="3" t="s">
        <v>28</v>
      </c>
      <c r="G122" s="3" t="s">
        <v>23</v>
      </c>
      <c r="H122" s="3" t="s">
        <v>43</v>
      </c>
      <c r="I122" s="3" t="s">
        <v>51</v>
      </c>
      <c r="J122" s="3" t="s">
        <v>55</v>
      </c>
      <c r="K122" s="3" t="s">
        <v>20</v>
      </c>
      <c r="L122" s="3">
        <v>3</v>
      </c>
      <c r="M122" s="3">
        <v>1621.67</v>
      </c>
      <c r="N122" s="3">
        <v>0</v>
      </c>
      <c r="O122" s="3">
        <f t="shared" si="3"/>
        <v>4865.01</v>
      </c>
      <c r="P122" s="3" t="str">
        <f t="shared" si="4"/>
        <v>Low Price</v>
      </c>
      <c r="Q122" s="3" t="str" cm="1">
        <f t="array" ref="Q122">_xlfn.IFS(N122&gt;=10,"High",N122&gt;=5,"Medium",N122&lt;5,"Low")</f>
        <v>Low</v>
      </c>
      <c r="R122" s="3" t="str">
        <f t="shared" si="5"/>
        <v>Low</v>
      </c>
    </row>
    <row r="123" spans="1:18" x14ac:dyDescent="0.25">
      <c r="A123" s="3">
        <v>10130</v>
      </c>
      <c r="B123" s="3">
        <v>1156</v>
      </c>
      <c r="C123" s="4">
        <v>44929</v>
      </c>
      <c r="D123" s="4">
        <v>44938</v>
      </c>
      <c r="E123" s="3" t="s">
        <v>14</v>
      </c>
      <c r="F123" s="3" t="s">
        <v>40</v>
      </c>
      <c r="G123" s="3" t="s">
        <v>16</v>
      </c>
      <c r="H123" s="3" t="s">
        <v>41</v>
      </c>
      <c r="I123" s="3" t="s">
        <v>56</v>
      </c>
      <c r="J123" s="3" t="s">
        <v>61</v>
      </c>
      <c r="K123" s="3" t="s">
        <v>32</v>
      </c>
      <c r="L123" s="3">
        <v>1</v>
      </c>
      <c r="M123" s="3">
        <v>2534.4699999999998</v>
      </c>
      <c r="N123" s="3">
        <v>5</v>
      </c>
      <c r="O123" s="3">
        <f t="shared" si="3"/>
        <v>2407.7464999999997</v>
      </c>
      <c r="P123" s="3" t="str">
        <f t="shared" si="4"/>
        <v>Low Price</v>
      </c>
      <c r="Q123" s="3" t="str" cm="1">
        <f t="array" ref="Q123">_xlfn.IFS(N123&gt;=10,"High",N123&gt;=5,"Medium",N123&lt;5,"Low")</f>
        <v>Medium</v>
      </c>
      <c r="R123" s="3" t="str">
        <f t="shared" si="5"/>
        <v>Low</v>
      </c>
    </row>
    <row r="124" spans="1:18" x14ac:dyDescent="0.25">
      <c r="A124" s="3">
        <v>10131</v>
      </c>
      <c r="B124" s="3">
        <v>1014</v>
      </c>
      <c r="C124" s="4">
        <v>45142</v>
      </c>
      <c r="D124" s="4">
        <v>45151</v>
      </c>
      <c r="E124" s="3" t="s">
        <v>33</v>
      </c>
      <c r="F124" s="3" t="s">
        <v>37</v>
      </c>
      <c r="G124" s="3" t="s">
        <v>23</v>
      </c>
      <c r="H124" s="3" t="s">
        <v>43</v>
      </c>
      <c r="I124" s="3" t="s">
        <v>30</v>
      </c>
      <c r="J124" s="3" t="s">
        <v>31</v>
      </c>
      <c r="K124" s="3" t="s">
        <v>20</v>
      </c>
      <c r="L124" s="3">
        <v>7</v>
      </c>
      <c r="M124" s="3">
        <v>1899.45</v>
      </c>
      <c r="N124" s="3">
        <v>15</v>
      </c>
      <c r="O124" s="3">
        <f t="shared" si="3"/>
        <v>11301.727499999999</v>
      </c>
      <c r="P124" s="3" t="str">
        <f t="shared" si="4"/>
        <v>Low Price</v>
      </c>
      <c r="Q124" s="3" t="str" cm="1">
        <f t="array" ref="Q124">_xlfn.IFS(N124&gt;=10,"High",N124&gt;=5,"Medium",N124&lt;5,"Low")</f>
        <v>High</v>
      </c>
      <c r="R124" s="3" t="str">
        <f t="shared" si="5"/>
        <v>Medium</v>
      </c>
    </row>
    <row r="125" spans="1:18" x14ac:dyDescent="0.25">
      <c r="A125" s="3">
        <v>10132</v>
      </c>
      <c r="B125" s="3">
        <v>1812</v>
      </c>
      <c r="C125" s="4">
        <v>45155</v>
      </c>
      <c r="D125" s="4">
        <v>45163</v>
      </c>
      <c r="E125" s="3" t="s">
        <v>33</v>
      </c>
      <c r="F125" s="3" t="s">
        <v>28</v>
      </c>
      <c r="G125" s="3" t="s">
        <v>23</v>
      </c>
      <c r="H125" s="3" t="s">
        <v>34</v>
      </c>
      <c r="I125" s="3" t="s">
        <v>56</v>
      </c>
      <c r="J125" s="3" t="s">
        <v>57</v>
      </c>
      <c r="K125" s="3" t="s">
        <v>46</v>
      </c>
      <c r="L125" s="3">
        <v>4</v>
      </c>
      <c r="M125" s="3">
        <v>3153.73</v>
      </c>
      <c r="N125" s="3">
        <v>0</v>
      </c>
      <c r="O125" s="3">
        <f t="shared" si="3"/>
        <v>12614.92</v>
      </c>
      <c r="P125" s="3" t="str">
        <f t="shared" si="4"/>
        <v>Low Price</v>
      </c>
      <c r="Q125" s="3" t="str" cm="1">
        <f t="array" ref="Q125">_xlfn.IFS(N125&gt;=10,"High",N125&gt;=5,"Medium",N125&lt;5,"Low")</f>
        <v>Low</v>
      </c>
      <c r="R125" s="3" t="str">
        <f t="shared" si="5"/>
        <v>Low</v>
      </c>
    </row>
    <row r="126" spans="1:18" x14ac:dyDescent="0.25">
      <c r="A126" s="3">
        <v>10133</v>
      </c>
      <c r="B126" s="3">
        <v>1064</v>
      </c>
      <c r="C126" s="4">
        <v>45262</v>
      </c>
      <c r="D126" s="4">
        <v>45267</v>
      </c>
      <c r="E126" s="3" t="s">
        <v>39</v>
      </c>
      <c r="F126" s="3" t="s">
        <v>15</v>
      </c>
      <c r="G126" s="3" t="s">
        <v>16</v>
      </c>
      <c r="H126" s="3" t="s">
        <v>17</v>
      </c>
      <c r="I126" s="3" t="s">
        <v>30</v>
      </c>
      <c r="J126" s="3" t="s">
        <v>47</v>
      </c>
      <c r="K126" s="3" t="s">
        <v>27</v>
      </c>
      <c r="L126" s="3">
        <v>1</v>
      </c>
      <c r="M126" s="3">
        <v>3990.85</v>
      </c>
      <c r="N126" s="3">
        <v>0</v>
      </c>
      <c r="O126" s="3">
        <f t="shared" si="3"/>
        <v>3990.85</v>
      </c>
      <c r="P126" s="3" t="str">
        <f t="shared" si="4"/>
        <v>Low Price</v>
      </c>
      <c r="Q126" s="3" t="str" cm="1">
        <f t="array" ref="Q126">_xlfn.IFS(N126&gt;=10,"High",N126&gt;=5,"Medium",N126&lt;5,"Low")</f>
        <v>Low</v>
      </c>
      <c r="R126" s="3" t="str">
        <f t="shared" si="5"/>
        <v>Low</v>
      </c>
    </row>
    <row r="127" spans="1:18" x14ac:dyDescent="0.25">
      <c r="A127" s="3">
        <v>10135</v>
      </c>
      <c r="B127" s="3">
        <v>1838</v>
      </c>
      <c r="C127" s="4">
        <v>44981</v>
      </c>
      <c r="D127" s="4">
        <v>44990</v>
      </c>
      <c r="E127" s="3" t="s">
        <v>39</v>
      </c>
      <c r="F127" s="3" t="s">
        <v>15</v>
      </c>
      <c r="G127" s="3" t="s">
        <v>16</v>
      </c>
      <c r="H127" s="3" t="s">
        <v>24</v>
      </c>
      <c r="I127" s="3" t="s">
        <v>18</v>
      </c>
      <c r="J127" s="3" t="s">
        <v>42</v>
      </c>
      <c r="K127" s="3" t="s">
        <v>46</v>
      </c>
      <c r="L127" s="3">
        <v>6</v>
      </c>
      <c r="M127" s="3">
        <v>1919.66</v>
      </c>
      <c r="N127" s="3">
        <v>5</v>
      </c>
      <c r="O127" s="3">
        <f t="shared" si="3"/>
        <v>10942.062</v>
      </c>
      <c r="P127" s="3" t="str">
        <f t="shared" si="4"/>
        <v>Low Price</v>
      </c>
      <c r="Q127" s="3" t="str" cm="1">
        <f t="array" ref="Q127">_xlfn.IFS(N127&gt;=10,"High",N127&gt;=5,"Medium",N127&lt;5,"Low")</f>
        <v>Medium</v>
      </c>
      <c r="R127" s="3" t="str">
        <f t="shared" si="5"/>
        <v>Medium</v>
      </c>
    </row>
    <row r="128" spans="1:18" x14ac:dyDescent="0.25">
      <c r="A128" s="3">
        <v>10136</v>
      </c>
      <c r="B128" s="3">
        <v>1520</v>
      </c>
      <c r="C128" s="4">
        <v>45180</v>
      </c>
      <c r="D128" s="4">
        <v>45181</v>
      </c>
      <c r="E128" s="3" t="s">
        <v>45</v>
      </c>
      <c r="F128" s="3" t="s">
        <v>22</v>
      </c>
      <c r="G128" s="3" t="s">
        <v>16</v>
      </c>
      <c r="H128" s="3" t="s">
        <v>24</v>
      </c>
      <c r="I128" s="3" t="s">
        <v>30</v>
      </c>
      <c r="J128" s="3" t="s">
        <v>38</v>
      </c>
      <c r="K128" s="3" t="s">
        <v>32</v>
      </c>
      <c r="L128" s="3">
        <v>6</v>
      </c>
      <c r="M128" s="3">
        <v>1809.29</v>
      </c>
      <c r="N128" s="3">
        <v>0</v>
      </c>
      <c r="O128" s="3">
        <f t="shared" si="3"/>
        <v>10855.74</v>
      </c>
      <c r="P128" s="3" t="str">
        <f t="shared" si="4"/>
        <v>Low Price</v>
      </c>
      <c r="Q128" s="3" t="str" cm="1">
        <f t="array" ref="Q128">_xlfn.IFS(N128&gt;=10,"High",N128&gt;=5,"Medium",N128&lt;5,"Low")</f>
        <v>Low</v>
      </c>
      <c r="R128" s="3" t="str">
        <f t="shared" si="5"/>
        <v>Medium</v>
      </c>
    </row>
    <row r="129" spans="1:18" x14ac:dyDescent="0.25">
      <c r="A129" s="3">
        <v>10138</v>
      </c>
      <c r="B129" s="3">
        <v>1128</v>
      </c>
      <c r="C129" s="4">
        <v>45088</v>
      </c>
      <c r="D129" s="4">
        <v>45093</v>
      </c>
      <c r="E129" s="3" t="s">
        <v>21</v>
      </c>
      <c r="F129" s="3" t="s">
        <v>28</v>
      </c>
      <c r="G129" s="3" t="s">
        <v>16</v>
      </c>
      <c r="H129" s="3" t="s">
        <v>34</v>
      </c>
      <c r="I129" s="3" t="s">
        <v>51</v>
      </c>
      <c r="J129" s="3" t="s">
        <v>52</v>
      </c>
      <c r="K129" s="3" t="s">
        <v>20</v>
      </c>
      <c r="L129" s="3">
        <v>1</v>
      </c>
      <c r="M129" s="3">
        <v>912.67</v>
      </c>
      <c r="N129" s="3">
        <v>0</v>
      </c>
      <c r="O129" s="3">
        <f t="shared" si="3"/>
        <v>912.67</v>
      </c>
      <c r="P129" s="3" t="str">
        <f t="shared" si="4"/>
        <v>Low Price</v>
      </c>
      <c r="Q129" s="3" t="str" cm="1">
        <f t="array" ref="Q129">_xlfn.IFS(N129&gt;=10,"High",N129&gt;=5,"Medium",N129&lt;5,"Low")</f>
        <v>Low</v>
      </c>
      <c r="R129" s="3" t="str">
        <f t="shared" si="5"/>
        <v>Low</v>
      </c>
    </row>
    <row r="130" spans="1:18" x14ac:dyDescent="0.25">
      <c r="A130" s="3">
        <v>10139</v>
      </c>
      <c r="B130" s="3">
        <v>1647</v>
      </c>
      <c r="C130" s="4">
        <v>45084</v>
      </c>
      <c r="D130" s="4">
        <v>45087</v>
      </c>
      <c r="E130" s="3" t="s">
        <v>45</v>
      </c>
      <c r="F130" s="3" t="s">
        <v>22</v>
      </c>
      <c r="G130" s="3" t="s">
        <v>16</v>
      </c>
      <c r="H130" s="3" t="s">
        <v>41</v>
      </c>
      <c r="I130" s="3" t="s">
        <v>51</v>
      </c>
      <c r="J130" s="3" t="s">
        <v>52</v>
      </c>
      <c r="K130" s="3" t="s">
        <v>44</v>
      </c>
      <c r="L130" s="3">
        <v>2</v>
      </c>
      <c r="M130" s="3">
        <v>402.91</v>
      </c>
      <c r="N130" s="3">
        <v>10</v>
      </c>
      <c r="O130" s="3">
        <f t="shared" si="3"/>
        <v>725.23800000000006</v>
      </c>
      <c r="P130" s="3" t="str">
        <f t="shared" si="4"/>
        <v>Low Price</v>
      </c>
      <c r="Q130" s="3" t="str" cm="1">
        <f t="array" ref="Q130">_xlfn.IFS(N130&gt;=10,"High",N130&gt;=5,"Medium",N130&lt;5,"Low")</f>
        <v>High</v>
      </c>
      <c r="R130" s="3" t="str">
        <f t="shared" si="5"/>
        <v>Low</v>
      </c>
    </row>
    <row r="131" spans="1:18" x14ac:dyDescent="0.25">
      <c r="A131" s="3">
        <v>10140</v>
      </c>
      <c r="B131" s="3">
        <v>1471</v>
      </c>
      <c r="C131" s="4">
        <v>45008</v>
      </c>
      <c r="D131" s="4">
        <v>45015</v>
      </c>
      <c r="E131" s="3" t="s">
        <v>15</v>
      </c>
      <c r="F131" s="3" t="s">
        <v>53</v>
      </c>
      <c r="G131" s="3" t="s">
        <v>29</v>
      </c>
      <c r="H131" s="3" t="s">
        <v>41</v>
      </c>
      <c r="I131" s="3" t="s">
        <v>56</v>
      </c>
      <c r="J131" s="3" t="s">
        <v>58</v>
      </c>
      <c r="K131" s="3" t="s">
        <v>46</v>
      </c>
      <c r="L131" s="3">
        <v>4</v>
      </c>
      <c r="M131" s="3">
        <v>3565.41</v>
      </c>
      <c r="N131" s="3">
        <v>20</v>
      </c>
      <c r="O131" s="3">
        <f t="shared" ref="O131:O194" si="6">(L131*M131)*(1-N131/100)</f>
        <v>11409.312</v>
      </c>
      <c r="P131" s="3" t="str">
        <f t="shared" ref="P131:P194" si="7">IF(O131&gt;=15000,"High Price","Low Price")</f>
        <v>Low Price</v>
      </c>
      <c r="Q131" s="3" t="str" cm="1">
        <f t="array" ref="Q131">_xlfn.IFS(N131&gt;=10,"High",N131&gt;=5,"Medium",N131&lt;5,"Low")</f>
        <v>High</v>
      </c>
      <c r="R131" s="3" t="str">
        <f t="shared" ref="R131:R194" si="8">IF(L131&gt;8,"High",IF(L131&gt;4,"Medium","Low"))</f>
        <v>Low</v>
      </c>
    </row>
    <row r="132" spans="1:18" x14ac:dyDescent="0.25">
      <c r="A132" s="3">
        <v>10141</v>
      </c>
      <c r="B132" s="3">
        <v>1062</v>
      </c>
      <c r="C132" s="4">
        <v>45085</v>
      </c>
      <c r="D132" s="4">
        <v>45092</v>
      </c>
      <c r="E132" s="3" t="s">
        <v>36</v>
      </c>
      <c r="F132" s="3" t="s">
        <v>28</v>
      </c>
      <c r="G132" s="3" t="s">
        <v>16</v>
      </c>
      <c r="H132" s="3" t="s">
        <v>24</v>
      </c>
      <c r="I132" s="3" t="s">
        <v>30</v>
      </c>
      <c r="J132" s="3" t="s">
        <v>38</v>
      </c>
      <c r="K132" s="3" t="s">
        <v>27</v>
      </c>
      <c r="L132" s="3">
        <v>2</v>
      </c>
      <c r="M132" s="3">
        <v>1766.42</v>
      </c>
      <c r="N132" s="3">
        <v>10</v>
      </c>
      <c r="O132" s="3">
        <f t="shared" si="6"/>
        <v>3179.556</v>
      </c>
      <c r="P132" s="3" t="str">
        <f t="shared" si="7"/>
        <v>Low Price</v>
      </c>
      <c r="Q132" s="3" t="str" cm="1">
        <f t="array" ref="Q132">_xlfn.IFS(N132&gt;=10,"High",N132&gt;=5,"Medium",N132&lt;5,"Low")</f>
        <v>High</v>
      </c>
      <c r="R132" s="3" t="str">
        <f t="shared" si="8"/>
        <v>Low</v>
      </c>
    </row>
    <row r="133" spans="1:18" x14ac:dyDescent="0.25">
      <c r="A133" s="3">
        <v>10142</v>
      </c>
      <c r="B133" s="3">
        <v>1138</v>
      </c>
      <c r="C133" s="4">
        <v>45114</v>
      </c>
      <c r="D133" s="4">
        <v>45123</v>
      </c>
      <c r="E133" s="3" t="s">
        <v>15</v>
      </c>
      <c r="F133" s="3" t="s">
        <v>37</v>
      </c>
      <c r="G133" s="3" t="s">
        <v>16</v>
      </c>
      <c r="H133" s="3" t="s">
        <v>41</v>
      </c>
      <c r="I133" s="3" t="s">
        <v>48</v>
      </c>
      <c r="J133" s="3" t="s">
        <v>50</v>
      </c>
      <c r="K133" s="3" t="s">
        <v>32</v>
      </c>
      <c r="L133" s="3">
        <v>1</v>
      </c>
      <c r="M133" s="3">
        <v>2063.0500000000002</v>
      </c>
      <c r="N133" s="3">
        <v>0</v>
      </c>
      <c r="O133" s="3">
        <f t="shared" si="6"/>
        <v>2063.0500000000002</v>
      </c>
      <c r="P133" s="3" t="str">
        <f t="shared" si="7"/>
        <v>Low Price</v>
      </c>
      <c r="Q133" s="3" t="str" cm="1">
        <f t="array" ref="Q133">_xlfn.IFS(N133&gt;=10,"High",N133&gt;=5,"Medium",N133&lt;5,"Low")</f>
        <v>Low</v>
      </c>
      <c r="R133" s="3" t="str">
        <f t="shared" si="8"/>
        <v>Low</v>
      </c>
    </row>
    <row r="134" spans="1:18" x14ac:dyDescent="0.25">
      <c r="A134" s="3">
        <v>10143</v>
      </c>
      <c r="B134" s="3">
        <v>1498</v>
      </c>
      <c r="C134" s="4">
        <v>44986</v>
      </c>
      <c r="D134" s="4">
        <v>44993</v>
      </c>
      <c r="E134" s="3" t="s">
        <v>36</v>
      </c>
      <c r="F134" s="3" t="s">
        <v>53</v>
      </c>
      <c r="G134" s="3" t="s">
        <v>29</v>
      </c>
      <c r="H134" s="3" t="s">
        <v>24</v>
      </c>
      <c r="I134" s="3" t="s">
        <v>56</v>
      </c>
      <c r="J134" s="3" t="s">
        <v>57</v>
      </c>
      <c r="K134" s="3" t="s">
        <v>20</v>
      </c>
      <c r="L134" s="3">
        <v>7</v>
      </c>
      <c r="M134" s="3">
        <v>3680.23</v>
      </c>
      <c r="N134" s="3">
        <v>5</v>
      </c>
      <c r="O134" s="3">
        <f t="shared" si="6"/>
        <v>24473.529500000001</v>
      </c>
      <c r="P134" s="3" t="str">
        <f t="shared" si="7"/>
        <v>High Price</v>
      </c>
      <c r="Q134" s="3" t="str" cm="1">
        <f t="array" ref="Q134">_xlfn.IFS(N134&gt;=10,"High",N134&gt;=5,"Medium",N134&lt;5,"Low")</f>
        <v>Medium</v>
      </c>
      <c r="R134" s="3" t="str">
        <f t="shared" si="8"/>
        <v>Medium</v>
      </c>
    </row>
    <row r="135" spans="1:18" x14ac:dyDescent="0.25">
      <c r="A135" s="3">
        <v>10144</v>
      </c>
      <c r="B135" s="3">
        <v>1592</v>
      </c>
      <c r="C135" s="4">
        <v>45231</v>
      </c>
      <c r="D135" s="4">
        <v>45234</v>
      </c>
      <c r="E135" s="3" t="s">
        <v>39</v>
      </c>
      <c r="F135" s="3" t="s">
        <v>53</v>
      </c>
      <c r="G135" s="3" t="s">
        <v>29</v>
      </c>
      <c r="H135" s="3" t="s">
        <v>17</v>
      </c>
      <c r="I135" s="3" t="s">
        <v>18</v>
      </c>
      <c r="J135" s="3" t="s">
        <v>54</v>
      </c>
      <c r="K135" s="3" t="s">
        <v>32</v>
      </c>
      <c r="L135" s="3">
        <v>8</v>
      </c>
      <c r="M135" s="3">
        <v>3138.72</v>
      </c>
      <c r="N135" s="3">
        <v>20</v>
      </c>
      <c r="O135" s="3">
        <f t="shared" si="6"/>
        <v>20087.808000000001</v>
      </c>
      <c r="P135" s="3" t="str">
        <f t="shared" si="7"/>
        <v>High Price</v>
      </c>
      <c r="Q135" s="3" t="str" cm="1">
        <f t="array" ref="Q135">_xlfn.IFS(N135&gt;=10,"High",N135&gt;=5,"Medium",N135&lt;5,"Low")</f>
        <v>High</v>
      </c>
      <c r="R135" s="3" t="str">
        <f t="shared" si="8"/>
        <v>Medium</v>
      </c>
    </row>
    <row r="136" spans="1:18" x14ac:dyDescent="0.25">
      <c r="A136" s="3">
        <v>10145</v>
      </c>
      <c r="B136" s="3">
        <v>1391</v>
      </c>
      <c r="C136" s="4">
        <v>45245</v>
      </c>
      <c r="D136" s="4">
        <v>45246</v>
      </c>
      <c r="E136" s="3" t="s">
        <v>36</v>
      </c>
      <c r="F136" s="3" t="s">
        <v>37</v>
      </c>
      <c r="G136" s="3" t="s">
        <v>23</v>
      </c>
      <c r="H136" s="3" t="s">
        <v>34</v>
      </c>
      <c r="I136" s="3" t="s">
        <v>56</v>
      </c>
      <c r="J136" s="3" t="s">
        <v>58</v>
      </c>
      <c r="K136" s="3" t="s">
        <v>46</v>
      </c>
      <c r="L136" s="3">
        <v>6</v>
      </c>
      <c r="M136" s="3">
        <v>652.42999999999995</v>
      </c>
      <c r="N136" s="3">
        <v>10</v>
      </c>
      <c r="O136" s="3">
        <f t="shared" si="6"/>
        <v>3523.1219999999998</v>
      </c>
      <c r="P136" s="3" t="str">
        <f t="shared" si="7"/>
        <v>Low Price</v>
      </c>
      <c r="Q136" s="3" t="str" cm="1">
        <f t="array" ref="Q136">_xlfn.IFS(N136&gt;=10,"High",N136&gt;=5,"Medium",N136&lt;5,"Low")</f>
        <v>High</v>
      </c>
      <c r="R136" s="3" t="str">
        <f t="shared" si="8"/>
        <v>Medium</v>
      </c>
    </row>
    <row r="137" spans="1:18" x14ac:dyDescent="0.25">
      <c r="A137" s="3">
        <v>10146</v>
      </c>
      <c r="B137" s="3">
        <v>1674</v>
      </c>
      <c r="C137" s="4">
        <v>45137</v>
      </c>
      <c r="D137" s="4">
        <v>45145</v>
      </c>
      <c r="E137" s="3" t="s">
        <v>39</v>
      </c>
      <c r="F137" s="3" t="s">
        <v>40</v>
      </c>
      <c r="G137" s="3" t="s">
        <v>29</v>
      </c>
      <c r="H137" s="3" t="s">
        <v>41</v>
      </c>
      <c r="I137" s="3" t="s">
        <v>56</v>
      </c>
      <c r="J137" s="3" t="s">
        <v>61</v>
      </c>
      <c r="K137" s="3" t="s">
        <v>32</v>
      </c>
      <c r="L137" s="3">
        <v>4</v>
      </c>
      <c r="M137" s="3">
        <v>2326.87</v>
      </c>
      <c r="N137" s="3">
        <v>15</v>
      </c>
      <c r="O137" s="3">
        <f t="shared" si="6"/>
        <v>7911.3579999999993</v>
      </c>
      <c r="P137" s="3" t="str">
        <f t="shared" si="7"/>
        <v>Low Price</v>
      </c>
      <c r="Q137" s="3" t="str" cm="1">
        <f t="array" ref="Q137">_xlfn.IFS(N137&gt;=10,"High",N137&gt;=5,"Medium",N137&lt;5,"Low")</f>
        <v>High</v>
      </c>
      <c r="R137" s="3" t="str">
        <f t="shared" si="8"/>
        <v>Low</v>
      </c>
    </row>
    <row r="138" spans="1:18" x14ac:dyDescent="0.25">
      <c r="A138" s="3">
        <v>10147</v>
      </c>
      <c r="B138" s="3">
        <v>1418</v>
      </c>
      <c r="C138" s="4">
        <v>45078</v>
      </c>
      <c r="D138" s="4">
        <v>45081</v>
      </c>
      <c r="E138" s="3" t="s">
        <v>21</v>
      </c>
      <c r="F138" s="3" t="s">
        <v>53</v>
      </c>
      <c r="G138" s="3" t="s">
        <v>23</v>
      </c>
      <c r="H138" s="3" t="s">
        <v>24</v>
      </c>
      <c r="I138" s="3" t="s">
        <v>30</v>
      </c>
      <c r="J138" s="3" t="s">
        <v>47</v>
      </c>
      <c r="K138" s="3" t="s">
        <v>20</v>
      </c>
      <c r="L138" s="3">
        <v>6</v>
      </c>
      <c r="M138" s="3">
        <v>1852.67</v>
      </c>
      <c r="N138" s="3">
        <v>5</v>
      </c>
      <c r="O138" s="3">
        <f t="shared" si="6"/>
        <v>10560.218999999999</v>
      </c>
      <c r="P138" s="3" t="str">
        <f t="shared" si="7"/>
        <v>Low Price</v>
      </c>
      <c r="Q138" s="3" t="str" cm="1">
        <f t="array" ref="Q138">_xlfn.IFS(N138&gt;=10,"High",N138&gt;=5,"Medium",N138&lt;5,"Low")</f>
        <v>Medium</v>
      </c>
      <c r="R138" s="3" t="str">
        <f t="shared" si="8"/>
        <v>Medium</v>
      </c>
    </row>
    <row r="139" spans="1:18" x14ac:dyDescent="0.25">
      <c r="A139" s="3">
        <v>10148</v>
      </c>
      <c r="B139" s="3">
        <v>1288</v>
      </c>
      <c r="C139" s="4">
        <v>45035</v>
      </c>
      <c r="D139" s="4">
        <v>45043</v>
      </c>
      <c r="E139" s="3" t="s">
        <v>33</v>
      </c>
      <c r="F139" s="3" t="s">
        <v>28</v>
      </c>
      <c r="G139" s="3" t="s">
        <v>29</v>
      </c>
      <c r="H139" s="3" t="s">
        <v>43</v>
      </c>
      <c r="I139" s="3" t="s">
        <v>18</v>
      </c>
      <c r="J139" s="3" t="s">
        <v>19</v>
      </c>
      <c r="K139" s="3" t="s">
        <v>46</v>
      </c>
      <c r="L139" s="3">
        <v>3</v>
      </c>
      <c r="M139" s="3">
        <v>3219.26</v>
      </c>
      <c r="N139" s="3">
        <v>10</v>
      </c>
      <c r="O139" s="3">
        <f t="shared" si="6"/>
        <v>8692.0020000000004</v>
      </c>
      <c r="P139" s="3" t="str">
        <f t="shared" si="7"/>
        <v>Low Price</v>
      </c>
      <c r="Q139" s="3" t="str" cm="1">
        <f t="array" ref="Q139">_xlfn.IFS(N139&gt;=10,"High",N139&gt;=5,"Medium",N139&lt;5,"Low")</f>
        <v>High</v>
      </c>
      <c r="R139" s="3" t="str">
        <f t="shared" si="8"/>
        <v>Low</v>
      </c>
    </row>
    <row r="140" spans="1:18" x14ac:dyDescent="0.25">
      <c r="A140" s="3">
        <v>10149</v>
      </c>
      <c r="B140" s="3">
        <v>1378</v>
      </c>
      <c r="C140" s="4">
        <v>45002</v>
      </c>
      <c r="D140" s="4">
        <v>45010</v>
      </c>
      <c r="E140" s="3" t="s">
        <v>21</v>
      </c>
      <c r="F140" s="3" t="s">
        <v>22</v>
      </c>
      <c r="G140" s="3" t="s">
        <v>29</v>
      </c>
      <c r="H140" s="3" t="s">
        <v>41</v>
      </c>
      <c r="I140" s="3" t="s">
        <v>56</v>
      </c>
      <c r="J140" s="3" t="s">
        <v>61</v>
      </c>
      <c r="K140" s="3" t="s">
        <v>32</v>
      </c>
      <c r="L140" s="3">
        <v>8</v>
      </c>
      <c r="M140" s="3">
        <v>2938.3</v>
      </c>
      <c r="N140" s="3">
        <v>15</v>
      </c>
      <c r="O140" s="3">
        <f t="shared" si="6"/>
        <v>19980.440000000002</v>
      </c>
      <c r="P140" s="3" t="str">
        <f t="shared" si="7"/>
        <v>High Price</v>
      </c>
      <c r="Q140" s="3" t="str" cm="1">
        <f t="array" ref="Q140">_xlfn.IFS(N140&gt;=10,"High",N140&gt;=5,"Medium",N140&lt;5,"Low")</f>
        <v>High</v>
      </c>
      <c r="R140" s="3" t="str">
        <f t="shared" si="8"/>
        <v>Medium</v>
      </c>
    </row>
    <row r="141" spans="1:18" x14ac:dyDescent="0.25">
      <c r="A141" s="3">
        <v>10150</v>
      </c>
      <c r="B141" s="3">
        <v>1772</v>
      </c>
      <c r="C141" s="4">
        <v>44956</v>
      </c>
      <c r="D141" s="4">
        <v>44961</v>
      </c>
      <c r="E141" s="3" t="s">
        <v>21</v>
      </c>
      <c r="F141" s="3" t="s">
        <v>53</v>
      </c>
      <c r="G141" s="3" t="s">
        <v>23</v>
      </c>
      <c r="H141" s="3" t="s">
        <v>17</v>
      </c>
      <c r="I141" s="3" t="s">
        <v>48</v>
      </c>
      <c r="J141" s="3" t="s">
        <v>50</v>
      </c>
      <c r="K141" s="3" t="s">
        <v>27</v>
      </c>
      <c r="L141" s="3">
        <v>2</v>
      </c>
      <c r="M141" s="3">
        <v>2808.06</v>
      </c>
      <c r="N141" s="3">
        <v>0</v>
      </c>
      <c r="O141" s="3">
        <f t="shared" si="6"/>
        <v>5616.12</v>
      </c>
      <c r="P141" s="3" t="str">
        <f t="shared" si="7"/>
        <v>Low Price</v>
      </c>
      <c r="Q141" s="3" t="str" cm="1">
        <f t="array" ref="Q141">_xlfn.IFS(N141&gt;=10,"High",N141&gt;=5,"Medium",N141&lt;5,"Low")</f>
        <v>Low</v>
      </c>
      <c r="R141" s="3" t="str">
        <f t="shared" si="8"/>
        <v>Low</v>
      </c>
    </row>
    <row r="142" spans="1:18" x14ac:dyDescent="0.25">
      <c r="A142" s="3">
        <v>10151</v>
      </c>
      <c r="B142" s="3">
        <v>1489</v>
      </c>
      <c r="C142" s="4">
        <v>45240</v>
      </c>
      <c r="D142" s="4">
        <v>45241</v>
      </c>
      <c r="E142" s="3" t="s">
        <v>33</v>
      </c>
      <c r="F142" s="3" t="s">
        <v>28</v>
      </c>
      <c r="G142" s="3" t="s">
        <v>29</v>
      </c>
      <c r="H142" s="3" t="s">
        <v>17</v>
      </c>
      <c r="I142" s="3" t="s">
        <v>48</v>
      </c>
      <c r="J142" s="3" t="s">
        <v>62</v>
      </c>
      <c r="K142" s="3" t="s">
        <v>46</v>
      </c>
      <c r="L142" s="3">
        <v>5</v>
      </c>
      <c r="M142" s="3">
        <v>1461.1</v>
      </c>
      <c r="N142" s="3">
        <v>15</v>
      </c>
      <c r="O142" s="3">
        <f t="shared" si="6"/>
        <v>6209.6750000000002</v>
      </c>
      <c r="P142" s="3" t="str">
        <f t="shared" si="7"/>
        <v>Low Price</v>
      </c>
      <c r="Q142" s="3" t="str" cm="1">
        <f t="array" ref="Q142">_xlfn.IFS(N142&gt;=10,"High",N142&gt;=5,"Medium",N142&lt;5,"Low")</f>
        <v>High</v>
      </c>
      <c r="R142" s="3" t="str">
        <f t="shared" si="8"/>
        <v>Medium</v>
      </c>
    </row>
    <row r="143" spans="1:18" x14ac:dyDescent="0.25">
      <c r="A143" s="3">
        <v>10152</v>
      </c>
      <c r="B143" s="3">
        <v>1230</v>
      </c>
      <c r="C143" s="4">
        <v>45043</v>
      </c>
      <c r="D143" s="4">
        <v>45050</v>
      </c>
      <c r="E143" s="3" t="s">
        <v>36</v>
      </c>
      <c r="F143" s="3" t="s">
        <v>15</v>
      </c>
      <c r="G143" s="3" t="s">
        <v>23</v>
      </c>
      <c r="H143" s="3" t="s">
        <v>43</v>
      </c>
      <c r="I143" s="3" t="s">
        <v>51</v>
      </c>
      <c r="J143" s="3" t="s">
        <v>55</v>
      </c>
      <c r="K143" s="3" t="s">
        <v>46</v>
      </c>
      <c r="L143" s="3">
        <v>1</v>
      </c>
      <c r="M143" s="3">
        <v>3249.11</v>
      </c>
      <c r="N143" s="3">
        <v>10</v>
      </c>
      <c r="O143" s="3">
        <f t="shared" si="6"/>
        <v>2924.1990000000001</v>
      </c>
      <c r="P143" s="3" t="str">
        <f t="shared" si="7"/>
        <v>Low Price</v>
      </c>
      <c r="Q143" s="3" t="str" cm="1">
        <f t="array" ref="Q143">_xlfn.IFS(N143&gt;=10,"High",N143&gt;=5,"Medium",N143&lt;5,"Low")</f>
        <v>High</v>
      </c>
      <c r="R143" s="3" t="str">
        <f t="shared" si="8"/>
        <v>Low</v>
      </c>
    </row>
    <row r="144" spans="1:18" x14ac:dyDescent="0.25">
      <c r="A144" s="3">
        <v>10154</v>
      </c>
      <c r="B144" s="3">
        <v>1027</v>
      </c>
      <c r="C144" s="4">
        <v>45118</v>
      </c>
      <c r="D144" s="4">
        <v>45126</v>
      </c>
      <c r="E144" s="3" t="s">
        <v>39</v>
      </c>
      <c r="F144" s="3" t="s">
        <v>22</v>
      </c>
      <c r="G144" s="3" t="s">
        <v>16</v>
      </c>
      <c r="H144" s="3" t="s">
        <v>41</v>
      </c>
      <c r="I144" s="3" t="s">
        <v>18</v>
      </c>
      <c r="J144" s="3" t="s">
        <v>42</v>
      </c>
      <c r="K144" s="3" t="s">
        <v>44</v>
      </c>
      <c r="L144" s="3">
        <v>2</v>
      </c>
      <c r="M144" s="3">
        <v>764.56</v>
      </c>
      <c r="N144" s="3">
        <v>0</v>
      </c>
      <c r="O144" s="3">
        <f t="shared" si="6"/>
        <v>1529.12</v>
      </c>
      <c r="P144" s="3" t="str">
        <f t="shared" si="7"/>
        <v>Low Price</v>
      </c>
      <c r="Q144" s="3" t="str" cm="1">
        <f t="array" ref="Q144">_xlfn.IFS(N144&gt;=10,"High",N144&gt;=5,"Medium",N144&lt;5,"Low")</f>
        <v>Low</v>
      </c>
      <c r="R144" s="3" t="str">
        <f t="shared" si="8"/>
        <v>Low</v>
      </c>
    </row>
    <row r="145" spans="1:18" x14ac:dyDescent="0.25">
      <c r="A145" s="3">
        <v>10155</v>
      </c>
      <c r="B145" s="3">
        <v>1134</v>
      </c>
      <c r="C145" s="4">
        <v>44945</v>
      </c>
      <c r="D145" s="4">
        <v>44954</v>
      </c>
      <c r="E145" s="3" t="s">
        <v>15</v>
      </c>
      <c r="F145" s="3" t="s">
        <v>28</v>
      </c>
      <c r="G145" s="3" t="s">
        <v>29</v>
      </c>
      <c r="H145" s="3" t="s">
        <v>24</v>
      </c>
      <c r="I145" s="3" t="s">
        <v>51</v>
      </c>
      <c r="J145" s="3" t="s">
        <v>55</v>
      </c>
      <c r="K145" s="3" t="s">
        <v>20</v>
      </c>
      <c r="L145" s="3">
        <v>4</v>
      </c>
      <c r="M145" s="3">
        <v>1442.15</v>
      </c>
      <c r="N145" s="3">
        <v>15</v>
      </c>
      <c r="O145" s="3">
        <f t="shared" si="6"/>
        <v>4903.3100000000004</v>
      </c>
      <c r="P145" s="3" t="str">
        <f t="shared" si="7"/>
        <v>Low Price</v>
      </c>
      <c r="Q145" s="3" t="str" cm="1">
        <f t="array" ref="Q145">_xlfn.IFS(N145&gt;=10,"High",N145&gt;=5,"Medium",N145&lt;5,"Low")</f>
        <v>High</v>
      </c>
      <c r="R145" s="3" t="str">
        <f t="shared" si="8"/>
        <v>Low</v>
      </c>
    </row>
    <row r="146" spans="1:18" x14ac:dyDescent="0.25">
      <c r="A146" s="3">
        <v>10156</v>
      </c>
      <c r="B146" s="3">
        <v>1200</v>
      </c>
      <c r="C146" s="4">
        <v>45099</v>
      </c>
      <c r="D146" s="4">
        <v>45106</v>
      </c>
      <c r="E146" s="3" t="s">
        <v>39</v>
      </c>
      <c r="F146" s="3" t="s">
        <v>37</v>
      </c>
      <c r="G146" s="3" t="s">
        <v>23</v>
      </c>
      <c r="H146" s="3" t="s">
        <v>17</v>
      </c>
      <c r="I146" s="3" t="s">
        <v>56</v>
      </c>
      <c r="J146" s="3" t="s">
        <v>58</v>
      </c>
      <c r="K146" s="3" t="s">
        <v>44</v>
      </c>
      <c r="L146" s="3">
        <v>6</v>
      </c>
      <c r="M146" s="3">
        <v>445.71</v>
      </c>
      <c r="N146" s="3">
        <v>15</v>
      </c>
      <c r="O146" s="3">
        <f t="shared" si="6"/>
        <v>2273.1209999999996</v>
      </c>
      <c r="P146" s="3" t="str">
        <f t="shared" si="7"/>
        <v>Low Price</v>
      </c>
      <c r="Q146" s="3" t="str" cm="1">
        <f t="array" ref="Q146">_xlfn.IFS(N146&gt;=10,"High",N146&gt;=5,"Medium",N146&lt;5,"Low")</f>
        <v>High</v>
      </c>
      <c r="R146" s="3" t="str">
        <f t="shared" si="8"/>
        <v>Medium</v>
      </c>
    </row>
    <row r="147" spans="1:18" x14ac:dyDescent="0.25">
      <c r="A147" s="3">
        <v>10157</v>
      </c>
      <c r="B147" s="3">
        <v>1839</v>
      </c>
      <c r="C147" s="4">
        <v>45154</v>
      </c>
      <c r="D147" s="4">
        <v>45161</v>
      </c>
      <c r="E147" s="3" t="s">
        <v>15</v>
      </c>
      <c r="F147" s="3" t="s">
        <v>22</v>
      </c>
      <c r="G147" s="3" t="s">
        <v>29</v>
      </c>
      <c r="H147" s="3" t="s">
        <v>24</v>
      </c>
      <c r="I147" s="3" t="s">
        <v>18</v>
      </c>
      <c r="J147" s="3" t="s">
        <v>19</v>
      </c>
      <c r="K147" s="3" t="s">
        <v>32</v>
      </c>
      <c r="L147" s="3">
        <v>8</v>
      </c>
      <c r="M147" s="3">
        <v>1054.73</v>
      </c>
      <c r="N147" s="3">
        <v>0</v>
      </c>
      <c r="O147" s="3">
        <f t="shared" si="6"/>
        <v>8437.84</v>
      </c>
      <c r="P147" s="3" t="str">
        <f t="shared" si="7"/>
        <v>Low Price</v>
      </c>
      <c r="Q147" s="3" t="str" cm="1">
        <f t="array" ref="Q147">_xlfn.IFS(N147&gt;=10,"High",N147&gt;=5,"Medium",N147&lt;5,"Low")</f>
        <v>Low</v>
      </c>
      <c r="R147" s="3" t="str">
        <f t="shared" si="8"/>
        <v>Medium</v>
      </c>
    </row>
    <row r="148" spans="1:18" x14ac:dyDescent="0.25">
      <c r="A148" s="3">
        <v>10158</v>
      </c>
      <c r="B148" s="3">
        <v>1779</v>
      </c>
      <c r="C148" s="4">
        <v>45276</v>
      </c>
      <c r="D148" s="4">
        <v>45277</v>
      </c>
      <c r="E148" s="3" t="s">
        <v>21</v>
      </c>
      <c r="F148" s="3" t="s">
        <v>40</v>
      </c>
      <c r="G148" s="3" t="s">
        <v>23</v>
      </c>
      <c r="H148" s="3" t="s">
        <v>17</v>
      </c>
      <c r="I148" s="3" t="s">
        <v>48</v>
      </c>
      <c r="J148" s="3" t="s">
        <v>62</v>
      </c>
      <c r="K148" s="3" t="s">
        <v>27</v>
      </c>
      <c r="L148" s="3">
        <v>8</v>
      </c>
      <c r="M148" s="3">
        <v>3346.08</v>
      </c>
      <c r="N148" s="3">
        <v>15</v>
      </c>
      <c r="O148" s="3">
        <f t="shared" si="6"/>
        <v>22753.343999999997</v>
      </c>
      <c r="P148" s="3" t="str">
        <f t="shared" si="7"/>
        <v>High Price</v>
      </c>
      <c r="Q148" s="3" t="str" cm="1">
        <f t="array" ref="Q148">_xlfn.IFS(N148&gt;=10,"High",N148&gt;=5,"Medium",N148&lt;5,"Low")</f>
        <v>High</v>
      </c>
      <c r="R148" s="3" t="str">
        <f t="shared" si="8"/>
        <v>Medium</v>
      </c>
    </row>
    <row r="149" spans="1:18" x14ac:dyDescent="0.25">
      <c r="A149" s="3">
        <v>10159</v>
      </c>
      <c r="B149" s="3">
        <v>1929</v>
      </c>
      <c r="C149" s="4">
        <v>45109</v>
      </c>
      <c r="D149" s="4">
        <v>45113</v>
      </c>
      <c r="E149" s="3" t="s">
        <v>33</v>
      </c>
      <c r="F149" s="3" t="s">
        <v>15</v>
      </c>
      <c r="G149" s="3" t="s">
        <v>23</v>
      </c>
      <c r="H149" s="3" t="s">
        <v>24</v>
      </c>
      <c r="I149" s="3" t="s">
        <v>48</v>
      </c>
      <c r="J149" s="3" t="s">
        <v>67</v>
      </c>
      <c r="K149" s="3" t="s">
        <v>44</v>
      </c>
      <c r="L149" s="3">
        <v>6</v>
      </c>
      <c r="M149" s="3">
        <v>3800.77</v>
      </c>
      <c r="N149" s="3">
        <v>0</v>
      </c>
      <c r="O149" s="3">
        <f t="shared" si="6"/>
        <v>22804.62</v>
      </c>
      <c r="P149" s="3" t="str">
        <f t="shared" si="7"/>
        <v>High Price</v>
      </c>
      <c r="Q149" s="3" t="str" cm="1">
        <f t="array" ref="Q149">_xlfn.IFS(N149&gt;=10,"High",N149&gt;=5,"Medium",N149&lt;5,"Low")</f>
        <v>Low</v>
      </c>
      <c r="R149" s="3" t="str">
        <f t="shared" si="8"/>
        <v>Medium</v>
      </c>
    </row>
    <row r="150" spans="1:18" x14ac:dyDescent="0.25">
      <c r="A150" s="3">
        <v>10160</v>
      </c>
      <c r="B150" s="3">
        <v>1032</v>
      </c>
      <c r="C150" s="4">
        <v>45039</v>
      </c>
      <c r="D150" s="4">
        <v>45041</v>
      </c>
      <c r="E150" s="3" t="s">
        <v>21</v>
      </c>
      <c r="F150" s="3" t="s">
        <v>37</v>
      </c>
      <c r="G150" s="3" t="s">
        <v>16</v>
      </c>
      <c r="H150" s="3" t="s">
        <v>43</v>
      </c>
      <c r="I150" s="3" t="s">
        <v>30</v>
      </c>
      <c r="J150" s="3" t="s">
        <v>47</v>
      </c>
      <c r="K150" s="3" t="s">
        <v>46</v>
      </c>
      <c r="L150" s="3">
        <v>4</v>
      </c>
      <c r="M150" s="3">
        <v>1322.72</v>
      </c>
      <c r="N150" s="3">
        <v>5</v>
      </c>
      <c r="O150" s="3">
        <f t="shared" si="6"/>
        <v>5026.3360000000002</v>
      </c>
      <c r="P150" s="3" t="str">
        <f t="shared" si="7"/>
        <v>Low Price</v>
      </c>
      <c r="Q150" s="3" t="str" cm="1">
        <f t="array" ref="Q150">_xlfn.IFS(N150&gt;=10,"High",N150&gt;=5,"Medium",N150&lt;5,"Low")</f>
        <v>Medium</v>
      </c>
      <c r="R150" s="3" t="str">
        <f t="shared" si="8"/>
        <v>Low</v>
      </c>
    </row>
    <row r="151" spans="1:18" x14ac:dyDescent="0.25">
      <c r="A151" s="3">
        <v>10161</v>
      </c>
      <c r="B151" s="3">
        <v>1047</v>
      </c>
      <c r="C151" s="4">
        <v>45109</v>
      </c>
      <c r="D151" s="4">
        <v>45111</v>
      </c>
      <c r="E151" s="3" t="s">
        <v>45</v>
      </c>
      <c r="F151" s="3" t="s">
        <v>40</v>
      </c>
      <c r="G151" s="3" t="s">
        <v>16</v>
      </c>
      <c r="H151" s="3" t="s">
        <v>34</v>
      </c>
      <c r="I151" s="3" t="s">
        <v>18</v>
      </c>
      <c r="J151" s="3" t="s">
        <v>19</v>
      </c>
      <c r="K151" s="3" t="s">
        <v>32</v>
      </c>
      <c r="L151" s="3">
        <v>8</v>
      </c>
      <c r="M151" s="3">
        <v>1168.3900000000001</v>
      </c>
      <c r="N151" s="3">
        <v>10</v>
      </c>
      <c r="O151" s="3">
        <f t="shared" si="6"/>
        <v>8412.4080000000013</v>
      </c>
      <c r="P151" s="3" t="str">
        <f t="shared" si="7"/>
        <v>Low Price</v>
      </c>
      <c r="Q151" s="3" t="str" cm="1">
        <f t="array" ref="Q151">_xlfn.IFS(N151&gt;=10,"High",N151&gt;=5,"Medium",N151&lt;5,"Low")</f>
        <v>High</v>
      </c>
      <c r="R151" s="3" t="str">
        <f t="shared" si="8"/>
        <v>Medium</v>
      </c>
    </row>
    <row r="152" spans="1:18" x14ac:dyDescent="0.25">
      <c r="A152" s="3">
        <v>10162</v>
      </c>
      <c r="B152" s="3">
        <v>1502</v>
      </c>
      <c r="C152" s="4">
        <v>45072</v>
      </c>
      <c r="D152" s="4">
        <v>45074</v>
      </c>
      <c r="E152" s="3" t="s">
        <v>36</v>
      </c>
      <c r="F152" s="3" t="s">
        <v>28</v>
      </c>
      <c r="G152" s="3" t="s">
        <v>23</v>
      </c>
      <c r="H152" s="3" t="s">
        <v>43</v>
      </c>
      <c r="I152" s="3" t="s">
        <v>56</v>
      </c>
      <c r="J152" s="3" t="s">
        <v>57</v>
      </c>
      <c r="K152" s="3" t="s">
        <v>32</v>
      </c>
      <c r="L152" s="3">
        <v>8</v>
      </c>
      <c r="M152" s="3">
        <v>1227.5899999999999</v>
      </c>
      <c r="N152" s="3">
        <v>5</v>
      </c>
      <c r="O152" s="3">
        <f t="shared" si="6"/>
        <v>9329.6839999999993</v>
      </c>
      <c r="P152" s="3" t="str">
        <f t="shared" si="7"/>
        <v>Low Price</v>
      </c>
      <c r="Q152" s="3" t="str" cm="1">
        <f t="array" ref="Q152">_xlfn.IFS(N152&gt;=10,"High",N152&gt;=5,"Medium",N152&lt;5,"Low")</f>
        <v>Medium</v>
      </c>
      <c r="R152" s="3" t="str">
        <f t="shared" si="8"/>
        <v>Medium</v>
      </c>
    </row>
    <row r="153" spans="1:18" x14ac:dyDescent="0.25">
      <c r="A153" s="3">
        <v>10163</v>
      </c>
      <c r="B153" s="3">
        <v>1406</v>
      </c>
      <c r="C153" s="4">
        <v>45245</v>
      </c>
      <c r="D153" s="4">
        <v>45249</v>
      </c>
      <c r="E153" s="3" t="s">
        <v>15</v>
      </c>
      <c r="F153" s="3" t="s">
        <v>22</v>
      </c>
      <c r="G153" s="3" t="s">
        <v>29</v>
      </c>
      <c r="H153" s="3" t="s">
        <v>43</v>
      </c>
      <c r="I153" s="3" t="s">
        <v>51</v>
      </c>
      <c r="J153" s="3" t="s">
        <v>52</v>
      </c>
      <c r="K153" s="3" t="s">
        <v>44</v>
      </c>
      <c r="L153" s="3">
        <v>1</v>
      </c>
      <c r="M153" s="3">
        <v>1219.22</v>
      </c>
      <c r="N153" s="3">
        <v>20</v>
      </c>
      <c r="O153" s="3">
        <f t="shared" si="6"/>
        <v>975.37600000000009</v>
      </c>
      <c r="P153" s="3" t="str">
        <f t="shared" si="7"/>
        <v>Low Price</v>
      </c>
      <c r="Q153" s="3" t="str" cm="1">
        <f t="array" ref="Q153">_xlfn.IFS(N153&gt;=10,"High",N153&gt;=5,"Medium",N153&lt;5,"Low")</f>
        <v>High</v>
      </c>
      <c r="R153" s="3" t="str">
        <f t="shared" si="8"/>
        <v>Low</v>
      </c>
    </row>
    <row r="154" spans="1:18" x14ac:dyDescent="0.25">
      <c r="A154" s="3">
        <v>10164</v>
      </c>
      <c r="B154" s="3">
        <v>1573</v>
      </c>
      <c r="C154" s="4">
        <v>45042</v>
      </c>
      <c r="D154" s="4">
        <v>45043</v>
      </c>
      <c r="E154" s="3" t="s">
        <v>39</v>
      </c>
      <c r="F154" s="3" t="s">
        <v>15</v>
      </c>
      <c r="G154" s="3" t="s">
        <v>23</v>
      </c>
      <c r="H154" s="3" t="s">
        <v>34</v>
      </c>
      <c r="I154" s="3" t="s">
        <v>51</v>
      </c>
      <c r="J154" s="3" t="s">
        <v>63</v>
      </c>
      <c r="K154" s="3" t="s">
        <v>44</v>
      </c>
      <c r="L154" s="3">
        <v>4</v>
      </c>
      <c r="M154" s="3">
        <v>288.33</v>
      </c>
      <c r="N154" s="3">
        <v>20</v>
      </c>
      <c r="O154" s="3">
        <f t="shared" si="6"/>
        <v>922.65599999999995</v>
      </c>
      <c r="P154" s="3" t="str">
        <f t="shared" si="7"/>
        <v>Low Price</v>
      </c>
      <c r="Q154" s="3" t="str" cm="1">
        <f t="array" ref="Q154">_xlfn.IFS(N154&gt;=10,"High",N154&gt;=5,"Medium",N154&lt;5,"Low")</f>
        <v>High</v>
      </c>
      <c r="R154" s="3" t="str">
        <f t="shared" si="8"/>
        <v>Low</v>
      </c>
    </row>
    <row r="155" spans="1:18" x14ac:dyDescent="0.25">
      <c r="A155" s="3">
        <v>10165</v>
      </c>
      <c r="B155" s="3">
        <v>1727</v>
      </c>
      <c r="C155" s="4">
        <v>45039</v>
      </c>
      <c r="D155" s="4">
        <v>45043</v>
      </c>
      <c r="E155" s="3" t="s">
        <v>33</v>
      </c>
      <c r="F155" s="3" t="s">
        <v>37</v>
      </c>
      <c r="G155" s="3" t="s">
        <v>23</v>
      </c>
      <c r="H155" s="3" t="s">
        <v>34</v>
      </c>
      <c r="I155" s="3" t="s">
        <v>56</v>
      </c>
      <c r="J155" s="3" t="s">
        <v>61</v>
      </c>
      <c r="K155" s="3" t="s">
        <v>27</v>
      </c>
      <c r="L155" s="3">
        <v>4</v>
      </c>
      <c r="M155" s="3">
        <v>3718.63</v>
      </c>
      <c r="N155" s="3">
        <v>20</v>
      </c>
      <c r="O155" s="3">
        <f t="shared" si="6"/>
        <v>11899.616000000002</v>
      </c>
      <c r="P155" s="3" t="str">
        <f t="shared" si="7"/>
        <v>Low Price</v>
      </c>
      <c r="Q155" s="3" t="str" cm="1">
        <f t="array" ref="Q155">_xlfn.IFS(N155&gt;=10,"High",N155&gt;=5,"Medium",N155&lt;5,"Low")</f>
        <v>High</v>
      </c>
      <c r="R155" s="3" t="str">
        <f t="shared" si="8"/>
        <v>Low</v>
      </c>
    </row>
    <row r="156" spans="1:18" x14ac:dyDescent="0.25">
      <c r="A156" s="3">
        <v>10166</v>
      </c>
      <c r="B156" s="3">
        <v>1804</v>
      </c>
      <c r="C156" s="4">
        <v>45177</v>
      </c>
      <c r="D156" s="4">
        <v>45179</v>
      </c>
      <c r="E156" s="3" t="s">
        <v>15</v>
      </c>
      <c r="F156" s="3" t="s">
        <v>40</v>
      </c>
      <c r="G156" s="3" t="s">
        <v>29</v>
      </c>
      <c r="H156" s="3" t="s">
        <v>41</v>
      </c>
      <c r="I156" s="3" t="s">
        <v>25</v>
      </c>
      <c r="J156" s="3" t="s">
        <v>26</v>
      </c>
      <c r="K156" s="3" t="s">
        <v>20</v>
      </c>
      <c r="L156" s="3">
        <v>7</v>
      </c>
      <c r="M156" s="3">
        <v>972.74</v>
      </c>
      <c r="N156" s="3">
        <v>0</v>
      </c>
      <c r="O156" s="3">
        <f t="shared" si="6"/>
        <v>6809.18</v>
      </c>
      <c r="P156" s="3" t="str">
        <f t="shared" si="7"/>
        <v>Low Price</v>
      </c>
      <c r="Q156" s="3" t="str" cm="1">
        <f t="array" ref="Q156">_xlfn.IFS(N156&gt;=10,"High",N156&gt;=5,"Medium",N156&lt;5,"Low")</f>
        <v>Low</v>
      </c>
      <c r="R156" s="3" t="str">
        <f t="shared" si="8"/>
        <v>Medium</v>
      </c>
    </row>
    <row r="157" spans="1:18" x14ac:dyDescent="0.25">
      <c r="A157" s="3">
        <v>10167</v>
      </c>
      <c r="B157" s="3">
        <v>1098</v>
      </c>
      <c r="C157" s="4">
        <v>45177</v>
      </c>
      <c r="D157" s="4">
        <v>45182</v>
      </c>
      <c r="E157" s="3" t="s">
        <v>39</v>
      </c>
      <c r="F157" s="3" t="s">
        <v>40</v>
      </c>
      <c r="G157" s="3" t="s">
        <v>29</v>
      </c>
      <c r="H157" s="3" t="s">
        <v>41</v>
      </c>
      <c r="I157" s="3" t="s">
        <v>30</v>
      </c>
      <c r="J157" s="3" t="s">
        <v>31</v>
      </c>
      <c r="K157" s="3" t="s">
        <v>44</v>
      </c>
      <c r="L157" s="3">
        <v>7</v>
      </c>
      <c r="M157" s="3">
        <v>1767.02</v>
      </c>
      <c r="N157" s="3">
        <v>15</v>
      </c>
      <c r="O157" s="3">
        <f t="shared" si="6"/>
        <v>10513.768999999998</v>
      </c>
      <c r="P157" s="3" t="str">
        <f t="shared" si="7"/>
        <v>Low Price</v>
      </c>
      <c r="Q157" s="3" t="str" cm="1">
        <f t="array" ref="Q157">_xlfn.IFS(N157&gt;=10,"High",N157&gt;=5,"Medium",N157&lt;5,"Low")</f>
        <v>High</v>
      </c>
      <c r="R157" s="3" t="str">
        <f t="shared" si="8"/>
        <v>Medium</v>
      </c>
    </row>
    <row r="158" spans="1:18" x14ac:dyDescent="0.25">
      <c r="A158" s="3">
        <v>10168</v>
      </c>
      <c r="B158" s="3">
        <v>1683</v>
      </c>
      <c r="C158" s="4">
        <v>45229</v>
      </c>
      <c r="D158" s="4">
        <v>45232</v>
      </c>
      <c r="E158" s="3" t="s">
        <v>36</v>
      </c>
      <c r="F158" s="3" t="s">
        <v>15</v>
      </c>
      <c r="G158" s="3" t="s">
        <v>29</v>
      </c>
      <c r="H158" s="3" t="s">
        <v>43</v>
      </c>
      <c r="I158" s="3" t="s">
        <v>51</v>
      </c>
      <c r="J158" s="3" t="s">
        <v>55</v>
      </c>
      <c r="K158" s="3" t="s">
        <v>44</v>
      </c>
      <c r="L158" s="3">
        <v>8</v>
      </c>
      <c r="M158" s="3">
        <v>187.29</v>
      </c>
      <c r="N158" s="3">
        <v>5</v>
      </c>
      <c r="O158" s="3">
        <f t="shared" si="6"/>
        <v>1423.4039999999998</v>
      </c>
      <c r="P158" s="3" t="str">
        <f t="shared" si="7"/>
        <v>Low Price</v>
      </c>
      <c r="Q158" s="3" t="str" cm="1">
        <f t="array" ref="Q158">_xlfn.IFS(N158&gt;=10,"High",N158&gt;=5,"Medium",N158&lt;5,"Low")</f>
        <v>Medium</v>
      </c>
      <c r="R158" s="3" t="str">
        <f t="shared" si="8"/>
        <v>Medium</v>
      </c>
    </row>
    <row r="159" spans="1:18" x14ac:dyDescent="0.25">
      <c r="A159" s="3">
        <v>10170</v>
      </c>
      <c r="B159" s="3">
        <v>1725</v>
      </c>
      <c r="C159" s="4">
        <v>45044</v>
      </c>
      <c r="D159" s="4">
        <v>45048</v>
      </c>
      <c r="E159" s="3" t="s">
        <v>36</v>
      </c>
      <c r="F159" s="3" t="s">
        <v>15</v>
      </c>
      <c r="G159" s="3" t="s">
        <v>23</v>
      </c>
      <c r="H159" s="3" t="s">
        <v>17</v>
      </c>
      <c r="I159" s="3" t="s">
        <v>30</v>
      </c>
      <c r="J159" s="3" t="s">
        <v>64</v>
      </c>
      <c r="K159" s="3" t="s">
        <v>32</v>
      </c>
      <c r="L159" s="3">
        <v>7</v>
      </c>
      <c r="M159" s="3">
        <v>2964.96</v>
      </c>
      <c r="N159" s="3">
        <v>5</v>
      </c>
      <c r="O159" s="3">
        <f t="shared" si="6"/>
        <v>19716.984</v>
      </c>
      <c r="P159" s="3" t="str">
        <f t="shared" si="7"/>
        <v>High Price</v>
      </c>
      <c r="Q159" s="3" t="str" cm="1">
        <f t="array" ref="Q159">_xlfn.IFS(N159&gt;=10,"High",N159&gt;=5,"Medium",N159&lt;5,"Low")</f>
        <v>Medium</v>
      </c>
      <c r="R159" s="3" t="str">
        <f t="shared" si="8"/>
        <v>Medium</v>
      </c>
    </row>
    <row r="160" spans="1:18" x14ac:dyDescent="0.25">
      <c r="A160" s="3">
        <v>10171</v>
      </c>
      <c r="B160" s="3">
        <v>1986</v>
      </c>
      <c r="C160" s="4">
        <v>45227</v>
      </c>
      <c r="D160" s="4">
        <v>45228</v>
      </c>
      <c r="E160" s="3" t="s">
        <v>14</v>
      </c>
      <c r="F160" s="3" t="s">
        <v>40</v>
      </c>
      <c r="G160" s="3" t="s">
        <v>23</v>
      </c>
      <c r="H160" s="3" t="s">
        <v>17</v>
      </c>
      <c r="I160" s="3" t="s">
        <v>18</v>
      </c>
      <c r="J160" s="3" t="s">
        <v>42</v>
      </c>
      <c r="K160" s="3" t="s">
        <v>20</v>
      </c>
      <c r="L160" s="3">
        <v>8</v>
      </c>
      <c r="M160" s="3">
        <v>3795.01</v>
      </c>
      <c r="N160" s="3">
        <v>5</v>
      </c>
      <c r="O160" s="3">
        <f t="shared" si="6"/>
        <v>28842.076000000001</v>
      </c>
      <c r="P160" s="3" t="str">
        <f t="shared" si="7"/>
        <v>High Price</v>
      </c>
      <c r="Q160" s="3" t="str" cm="1">
        <f t="array" ref="Q160">_xlfn.IFS(N160&gt;=10,"High",N160&gt;=5,"Medium",N160&lt;5,"Low")</f>
        <v>Medium</v>
      </c>
      <c r="R160" s="3" t="str">
        <f t="shared" si="8"/>
        <v>Medium</v>
      </c>
    </row>
    <row r="161" spans="1:18" x14ac:dyDescent="0.25">
      <c r="A161" s="3">
        <v>10172</v>
      </c>
      <c r="B161" s="3">
        <v>1546</v>
      </c>
      <c r="C161" s="4">
        <v>45087</v>
      </c>
      <c r="D161" s="4">
        <v>45088</v>
      </c>
      <c r="E161" s="3" t="s">
        <v>45</v>
      </c>
      <c r="F161" s="3" t="s">
        <v>53</v>
      </c>
      <c r="G161" s="3" t="s">
        <v>16</v>
      </c>
      <c r="H161" s="3" t="s">
        <v>41</v>
      </c>
      <c r="I161" s="3" t="s">
        <v>48</v>
      </c>
      <c r="J161" s="3" t="s">
        <v>62</v>
      </c>
      <c r="K161" s="3" t="s">
        <v>46</v>
      </c>
      <c r="L161" s="3">
        <v>9</v>
      </c>
      <c r="M161" s="3">
        <v>3159.22</v>
      </c>
      <c r="N161" s="3">
        <v>20</v>
      </c>
      <c r="O161" s="3">
        <f t="shared" si="6"/>
        <v>22746.384000000002</v>
      </c>
      <c r="P161" s="3" t="str">
        <f t="shared" si="7"/>
        <v>High Price</v>
      </c>
      <c r="Q161" s="3" t="str" cm="1">
        <f t="array" ref="Q161">_xlfn.IFS(N161&gt;=10,"High",N161&gt;=5,"Medium",N161&lt;5,"Low")</f>
        <v>High</v>
      </c>
      <c r="R161" s="3" t="str">
        <f t="shared" si="8"/>
        <v>High</v>
      </c>
    </row>
    <row r="162" spans="1:18" x14ac:dyDescent="0.25">
      <c r="A162" s="3">
        <v>10173</v>
      </c>
      <c r="B162" s="3">
        <v>1960</v>
      </c>
      <c r="C162" s="4">
        <v>45124</v>
      </c>
      <c r="D162" s="4">
        <v>45127</v>
      </c>
      <c r="E162" s="3" t="s">
        <v>14</v>
      </c>
      <c r="F162" s="3" t="s">
        <v>37</v>
      </c>
      <c r="G162" s="3" t="s">
        <v>23</v>
      </c>
      <c r="H162" s="3" t="s">
        <v>41</v>
      </c>
      <c r="I162" s="3" t="s">
        <v>30</v>
      </c>
      <c r="J162" s="3" t="s">
        <v>64</v>
      </c>
      <c r="K162" s="3" t="s">
        <v>27</v>
      </c>
      <c r="L162" s="3">
        <v>3</v>
      </c>
      <c r="M162" s="3">
        <v>1357.77</v>
      </c>
      <c r="N162" s="3">
        <v>5</v>
      </c>
      <c r="O162" s="3">
        <f t="shared" si="6"/>
        <v>3869.6444999999999</v>
      </c>
      <c r="P162" s="3" t="str">
        <f t="shared" si="7"/>
        <v>Low Price</v>
      </c>
      <c r="Q162" s="3" t="str" cm="1">
        <f t="array" ref="Q162">_xlfn.IFS(N162&gt;=10,"High",N162&gt;=5,"Medium",N162&lt;5,"Low")</f>
        <v>Medium</v>
      </c>
      <c r="R162" s="3" t="str">
        <f t="shared" si="8"/>
        <v>Low</v>
      </c>
    </row>
    <row r="163" spans="1:18" x14ac:dyDescent="0.25">
      <c r="A163" s="3">
        <v>10174</v>
      </c>
      <c r="B163" s="3">
        <v>1738</v>
      </c>
      <c r="C163" s="4">
        <v>45186</v>
      </c>
      <c r="D163" s="4">
        <v>45195</v>
      </c>
      <c r="E163" s="3" t="s">
        <v>33</v>
      </c>
      <c r="F163" s="3" t="s">
        <v>15</v>
      </c>
      <c r="G163" s="3" t="s">
        <v>29</v>
      </c>
      <c r="H163" s="3" t="s">
        <v>17</v>
      </c>
      <c r="I163" s="3" t="s">
        <v>51</v>
      </c>
      <c r="J163" s="3" t="s">
        <v>52</v>
      </c>
      <c r="K163" s="3" t="s">
        <v>27</v>
      </c>
      <c r="L163" s="3">
        <v>3</v>
      </c>
      <c r="M163" s="3">
        <v>1104.31</v>
      </c>
      <c r="N163" s="3">
        <v>15</v>
      </c>
      <c r="O163" s="3">
        <f t="shared" si="6"/>
        <v>2815.9904999999999</v>
      </c>
      <c r="P163" s="3" t="str">
        <f t="shared" si="7"/>
        <v>Low Price</v>
      </c>
      <c r="Q163" s="3" t="str" cm="1">
        <f t="array" ref="Q163">_xlfn.IFS(N163&gt;=10,"High",N163&gt;=5,"Medium",N163&lt;5,"Low")</f>
        <v>High</v>
      </c>
      <c r="R163" s="3" t="str">
        <f t="shared" si="8"/>
        <v>Low</v>
      </c>
    </row>
    <row r="164" spans="1:18" x14ac:dyDescent="0.25">
      <c r="A164" s="3">
        <v>10175</v>
      </c>
      <c r="B164" s="3">
        <v>1612</v>
      </c>
      <c r="C164" s="4">
        <v>45074</v>
      </c>
      <c r="D164" s="4">
        <v>45081</v>
      </c>
      <c r="E164" s="3" t="s">
        <v>15</v>
      </c>
      <c r="F164" s="3" t="s">
        <v>40</v>
      </c>
      <c r="G164" s="3" t="s">
        <v>16</v>
      </c>
      <c r="H164" s="3" t="s">
        <v>17</v>
      </c>
      <c r="I164" s="3" t="s">
        <v>30</v>
      </c>
      <c r="J164" s="3" t="s">
        <v>31</v>
      </c>
      <c r="K164" s="3" t="s">
        <v>44</v>
      </c>
      <c r="L164" s="3">
        <v>4</v>
      </c>
      <c r="M164" s="3">
        <v>2836.21</v>
      </c>
      <c r="N164" s="3">
        <v>20</v>
      </c>
      <c r="O164" s="3">
        <f t="shared" si="6"/>
        <v>9075.8720000000012</v>
      </c>
      <c r="P164" s="3" t="str">
        <f t="shared" si="7"/>
        <v>Low Price</v>
      </c>
      <c r="Q164" s="3" t="str" cm="1">
        <f t="array" ref="Q164">_xlfn.IFS(N164&gt;=10,"High",N164&gt;=5,"Medium",N164&lt;5,"Low")</f>
        <v>High</v>
      </c>
      <c r="R164" s="3" t="str">
        <f t="shared" si="8"/>
        <v>Low</v>
      </c>
    </row>
    <row r="165" spans="1:18" x14ac:dyDescent="0.25">
      <c r="A165" s="3">
        <v>10178</v>
      </c>
      <c r="B165" s="3">
        <v>1642</v>
      </c>
      <c r="C165" s="4">
        <v>45124</v>
      </c>
      <c r="D165" s="4">
        <v>45126</v>
      </c>
      <c r="E165" s="3" t="s">
        <v>39</v>
      </c>
      <c r="F165" s="3" t="s">
        <v>28</v>
      </c>
      <c r="G165" s="3" t="s">
        <v>16</v>
      </c>
      <c r="H165" s="3" t="s">
        <v>17</v>
      </c>
      <c r="I165" s="3" t="s">
        <v>25</v>
      </c>
      <c r="J165" s="3" t="s">
        <v>60</v>
      </c>
      <c r="K165" s="3" t="s">
        <v>44</v>
      </c>
      <c r="L165" s="3">
        <v>7</v>
      </c>
      <c r="M165" s="3">
        <v>174.09</v>
      </c>
      <c r="N165" s="3">
        <v>10</v>
      </c>
      <c r="O165" s="3">
        <f t="shared" si="6"/>
        <v>1096.7670000000001</v>
      </c>
      <c r="P165" s="3" t="str">
        <f t="shared" si="7"/>
        <v>Low Price</v>
      </c>
      <c r="Q165" s="3" t="str" cm="1">
        <f t="array" ref="Q165">_xlfn.IFS(N165&gt;=10,"High",N165&gt;=5,"Medium",N165&lt;5,"Low")</f>
        <v>High</v>
      </c>
      <c r="R165" s="3" t="str">
        <f t="shared" si="8"/>
        <v>Medium</v>
      </c>
    </row>
    <row r="166" spans="1:18" x14ac:dyDescent="0.25">
      <c r="A166" s="3">
        <v>10179</v>
      </c>
      <c r="B166" s="3">
        <v>1768</v>
      </c>
      <c r="C166" s="4">
        <v>44973</v>
      </c>
      <c r="D166" s="4">
        <v>44976</v>
      </c>
      <c r="E166" s="3" t="s">
        <v>36</v>
      </c>
      <c r="F166" s="3" t="s">
        <v>15</v>
      </c>
      <c r="G166" s="3" t="s">
        <v>29</v>
      </c>
      <c r="H166" s="3" t="s">
        <v>24</v>
      </c>
      <c r="I166" s="3" t="s">
        <v>30</v>
      </c>
      <c r="J166" s="3" t="s">
        <v>31</v>
      </c>
      <c r="K166" s="3" t="s">
        <v>20</v>
      </c>
      <c r="L166" s="3">
        <v>9</v>
      </c>
      <c r="M166" s="3">
        <v>388.26</v>
      </c>
      <c r="N166" s="3">
        <v>10</v>
      </c>
      <c r="O166" s="3">
        <f t="shared" si="6"/>
        <v>3144.9060000000004</v>
      </c>
      <c r="P166" s="3" t="str">
        <f t="shared" si="7"/>
        <v>Low Price</v>
      </c>
      <c r="Q166" s="3" t="str" cm="1">
        <f t="array" ref="Q166">_xlfn.IFS(N166&gt;=10,"High",N166&gt;=5,"Medium",N166&lt;5,"Low")</f>
        <v>High</v>
      </c>
      <c r="R166" s="3" t="str">
        <f t="shared" si="8"/>
        <v>High</v>
      </c>
    </row>
    <row r="167" spans="1:18" x14ac:dyDescent="0.25">
      <c r="A167" s="3">
        <v>10180</v>
      </c>
      <c r="B167" s="3">
        <v>1004</v>
      </c>
      <c r="C167" s="4">
        <v>45004</v>
      </c>
      <c r="D167" s="4">
        <v>45006</v>
      </c>
      <c r="E167" s="3" t="s">
        <v>14</v>
      </c>
      <c r="F167" s="3" t="s">
        <v>28</v>
      </c>
      <c r="G167" s="3" t="s">
        <v>16</v>
      </c>
      <c r="H167" s="3" t="s">
        <v>34</v>
      </c>
      <c r="I167" s="3" t="s">
        <v>18</v>
      </c>
      <c r="J167" s="3" t="s">
        <v>42</v>
      </c>
      <c r="K167" s="3" t="s">
        <v>44</v>
      </c>
      <c r="L167" s="3">
        <v>8</v>
      </c>
      <c r="M167" s="3">
        <v>2211.17</v>
      </c>
      <c r="N167" s="3">
        <v>10</v>
      </c>
      <c r="O167" s="3">
        <f t="shared" si="6"/>
        <v>15920.424000000001</v>
      </c>
      <c r="P167" s="3" t="str">
        <f t="shared" si="7"/>
        <v>High Price</v>
      </c>
      <c r="Q167" s="3" t="str" cm="1">
        <f t="array" ref="Q167">_xlfn.IFS(N167&gt;=10,"High",N167&gt;=5,"Medium",N167&lt;5,"Low")</f>
        <v>High</v>
      </c>
      <c r="R167" s="3" t="str">
        <f t="shared" si="8"/>
        <v>Medium</v>
      </c>
    </row>
    <row r="168" spans="1:18" x14ac:dyDescent="0.25">
      <c r="A168" s="3">
        <v>10181</v>
      </c>
      <c r="B168" s="3">
        <v>1217</v>
      </c>
      <c r="C168" s="4">
        <v>45050</v>
      </c>
      <c r="D168" s="4">
        <v>45053</v>
      </c>
      <c r="E168" s="3" t="s">
        <v>14</v>
      </c>
      <c r="F168" s="3" t="s">
        <v>22</v>
      </c>
      <c r="G168" s="3" t="s">
        <v>16</v>
      </c>
      <c r="H168" s="3" t="s">
        <v>41</v>
      </c>
      <c r="I168" s="3" t="s">
        <v>48</v>
      </c>
      <c r="J168" s="3" t="s">
        <v>49</v>
      </c>
      <c r="K168" s="3" t="s">
        <v>32</v>
      </c>
      <c r="L168" s="3">
        <v>5</v>
      </c>
      <c r="M168" s="3">
        <v>2329.38</v>
      </c>
      <c r="N168" s="3">
        <v>20</v>
      </c>
      <c r="O168" s="3">
        <f t="shared" si="6"/>
        <v>9317.5200000000023</v>
      </c>
      <c r="P168" s="3" t="str">
        <f t="shared" si="7"/>
        <v>Low Price</v>
      </c>
      <c r="Q168" s="3" t="str" cm="1">
        <f t="array" ref="Q168">_xlfn.IFS(N168&gt;=10,"High",N168&gt;=5,"Medium",N168&lt;5,"Low")</f>
        <v>High</v>
      </c>
      <c r="R168" s="3" t="str">
        <f t="shared" si="8"/>
        <v>Medium</v>
      </c>
    </row>
    <row r="169" spans="1:18" x14ac:dyDescent="0.25">
      <c r="A169" s="3">
        <v>10183</v>
      </c>
      <c r="B169" s="3">
        <v>1766</v>
      </c>
      <c r="C169" s="4">
        <v>45285</v>
      </c>
      <c r="D169" s="4">
        <v>45294</v>
      </c>
      <c r="E169" s="3" t="s">
        <v>14</v>
      </c>
      <c r="F169" s="3" t="s">
        <v>22</v>
      </c>
      <c r="G169" s="3" t="s">
        <v>29</v>
      </c>
      <c r="H169" s="3" t="s">
        <v>17</v>
      </c>
      <c r="I169" s="3" t="s">
        <v>30</v>
      </c>
      <c r="J169" s="3" t="s">
        <v>38</v>
      </c>
      <c r="K169" s="3" t="s">
        <v>46</v>
      </c>
      <c r="L169" s="3">
        <v>7</v>
      </c>
      <c r="M169" s="3">
        <v>658.07</v>
      </c>
      <c r="N169" s="3">
        <v>20</v>
      </c>
      <c r="O169" s="3">
        <f t="shared" si="6"/>
        <v>3685.1920000000009</v>
      </c>
      <c r="P169" s="3" t="str">
        <f t="shared" si="7"/>
        <v>Low Price</v>
      </c>
      <c r="Q169" s="3" t="str" cm="1">
        <f t="array" ref="Q169">_xlfn.IFS(N169&gt;=10,"High",N169&gt;=5,"Medium",N169&lt;5,"Low")</f>
        <v>High</v>
      </c>
      <c r="R169" s="3" t="str">
        <f t="shared" si="8"/>
        <v>Medium</v>
      </c>
    </row>
    <row r="170" spans="1:18" x14ac:dyDescent="0.25">
      <c r="A170" s="3">
        <v>10184</v>
      </c>
      <c r="B170" s="3">
        <v>1397</v>
      </c>
      <c r="C170" s="4">
        <v>45063</v>
      </c>
      <c r="D170" s="4">
        <v>45072</v>
      </c>
      <c r="E170" s="3" t="s">
        <v>21</v>
      </c>
      <c r="F170" s="3" t="s">
        <v>53</v>
      </c>
      <c r="G170" s="3" t="s">
        <v>16</v>
      </c>
      <c r="H170" s="3" t="s">
        <v>43</v>
      </c>
      <c r="I170" s="3" t="s">
        <v>51</v>
      </c>
      <c r="J170" s="3" t="s">
        <v>63</v>
      </c>
      <c r="K170" s="3" t="s">
        <v>20</v>
      </c>
      <c r="L170" s="3">
        <v>5</v>
      </c>
      <c r="M170" s="3">
        <v>2125.75</v>
      </c>
      <c r="N170" s="3">
        <v>15</v>
      </c>
      <c r="O170" s="3">
        <f t="shared" si="6"/>
        <v>9034.4375</v>
      </c>
      <c r="P170" s="3" t="str">
        <f t="shared" si="7"/>
        <v>Low Price</v>
      </c>
      <c r="Q170" s="3" t="str" cm="1">
        <f t="array" ref="Q170">_xlfn.IFS(N170&gt;=10,"High",N170&gt;=5,"Medium",N170&lt;5,"Low")</f>
        <v>High</v>
      </c>
      <c r="R170" s="3" t="str">
        <f t="shared" si="8"/>
        <v>Medium</v>
      </c>
    </row>
    <row r="171" spans="1:18" x14ac:dyDescent="0.25">
      <c r="A171" s="3">
        <v>10185</v>
      </c>
      <c r="B171" s="3">
        <v>1870</v>
      </c>
      <c r="C171" s="4">
        <v>45016</v>
      </c>
      <c r="D171" s="4">
        <v>45023</v>
      </c>
      <c r="E171" s="3" t="s">
        <v>33</v>
      </c>
      <c r="F171" s="3" t="s">
        <v>15</v>
      </c>
      <c r="G171" s="3" t="s">
        <v>16</v>
      </c>
      <c r="H171" s="3" t="s">
        <v>17</v>
      </c>
      <c r="I171" s="3" t="s">
        <v>30</v>
      </c>
      <c r="J171" s="3" t="s">
        <v>38</v>
      </c>
      <c r="K171" s="3" t="s">
        <v>46</v>
      </c>
      <c r="L171" s="3">
        <v>7</v>
      </c>
      <c r="M171" s="3">
        <v>898.62</v>
      </c>
      <c r="N171" s="3">
        <v>0</v>
      </c>
      <c r="O171" s="3">
        <f t="shared" si="6"/>
        <v>6290.34</v>
      </c>
      <c r="P171" s="3" t="str">
        <f t="shared" si="7"/>
        <v>Low Price</v>
      </c>
      <c r="Q171" s="3" t="str" cm="1">
        <f t="array" ref="Q171">_xlfn.IFS(N171&gt;=10,"High",N171&gt;=5,"Medium",N171&lt;5,"Low")</f>
        <v>Low</v>
      </c>
      <c r="R171" s="3" t="str">
        <f t="shared" si="8"/>
        <v>Medium</v>
      </c>
    </row>
    <row r="172" spans="1:18" x14ac:dyDescent="0.25">
      <c r="A172" s="3">
        <v>10186</v>
      </c>
      <c r="B172" s="3">
        <v>1794</v>
      </c>
      <c r="C172" s="4">
        <v>45251</v>
      </c>
      <c r="D172" s="4">
        <v>45254</v>
      </c>
      <c r="E172" s="3" t="s">
        <v>36</v>
      </c>
      <c r="F172" s="3" t="s">
        <v>40</v>
      </c>
      <c r="G172" s="3" t="s">
        <v>29</v>
      </c>
      <c r="H172" s="3" t="s">
        <v>24</v>
      </c>
      <c r="I172" s="3" t="s">
        <v>51</v>
      </c>
      <c r="J172" s="3" t="s">
        <v>55</v>
      </c>
      <c r="K172" s="3" t="s">
        <v>46</v>
      </c>
      <c r="L172" s="3">
        <v>1</v>
      </c>
      <c r="M172" s="3">
        <v>508.81</v>
      </c>
      <c r="N172" s="3">
        <v>0</v>
      </c>
      <c r="O172" s="3">
        <f t="shared" si="6"/>
        <v>508.81</v>
      </c>
      <c r="P172" s="3" t="str">
        <f t="shared" si="7"/>
        <v>Low Price</v>
      </c>
      <c r="Q172" s="3" t="str" cm="1">
        <f t="array" ref="Q172">_xlfn.IFS(N172&gt;=10,"High",N172&gt;=5,"Medium",N172&lt;5,"Low")</f>
        <v>Low</v>
      </c>
      <c r="R172" s="3" t="str">
        <f t="shared" si="8"/>
        <v>Low</v>
      </c>
    </row>
    <row r="173" spans="1:18" x14ac:dyDescent="0.25">
      <c r="A173" s="3">
        <v>10187</v>
      </c>
      <c r="B173" s="3">
        <v>1392</v>
      </c>
      <c r="C173" s="4">
        <v>44987</v>
      </c>
      <c r="D173" s="4">
        <v>44991</v>
      </c>
      <c r="E173" s="3" t="s">
        <v>15</v>
      </c>
      <c r="F173" s="3" t="s">
        <v>40</v>
      </c>
      <c r="G173" s="3" t="s">
        <v>16</v>
      </c>
      <c r="H173" s="3" t="s">
        <v>43</v>
      </c>
      <c r="I173" s="3" t="s">
        <v>18</v>
      </c>
      <c r="J173" s="3" t="s">
        <v>42</v>
      </c>
      <c r="K173" s="3" t="s">
        <v>32</v>
      </c>
      <c r="L173" s="3">
        <v>1</v>
      </c>
      <c r="M173" s="3">
        <v>1730.41</v>
      </c>
      <c r="N173" s="3">
        <v>10</v>
      </c>
      <c r="O173" s="3">
        <f t="shared" si="6"/>
        <v>1557.3690000000001</v>
      </c>
      <c r="P173" s="3" t="str">
        <f t="shared" si="7"/>
        <v>Low Price</v>
      </c>
      <c r="Q173" s="3" t="str" cm="1">
        <f t="array" ref="Q173">_xlfn.IFS(N173&gt;=10,"High",N173&gt;=5,"Medium",N173&lt;5,"Low")</f>
        <v>High</v>
      </c>
      <c r="R173" s="3" t="str">
        <f t="shared" si="8"/>
        <v>Low</v>
      </c>
    </row>
    <row r="174" spans="1:18" x14ac:dyDescent="0.25">
      <c r="A174" s="3">
        <v>10188</v>
      </c>
      <c r="B174" s="3">
        <v>1206</v>
      </c>
      <c r="C174" s="4">
        <v>45064</v>
      </c>
      <c r="D174" s="4">
        <v>45070</v>
      </c>
      <c r="E174" s="3" t="s">
        <v>39</v>
      </c>
      <c r="F174" s="3" t="s">
        <v>53</v>
      </c>
      <c r="G174" s="3" t="s">
        <v>16</v>
      </c>
      <c r="H174" s="3" t="s">
        <v>24</v>
      </c>
      <c r="I174" s="3" t="s">
        <v>51</v>
      </c>
      <c r="J174" s="3" t="s">
        <v>52</v>
      </c>
      <c r="K174" s="3" t="s">
        <v>20</v>
      </c>
      <c r="L174" s="3">
        <v>3</v>
      </c>
      <c r="M174" s="3">
        <v>778.85</v>
      </c>
      <c r="N174" s="3">
        <v>10</v>
      </c>
      <c r="O174" s="3">
        <f t="shared" si="6"/>
        <v>2102.8950000000004</v>
      </c>
      <c r="P174" s="3" t="str">
        <f t="shared" si="7"/>
        <v>Low Price</v>
      </c>
      <c r="Q174" s="3" t="str" cm="1">
        <f t="array" ref="Q174">_xlfn.IFS(N174&gt;=10,"High",N174&gt;=5,"Medium",N174&lt;5,"Low")</f>
        <v>High</v>
      </c>
      <c r="R174" s="3" t="str">
        <f t="shared" si="8"/>
        <v>Low</v>
      </c>
    </row>
    <row r="175" spans="1:18" x14ac:dyDescent="0.25">
      <c r="A175" s="3">
        <v>10190</v>
      </c>
      <c r="B175" s="3">
        <v>1857</v>
      </c>
      <c r="C175" s="4">
        <v>45185</v>
      </c>
      <c r="D175" s="4">
        <v>45187</v>
      </c>
      <c r="E175" s="3" t="s">
        <v>33</v>
      </c>
      <c r="F175" s="3" t="s">
        <v>53</v>
      </c>
      <c r="G175" s="3" t="s">
        <v>29</v>
      </c>
      <c r="H175" s="3" t="s">
        <v>24</v>
      </c>
      <c r="I175" s="3" t="s">
        <v>48</v>
      </c>
      <c r="J175" s="3" t="s">
        <v>50</v>
      </c>
      <c r="K175" s="3" t="s">
        <v>20</v>
      </c>
      <c r="L175" s="3">
        <v>2</v>
      </c>
      <c r="M175" s="3">
        <v>1372.59</v>
      </c>
      <c r="N175" s="3">
        <v>5</v>
      </c>
      <c r="O175" s="3">
        <f t="shared" si="6"/>
        <v>2607.9209999999998</v>
      </c>
      <c r="P175" s="3" t="str">
        <f t="shared" si="7"/>
        <v>Low Price</v>
      </c>
      <c r="Q175" s="3" t="str" cm="1">
        <f t="array" ref="Q175">_xlfn.IFS(N175&gt;=10,"High",N175&gt;=5,"Medium",N175&lt;5,"Low")</f>
        <v>Medium</v>
      </c>
      <c r="R175" s="3" t="str">
        <f t="shared" si="8"/>
        <v>Low</v>
      </c>
    </row>
    <row r="176" spans="1:18" x14ac:dyDescent="0.25">
      <c r="A176" s="3">
        <v>10191</v>
      </c>
      <c r="B176" s="3">
        <v>1553</v>
      </c>
      <c r="C176" s="4">
        <v>45033</v>
      </c>
      <c r="D176" s="4">
        <v>45039</v>
      </c>
      <c r="E176" s="3" t="s">
        <v>39</v>
      </c>
      <c r="F176" s="3" t="s">
        <v>28</v>
      </c>
      <c r="G176" s="3" t="s">
        <v>29</v>
      </c>
      <c r="H176" s="3" t="s">
        <v>34</v>
      </c>
      <c r="I176" s="3" t="s">
        <v>51</v>
      </c>
      <c r="J176" s="3" t="s">
        <v>55</v>
      </c>
      <c r="K176" s="3" t="s">
        <v>20</v>
      </c>
      <c r="L176" s="3">
        <v>7</v>
      </c>
      <c r="M176" s="3">
        <v>1148.6500000000001</v>
      </c>
      <c r="N176" s="3">
        <v>15</v>
      </c>
      <c r="O176" s="3">
        <f t="shared" si="6"/>
        <v>6834.4675000000007</v>
      </c>
      <c r="P176" s="3" t="str">
        <f t="shared" si="7"/>
        <v>Low Price</v>
      </c>
      <c r="Q176" s="3" t="str" cm="1">
        <f t="array" ref="Q176">_xlfn.IFS(N176&gt;=10,"High",N176&gt;=5,"Medium",N176&lt;5,"Low")</f>
        <v>High</v>
      </c>
      <c r="R176" s="3" t="str">
        <f t="shared" si="8"/>
        <v>Medium</v>
      </c>
    </row>
    <row r="177" spans="1:18" x14ac:dyDescent="0.25">
      <c r="A177" s="3">
        <v>10192</v>
      </c>
      <c r="B177" s="3">
        <v>1891</v>
      </c>
      <c r="C177" s="4">
        <v>45039</v>
      </c>
      <c r="D177" s="4">
        <v>45042</v>
      </c>
      <c r="E177" s="3" t="s">
        <v>14</v>
      </c>
      <c r="F177" s="3" t="s">
        <v>28</v>
      </c>
      <c r="G177" s="3" t="s">
        <v>29</v>
      </c>
      <c r="H177" s="3" t="s">
        <v>34</v>
      </c>
      <c r="I177" s="3" t="s">
        <v>51</v>
      </c>
      <c r="J177" s="3" t="s">
        <v>59</v>
      </c>
      <c r="K177" s="3" t="s">
        <v>20</v>
      </c>
      <c r="L177" s="3">
        <v>2</v>
      </c>
      <c r="M177" s="3">
        <v>487.23</v>
      </c>
      <c r="N177" s="3">
        <v>15</v>
      </c>
      <c r="O177" s="3">
        <f t="shared" si="6"/>
        <v>828.29100000000005</v>
      </c>
      <c r="P177" s="3" t="str">
        <f t="shared" si="7"/>
        <v>Low Price</v>
      </c>
      <c r="Q177" s="3" t="str" cm="1">
        <f t="array" ref="Q177">_xlfn.IFS(N177&gt;=10,"High",N177&gt;=5,"Medium",N177&lt;5,"Low")</f>
        <v>High</v>
      </c>
      <c r="R177" s="3" t="str">
        <f t="shared" si="8"/>
        <v>Low</v>
      </c>
    </row>
    <row r="178" spans="1:18" x14ac:dyDescent="0.25">
      <c r="A178" s="3">
        <v>10193</v>
      </c>
      <c r="B178" s="3">
        <v>1460</v>
      </c>
      <c r="C178" s="4">
        <v>45276</v>
      </c>
      <c r="D178" s="4">
        <v>45284</v>
      </c>
      <c r="E178" s="3" t="s">
        <v>45</v>
      </c>
      <c r="F178" s="3" t="s">
        <v>37</v>
      </c>
      <c r="G178" s="3" t="s">
        <v>29</v>
      </c>
      <c r="H178" s="3" t="s">
        <v>24</v>
      </c>
      <c r="I178" s="3" t="s">
        <v>48</v>
      </c>
      <c r="J178" s="3" t="s">
        <v>50</v>
      </c>
      <c r="K178" s="3" t="s">
        <v>32</v>
      </c>
      <c r="L178" s="3">
        <v>4</v>
      </c>
      <c r="M178" s="3">
        <v>496.18</v>
      </c>
      <c r="N178" s="3">
        <v>15</v>
      </c>
      <c r="O178" s="3">
        <f t="shared" si="6"/>
        <v>1687.0119999999999</v>
      </c>
      <c r="P178" s="3" t="str">
        <f t="shared" si="7"/>
        <v>Low Price</v>
      </c>
      <c r="Q178" s="3" t="str" cm="1">
        <f t="array" ref="Q178">_xlfn.IFS(N178&gt;=10,"High",N178&gt;=5,"Medium",N178&lt;5,"Low")</f>
        <v>High</v>
      </c>
      <c r="R178" s="3" t="str">
        <f t="shared" si="8"/>
        <v>Low</v>
      </c>
    </row>
    <row r="179" spans="1:18" x14ac:dyDescent="0.25">
      <c r="A179" s="3">
        <v>10194</v>
      </c>
      <c r="B179" s="3">
        <v>1690</v>
      </c>
      <c r="C179" s="4">
        <v>45180</v>
      </c>
      <c r="D179" s="4">
        <v>45182</v>
      </c>
      <c r="E179" s="3" t="s">
        <v>33</v>
      </c>
      <c r="F179" s="3" t="s">
        <v>40</v>
      </c>
      <c r="G179" s="3" t="s">
        <v>23</v>
      </c>
      <c r="H179" s="3" t="s">
        <v>24</v>
      </c>
      <c r="I179" s="3" t="s">
        <v>56</v>
      </c>
      <c r="J179" s="3" t="s">
        <v>58</v>
      </c>
      <c r="K179" s="3" t="s">
        <v>44</v>
      </c>
      <c r="L179" s="3">
        <v>2</v>
      </c>
      <c r="M179" s="3">
        <v>894.01</v>
      </c>
      <c r="N179" s="3">
        <v>15</v>
      </c>
      <c r="O179" s="3">
        <f t="shared" si="6"/>
        <v>1519.817</v>
      </c>
      <c r="P179" s="3" t="str">
        <f t="shared" si="7"/>
        <v>Low Price</v>
      </c>
      <c r="Q179" s="3" t="str" cm="1">
        <f t="array" ref="Q179">_xlfn.IFS(N179&gt;=10,"High",N179&gt;=5,"Medium",N179&lt;5,"Low")</f>
        <v>High</v>
      </c>
      <c r="R179" s="3" t="str">
        <f t="shared" si="8"/>
        <v>Low</v>
      </c>
    </row>
    <row r="180" spans="1:18" x14ac:dyDescent="0.25">
      <c r="A180" s="3">
        <v>10195</v>
      </c>
      <c r="B180" s="3">
        <v>1574</v>
      </c>
      <c r="C180" s="4">
        <v>45044</v>
      </c>
      <c r="D180" s="4">
        <v>45045</v>
      </c>
      <c r="E180" s="3" t="s">
        <v>33</v>
      </c>
      <c r="F180" s="3" t="s">
        <v>22</v>
      </c>
      <c r="G180" s="3" t="s">
        <v>16</v>
      </c>
      <c r="H180" s="3" t="s">
        <v>34</v>
      </c>
      <c r="I180" s="3" t="s">
        <v>30</v>
      </c>
      <c r="J180" s="3" t="s">
        <v>64</v>
      </c>
      <c r="K180" s="3" t="s">
        <v>46</v>
      </c>
      <c r="L180" s="3">
        <v>6</v>
      </c>
      <c r="M180" s="3">
        <v>344.65</v>
      </c>
      <c r="N180" s="3">
        <v>10</v>
      </c>
      <c r="O180" s="3">
        <f t="shared" si="6"/>
        <v>1861.1099999999997</v>
      </c>
      <c r="P180" s="3" t="str">
        <f t="shared" si="7"/>
        <v>Low Price</v>
      </c>
      <c r="Q180" s="3" t="str" cm="1">
        <f t="array" ref="Q180">_xlfn.IFS(N180&gt;=10,"High",N180&gt;=5,"Medium",N180&lt;5,"Low")</f>
        <v>High</v>
      </c>
      <c r="R180" s="3" t="str">
        <f t="shared" si="8"/>
        <v>Medium</v>
      </c>
    </row>
    <row r="181" spans="1:18" x14ac:dyDescent="0.25">
      <c r="A181" s="3">
        <v>10196</v>
      </c>
      <c r="B181" s="3">
        <v>1863</v>
      </c>
      <c r="C181" s="4">
        <v>45124</v>
      </c>
      <c r="D181" s="4">
        <v>45133</v>
      </c>
      <c r="E181" s="3" t="s">
        <v>36</v>
      </c>
      <c r="F181" s="3" t="s">
        <v>28</v>
      </c>
      <c r="G181" s="3" t="s">
        <v>29</v>
      </c>
      <c r="H181" s="3" t="s">
        <v>43</v>
      </c>
      <c r="I181" s="3" t="s">
        <v>51</v>
      </c>
      <c r="J181" s="3" t="s">
        <v>52</v>
      </c>
      <c r="K181" s="3" t="s">
        <v>20</v>
      </c>
      <c r="L181" s="3">
        <v>8</v>
      </c>
      <c r="M181" s="3">
        <v>2561.86</v>
      </c>
      <c r="N181" s="3">
        <v>0</v>
      </c>
      <c r="O181" s="3">
        <f t="shared" si="6"/>
        <v>20494.88</v>
      </c>
      <c r="P181" s="3" t="str">
        <f t="shared" si="7"/>
        <v>High Price</v>
      </c>
      <c r="Q181" s="3" t="str" cm="1">
        <f t="array" ref="Q181">_xlfn.IFS(N181&gt;=10,"High",N181&gt;=5,"Medium",N181&lt;5,"Low")</f>
        <v>Low</v>
      </c>
      <c r="R181" s="3" t="str">
        <f t="shared" si="8"/>
        <v>Medium</v>
      </c>
    </row>
    <row r="182" spans="1:18" x14ac:dyDescent="0.25">
      <c r="A182" s="3">
        <v>10197</v>
      </c>
      <c r="B182" s="3">
        <v>1742</v>
      </c>
      <c r="C182" s="4">
        <v>45263</v>
      </c>
      <c r="D182" s="4">
        <v>45266</v>
      </c>
      <c r="E182" s="3" t="s">
        <v>15</v>
      </c>
      <c r="F182" s="3" t="s">
        <v>37</v>
      </c>
      <c r="G182" s="3" t="s">
        <v>16</v>
      </c>
      <c r="H182" s="3" t="s">
        <v>34</v>
      </c>
      <c r="I182" s="3" t="s">
        <v>48</v>
      </c>
      <c r="J182" s="3" t="s">
        <v>67</v>
      </c>
      <c r="K182" s="3" t="s">
        <v>44</v>
      </c>
      <c r="L182" s="3">
        <v>4</v>
      </c>
      <c r="M182" s="3">
        <v>1256.21</v>
      </c>
      <c r="N182" s="3">
        <v>10</v>
      </c>
      <c r="O182" s="3">
        <f t="shared" si="6"/>
        <v>4522.3560000000007</v>
      </c>
      <c r="P182" s="3" t="str">
        <f t="shared" si="7"/>
        <v>Low Price</v>
      </c>
      <c r="Q182" s="3" t="str" cm="1">
        <f t="array" ref="Q182">_xlfn.IFS(N182&gt;=10,"High",N182&gt;=5,"Medium",N182&lt;5,"Low")</f>
        <v>High</v>
      </c>
      <c r="R182" s="3" t="str">
        <f t="shared" si="8"/>
        <v>Low</v>
      </c>
    </row>
    <row r="183" spans="1:18" x14ac:dyDescent="0.25">
      <c r="A183" s="3">
        <v>10198</v>
      </c>
      <c r="B183" s="3">
        <v>1240</v>
      </c>
      <c r="C183" s="4">
        <v>45291</v>
      </c>
      <c r="D183" s="4">
        <v>45292</v>
      </c>
      <c r="E183" s="3" t="s">
        <v>33</v>
      </c>
      <c r="F183" s="3" t="s">
        <v>40</v>
      </c>
      <c r="G183" s="3" t="s">
        <v>16</v>
      </c>
      <c r="H183" s="3" t="s">
        <v>41</v>
      </c>
      <c r="I183" s="3" t="s">
        <v>18</v>
      </c>
      <c r="J183" s="3" t="s">
        <v>65</v>
      </c>
      <c r="K183" s="3" t="s">
        <v>44</v>
      </c>
      <c r="L183" s="3">
        <v>5</v>
      </c>
      <c r="M183" s="3">
        <v>1227.02</v>
      </c>
      <c r="N183" s="3">
        <v>15</v>
      </c>
      <c r="O183" s="3">
        <f t="shared" si="6"/>
        <v>5214.835</v>
      </c>
      <c r="P183" s="3" t="str">
        <f t="shared" si="7"/>
        <v>Low Price</v>
      </c>
      <c r="Q183" s="3" t="str" cm="1">
        <f t="array" ref="Q183">_xlfn.IFS(N183&gt;=10,"High",N183&gt;=5,"Medium",N183&lt;5,"Low")</f>
        <v>High</v>
      </c>
      <c r="R183" s="3" t="str">
        <f t="shared" si="8"/>
        <v>Medium</v>
      </c>
    </row>
    <row r="184" spans="1:18" x14ac:dyDescent="0.25">
      <c r="A184" s="3">
        <v>10199</v>
      </c>
      <c r="B184" s="3">
        <v>1563</v>
      </c>
      <c r="C184" s="4">
        <v>44977</v>
      </c>
      <c r="D184" s="4">
        <v>44984</v>
      </c>
      <c r="E184" s="3" t="s">
        <v>33</v>
      </c>
      <c r="F184" s="3" t="s">
        <v>22</v>
      </c>
      <c r="G184" s="3" t="s">
        <v>23</v>
      </c>
      <c r="H184" s="3" t="s">
        <v>34</v>
      </c>
      <c r="I184" s="3" t="s">
        <v>48</v>
      </c>
      <c r="J184" s="3" t="s">
        <v>50</v>
      </c>
      <c r="K184" s="3" t="s">
        <v>46</v>
      </c>
      <c r="L184" s="3">
        <v>4</v>
      </c>
      <c r="M184" s="3">
        <v>1428.19</v>
      </c>
      <c r="N184" s="3">
        <v>10</v>
      </c>
      <c r="O184" s="3">
        <f t="shared" si="6"/>
        <v>5141.4840000000004</v>
      </c>
      <c r="P184" s="3" t="str">
        <f t="shared" si="7"/>
        <v>Low Price</v>
      </c>
      <c r="Q184" s="3" t="str" cm="1">
        <f t="array" ref="Q184">_xlfn.IFS(N184&gt;=10,"High",N184&gt;=5,"Medium",N184&lt;5,"Low")</f>
        <v>High</v>
      </c>
      <c r="R184" s="3" t="str">
        <f t="shared" si="8"/>
        <v>Low</v>
      </c>
    </row>
    <row r="185" spans="1:18" x14ac:dyDescent="0.25">
      <c r="A185" s="3">
        <v>10200</v>
      </c>
      <c r="B185" s="3">
        <v>1095</v>
      </c>
      <c r="C185" s="4">
        <v>45171</v>
      </c>
      <c r="D185" s="4">
        <v>45176</v>
      </c>
      <c r="E185" s="3" t="s">
        <v>14</v>
      </c>
      <c r="F185" s="3" t="s">
        <v>28</v>
      </c>
      <c r="G185" s="3" t="s">
        <v>29</v>
      </c>
      <c r="H185" s="3" t="s">
        <v>43</v>
      </c>
      <c r="I185" s="3" t="s">
        <v>18</v>
      </c>
      <c r="J185" s="3" t="s">
        <v>65</v>
      </c>
      <c r="K185" s="3" t="s">
        <v>32</v>
      </c>
      <c r="L185" s="3">
        <v>3</v>
      </c>
      <c r="M185" s="3">
        <v>2701.77</v>
      </c>
      <c r="N185" s="3">
        <v>15</v>
      </c>
      <c r="O185" s="3">
        <f t="shared" si="6"/>
        <v>6889.5134999999991</v>
      </c>
      <c r="P185" s="3" t="str">
        <f t="shared" si="7"/>
        <v>Low Price</v>
      </c>
      <c r="Q185" s="3" t="str" cm="1">
        <f t="array" ref="Q185">_xlfn.IFS(N185&gt;=10,"High",N185&gt;=5,"Medium",N185&lt;5,"Low")</f>
        <v>High</v>
      </c>
      <c r="R185" s="3" t="str">
        <f t="shared" si="8"/>
        <v>Low</v>
      </c>
    </row>
    <row r="186" spans="1:18" x14ac:dyDescent="0.25">
      <c r="A186" s="3">
        <v>10201</v>
      </c>
      <c r="B186" s="3">
        <v>1899</v>
      </c>
      <c r="C186" s="4">
        <v>44961</v>
      </c>
      <c r="D186" s="4">
        <v>44966</v>
      </c>
      <c r="E186" s="3" t="s">
        <v>14</v>
      </c>
      <c r="F186" s="3" t="s">
        <v>28</v>
      </c>
      <c r="G186" s="3" t="s">
        <v>29</v>
      </c>
      <c r="H186" s="3" t="s">
        <v>41</v>
      </c>
      <c r="I186" s="3" t="s">
        <v>56</v>
      </c>
      <c r="J186" s="3" t="s">
        <v>58</v>
      </c>
      <c r="K186" s="3" t="s">
        <v>27</v>
      </c>
      <c r="L186" s="3">
        <v>5</v>
      </c>
      <c r="M186" s="3">
        <v>3501.94</v>
      </c>
      <c r="N186" s="3">
        <v>20</v>
      </c>
      <c r="O186" s="3">
        <f t="shared" si="6"/>
        <v>14007.760000000002</v>
      </c>
      <c r="P186" s="3" t="str">
        <f t="shared" si="7"/>
        <v>Low Price</v>
      </c>
      <c r="Q186" s="3" t="str" cm="1">
        <f t="array" ref="Q186">_xlfn.IFS(N186&gt;=10,"High",N186&gt;=5,"Medium",N186&lt;5,"Low")</f>
        <v>High</v>
      </c>
      <c r="R186" s="3" t="str">
        <f t="shared" si="8"/>
        <v>Medium</v>
      </c>
    </row>
    <row r="187" spans="1:18" x14ac:dyDescent="0.25">
      <c r="A187" s="3">
        <v>10202</v>
      </c>
      <c r="B187" s="3">
        <v>1733</v>
      </c>
      <c r="C187" s="4">
        <v>45228</v>
      </c>
      <c r="D187" s="4">
        <v>45229</v>
      </c>
      <c r="E187" s="3" t="s">
        <v>39</v>
      </c>
      <c r="F187" s="3" t="s">
        <v>53</v>
      </c>
      <c r="G187" s="3" t="s">
        <v>16</v>
      </c>
      <c r="H187" s="3" t="s">
        <v>17</v>
      </c>
      <c r="I187" s="3" t="s">
        <v>30</v>
      </c>
      <c r="J187" s="3" t="s">
        <v>64</v>
      </c>
      <c r="K187" s="3" t="s">
        <v>27</v>
      </c>
      <c r="L187" s="3">
        <v>9</v>
      </c>
      <c r="M187" s="3">
        <v>3072.48</v>
      </c>
      <c r="N187" s="3">
        <v>0</v>
      </c>
      <c r="O187" s="3">
        <f t="shared" si="6"/>
        <v>27652.32</v>
      </c>
      <c r="P187" s="3" t="str">
        <f t="shared" si="7"/>
        <v>High Price</v>
      </c>
      <c r="Q187" s="3" t="str" cm="1">
        <f t="array" ref="Q187">_xlfn.IFS(N187&gt;=10,"High",N187&gt;=5,"Medium",N187&lt;5,"Low")</f>
        <v>Low</v>
      </c>
      <c r="R187" s="3" t="str">
        <f t="shared" si="8"/>
        <v>High</v>
      </c>
    </row>
    <row r="188" spans="1:18" x14ac:dyDescent="0.25">
      <c r="A188" s="3">
        <v>10207</v>
      </c>
      <c r="B188" s="3">
        <v>1654</v>
      </c>
      <c r="C188" s="4">
        <v>45000</v>
      </c>
      <c r="D188" s="4">
        <v>45006</v>
      </c>
      <c r="E188" s="3" t="s">
        <v>36</v>
      </c>
      <c r="F188" s="3" t="s">
        <v>40</v>
      </c>
      <c r="G188" s="3" t="s">
        <v>23</v>
      </c>
      <c r="H188" s="3" t="s">
        <v>43</v>
      </c>
      <c r="I188" s="3" t="s">
        <v>48</v>
      </c>
      <c r="J188" s="3" t="s">
        <v>50</v>
      </c>
      <c r="K188" s="3" t="s">
        <v>32</v>
      </c>
      <c r="L188" s="3">
        <v>7</v>
      </c>
      <c r="M188" s="3">
        <v>982.56</v>
      </c>
      <c r="N188" s="3">
        <v>10</v>
      </c>
      <c r="O188" s="3">
        <f t="shared" si="6"/>
        <v>6190.1280000000006</v>
      </c>
      <c r="P188" s="3" t="str">
        <f t="shared" si="7"/>
        <v>Low Price</v>
      </c>
      <c r="Q188" s="3" t="str" cm="1">
        <f t="array" ref="Q188">_xlfn.IFS(N188&gt;=10,"High",N188&gt;=5,"Medium",N188&lt;5,"Low")</f>
        <v>High</v>
      </c>
      <c r="R188" s="3" t="str">
        <f t="shared" si="8"/>
        <v>Medium</v>
      </c>
    </row>
    <row r="189" spans="1:18" x14ac:dyDescent="0.25">
      <c r="A189" s="3">
        <v>10208</v>
      </c>
      <c r="B189" s="3">
        <v>1170</v>
      </c>
      <c r="C189" s="4">
        <v>45118</v>
      </c>
      <c r="D189" s="4">
        <v>45123</v>
      </c>
      <c r="E189" s="3" t="s">
        <v>45</v>
      </c>
      <c r="F189" s="3" t="s">
        <v>40</v>
      </c>
      <c r="G189" s="3" t="s">
        <v>23</v>
      </c>
      <c r="H189" s="3" t="s">
        <v>41</v>
      </c>
      <c r="I189" s="3" t="s">
        <v>51</v>
      </c>
      <c r="J189" s="3" t="s">
        <v>52</v>
      </c>
      <c r="K189" s="3" t="s">
        <v>27</v>
      </c>
      <c r="L189" s="3">
        <v>8</v>
      </c>
      <c r="M189" s="3">
        <v>953.07</v>
      </c>
      <c r="N189" s="3">
        <v>20</v>
      </c>
      <c r="O189" s="3">
        <f t="shared" si="6"/>
        <v>6099.648000000001</v>
      </c>
      <c r="P189" s="3" t="str">
        <f t="shared" si="7"/>
        <v>Low Price</v>
      </c>
      <c r="Q189" s="3" t="str" cm="1">
        <f t="array" ref="Q189">_xlfn.IFS(N189&gt;=10,"High",N189&gt;=5,"Medium",N189&lt;5,"Low")</f>
        <v>High</v>
      </c>
      <c r="R189" s="3" t="str">
        <f t="shared" si="8"/>
        <v>Medium</v>
      </c>
    </row>
    <row r="190" spans="1:18" x14ac:dyDescent="0.25">
      <c r="A190" s="3">
        <v>10209</v>
      </c>
      <c r="B190" s="3">
        <v>1540</v>
      </c>
      <c r="C190" s="4">
        <v>45187</v>
      </c>
      <c r="D190" s="4">
        <v>45193</v>
      </c>
      <c r="E190" s="3" t="s">
        <v>39</v>
      </c>
      <c r="F190" s="3" t="s">
        <v>15</v>
      </c>
      <c r="G190" s="3" t="s">
        <v>16</v>
      </c>
      <c r="H190" s="3" t="s">
        <v>41</v>
      </c>
      <c r="I190" s="3" t="s">
        <v>48</v>
      </c>
      <c r="J190" s="3" t="s">
        <v>49</v>
      </c>
      <c r="K190" s="3" t="s">
        <v>44</v>
      </c>
      <c r="L190" s="3">
        <v>8</v>
      </c>
      <c r="M190" s="3">
        <v>1291.1099999999999</v>
      </c>
      <c r="N190" s="3">
        <v>15</v>
      </c>
      <c r="O190" s="3">
        <f t="shared" si="6"/>
        <v>8779.5479999999989</v>
      </c>
      <c r="P190" s="3" t="str">
        <f t="shared" si="7"/>
        <v>Low Price</v>
      </c>
      <c r="Q190" s="3" t="str" cm="1">
        <f t="array" ref="Q190">_xlfn.IFS(N190&gt;=10,"High",N190&gt;=5,"Medium",N190&lt;5,"Low")</f>
        <v>High</v>
      </c>
      <c r="R190" s="3" t="str">
        <f t="shared" si="8"/>
        <v>Medium</v>
      </c>
    </row>
    <row r="191" spans="1:18" x14ac:dyDescent="0.25">
      <c r="A191" s="3">
        <v>10210</v>
      </c>
      <c r="B191" s="3">
        <v>1035</v>
      </c>
      <c r="C191" s="4">
        <v>45282</v>
      </c>
      <c r="D191" s="4">
        <v>45284</v>
      </c>
      <c r="E191" s="3" t="s">
        <v>14</v>
      </c>
      <c r="F191" s="3" t="s">
        <v>53</v>
      </c>
      <c r="G191" s="3" t="s">
        <v>29</v>
      </c>
      <c r="H191" s="3" t="s">
        <v>17</v>
      </c>
      <c r="I191" s="3" t="s">
        <v>18</v>
      </c>
      <c r="J191" s="3" t="s">
        <v>19</v>
      </c>
      <c r="K191" s="3" t="s">
        <v>44</v>
      </c>
      <c r="L191" s="3">
        <v>8</v>
      </c>
      <c r="M191" s="3">
        <v>3656.59</v>
      </c>
      <c r="N191" s="3">
        <v>15</v>
      </c>
      <c r="O191" s="3">
        <f t="shared" si="6"/>
        <v>24864.812000000002</v>
      </c>
      <c r="P191" s="3" t="str">
        <f t="shared" si="7"/>
        <v>High Price</v>
      </c>
      <c r="Q191" s="3" t="str" cm="1">
        <f t="array" ref="Q191">_xlfn.IFS(N191&gt;=10,"High",N191&gt;=5,"Medium",N191&lt;5,"Low")</f>
        <v>High</v>
      </c>
      <c r="R191" s="3" t="str">
        <f t="shared" si="8"/>
        <v>Medium</v>
      </c>
    </row>
    <row r="192" spans="1:18" x14ac:dyDescent="0.25">
      <c r="A192" s="3">
        <v>10211</v>
      </c>
      <c r="B192" s="3">
        <v>1524</v>
      </c>
      <c r="C192" s="4">
        <v>44996</v>
      </c>
      <c r="D192" s="4">
        <v>45000</v>
      </c>
      <c r="E192" s="3" t="s">
        <v>21</v>
      </c>
      <c r="F192" s="3" t="s">
        <v>22</v>
      </c>
      <c r="G192" s="3" t="s">
        <v>23</v>
      </c>
      <c r="H192" s="3" t="s">
        <v>41</v>
      </c>
      <c r="I192" s="3" t="s">
        <v>48</v>
      </c>
      <c r="J192" s="3" t="s">
        <v>50</v>
      </c>
      <c r="K192" s="3" t="s">
        <v>20</v>
      </c>
      <c r="L192" s="3">
        <v>7</v>
      </c>
      <c r="M192" s="3">
        <v>2257.5500000000002</v>
      </c>
      <c r="N192" s="3">
        <v>10</v>
      </c>
      <c r="O192" s="3">
        <f t="shared" si="6"/>
        <v>14222.565000000002</v>
      </c>
      <c r="P192" s="3" t="str">
        <f t="shared" si="7"/>
        <v>Low Price</v>
      </c>
      <c r="Q192" s="3" t="str" cm="1">
        <f t="array" ref="Q192">_xlfn.IFS(N192&gt;=10,"High",N192&gt;=5,"Medium",N192&lt;5,"Low")</f>
        <v>High</v>
      </c>
      <c r="R192" s="3" t="str">
        <f t="shared" si="8"/>
        <v>Medium</v>
      </c>
    </row>
    <row r="193" spans="1:18" x14ac:dyDescent="0.25">
      <c r="A193" s="3">
        <v>10212</v>
      </c>
      <c r="B193" s="3">
        <v>1159</v>
      </c>
      <c r="C193" s="4">
        <v>45016</v>
      </c>
      <c r="D193" s="4">
        <v>45019</v>
      </c>
      <c r="E193" s="3" t="s">
        <v>15</v>
      </c>
      <c r="F193" s="3" t="s">
        <v>28</v>
      </c>
      <c r="G193" s="3" t="s">
        <v>29</v>
      </c>
      <c r="H193" s="3" t="s">
        <v>43</v>
      </c>
      <c r="I193" s="3" t="s">
        <v>25</v>
      </c>
      <c r="J193" s="3" t="s">
        <v>60</v>
      </c>
      <c r="K193" s="3" t="s">
        <v>32</v>
      </c>
      <c r="L193" s="3">
        <v>1</v>
      </c>
      <c r="M193" s="3">
        <v>2975.54</v>
      </c>
      <c r="N193" s="3">
        <v>15</v>
      </c>
      <c r="O193" s="3">
        <f t="shared" si="6"/>
        <v>2529.2089999999998</v>
      </c>
      <c r="P193" s="3" t="str">
        <f t="shared" si="7"/>
        <v>Low Price</v>
      </c>
      <c r="Q193" s="3" t="str" cm="1">
        <f t="array" ref="Q193">_xlfn.IFS(N193&gt;=10,"High",N193&gt;=5,"Medium",N193&lt;5,"Low")</f>
        <v>High</v>
      </c>
      <c r="R193" s="3" t="str">
        <f t="shared" si="8"/>
        <v>Low</v>
      </c>
    </row>
    <row r="194" spans="1:18" x14ac:dyDescent="0.25">
      <c r="A194" s="3">
        <v>10214</v>
      </c>
      <c r="B194" s="3">
        <v>1698</v>
      </c>
      <c r="C194" s="4">
        <v>45052</v>
      </c>
      <c r="D194" s="4">
        <v>45061</v>
      </c>
      <c r="E194" s="3" t="s">
        <v>36</v>
      </c>
      <c r="F194" s="3" t="s">
        <v>28</v>
      </c>
      <c r="G194" s="3" t="s">
        <v>23</v>
      </c>
      <c r="H194" s="3" t="s">
        <v>43</v>
      </c>
      <c r="I194" s="3" t="s">
        <v>48</v>
      </c>
      <c r="J194" s="3" t="s">
        <v>62</v>
      </c>
      <c r="K194" s="3" t="s">
        <v>46</v>
      </c>
      <c r="L194" s="3">
        <v>4</v>
      </c>
      <c r="M194" s="3">
        <v>1719.71</v>
      </c>
      <c r="N194" s="3">
        <v>15</v>
      </c>
      <c r="O194" s="3">
        <f t="shared" si="6"/>
        <v>5847.0140000000001</v>
      </c>
      <c r="P194" s="3" t="str">
        <f t="shared" si="7"/>
        <v>Low Price</v>
      </c>
      <c r="Q194" s="3" t="str" cm="1">
        <f t="array" ref="Q194">_xlfn.IFS(N194&gt;=10,"High",N194&gt;=5,"Medium",N194&lt;5,"Low")</f>
        <v>High</v>
      </c>
      <c r="R194" s="3" t="str">
        <f t="shared" si="8"/>
        <v>Low</v>
      </c>
    </row>
    <row r="195" spans="1:18" x14ac:dyDescent="0.25">
      <c r="A195" s="3">
        <v>10215</v>
      </c>
      <c r="B195" s="3">
        <v>1242</v>
      </c>
      <c r="C195" s="4">
        <v>45157</v>
      </c>
      <c r="D195" s="4">
        <v>45162</v>
      </c>
      <c r="E195" s="3" t="s">
        <v>14</v>
      </c>
      <c r="F195" s="3" t="s">
        <v>15</v>
      </c>
      <c r="G195" s="3" t="s">
        <v>16</v>
      </c>
      <c r="H195" s="3" t="s">
        <v>24</v>
      </c>
      <c r="I195" s="3" t="s">
        <v>25</v>
      </c>
      <c r="J195" s="3" t="s">
        <v>26</v>
      </c>
      <c r="K195" s="3" t="s">
        <v>20</v>
      </c>
      <c r="L195" s="3">
        <v>5</v>
      </c>
      <c r="M195" s="3">
        <v>633.42999999999995</v>
      </c>
      <c r="N195" s="3">
        <v>20</v>
      </c>
      <c r="O195" s="3">
        <f t="shared" ref="O195:O258" si="9">(L195*M195)*(1-N195/100)</f>
        <v>2533.7199999999998</v>
      </c>
      <c r="P195" s="3" t="str">
        <f t="shared" ref="P195:P258" si="10">IF(O195&gt;=15000,"High Price","Low Price")</f>
        <v>Low Price</v>
      </c>
      <c r="Q195" s="3" t="str" cm="1">
        <f t="array" ref="Q195">_xlfn.IFS(N195&gt;=10,"High",N195&gt;=5,"Medium",N195&lt;5,"Low")</f>
        <v>High</v>
      </c>
      <c r="R195" s="3" t="str">
        <f t="shared" ref="R195:R258" si="11">IF(L195&gt;8,"High",IF(L195&gt;4,"Medium","Low"))</f>
        <v>Medium</v>
      </c>
    </row>
    <row r="196" spans="1:18" x14ac:dyDescent="0.25">
      <c r="A196" s="3">
        <v>10216</v>
      </c>
      <c r="B196" s="3">
        <v>1085</v>
      </c>
      <c r="C196" s="4">
        <v>45221</v>
      </c>
      <c r="D196" s="4">
        <v>45227</v>
      </c>
      <c r="E196" s="3" t="s">
        <v>36</v>
      </c>
      <c r="F196" s="3" t="s">
        <v>22</v>
      </c>
      <c r="G196" s="3" t="s">
        <v>23</v>
      </c>
      <c r="H196" s="3" t="s">
        <v>17</v>
      </c>
      <c r="I196" s="3" t="s">
        <v>56</v>
      </c>
      <c r="J196" s="3" t="s">
        <v>66</v>
      </c>
      <c r="K196" s="3" t="s">
        <v>20</v>
      </c>
      <c r="L196" s="3">
        <v>6</v>
      </c>
      <c r="M196" s="3">
        <v>809.49</v>
      </c>
      <c r="N196" s="3">
        <v>5</v>
      </c>
      <c r="O196" s="3">
        <f t="shared" si="9"/>
        <v>4614.0929999999998</v>
      </c>
      <c r="P196" s="3" t="str">
        <f t="shared" si="10"/>
        <v>Low Price</v>
      </c>
      <c r="Q196" s="3" t="str" cm="1">
        <f t="array" ref="Q196">_xlfn.IFS(N196&gt;=10,"High",N196&gt;=5,"Medium",N196&lt;5,"Low")</f>
        <v>Medium</v>
      </c>
      <c r="R196" s="3" t="str">
        <f t="shared" si="11"/>
        <v>Medium</v>
      </c>
    </row>
    <row r="197" spans="1:18" x14ac:dyDescent="0.25">
      <c r="A197" s="3">
        <v>10217</v>
      </c>
      <c r="B197" s="3">
        <v>1795</v>
      </c>
      <c r="C197" s="4">
        <v>45055</v>
      </c>
      <c r="D197" s="4">
        <v>45057</v>
      </c>
      <c r="E197" s="3" t="s">
        <v>36</v>
      </c>
      <c r="F197" s="3" t="s">
        <v>40</v>
      </c>
      <c r="G197" s="3" t="s">
        <v>23</v>
      </c>
      <c r="H197" s="3" t="s">
        <v>41</v>
      </c>
      <c r="I197" s="3" t="s">
        <v>48</v>
      </c>
      <c r="J197" s="3" t="s">
        <v>49</v>
      </c>
      <c r="K197" s="3" t="s">
        <v>27</v>
      </c>
      <c r="L197" s="3">
        <v>4</v>
      </c>
      <c r="M197" s="3">
        <v>3335.32</v>
      </c>
      <c r="N197" s="3">
        <v>20</v>
      </c>
      <c r="O197" s="3">
        <f t="shared" si="9"/>
        <v>10673.024000000001</v>
      </c>
      <c r="P197" s="3" t="str">
        <f t="shared" si="10"/>
        <v>Low Price</v>
      </c>
      <c r="Q197" s="3" t="str" cm="1">
        <f t="array" ref="Q197">_xlfn.IFS(N197&gt;=10,"High",N197&gt;=5,"Medium",N197&lt;5,"Low")</f>
        <v>High</v>
      </c>
      <c r="R197" s="3" t="str">
        <f t="shared" si="11"/>
        <v>Low</v>
      </c>
    </row>
    <row r="198" spans="1:18" x14ac:dyDescent="0.25">
      <c r="A198" s="3">
        <v>10218</v>
      </c>
      <c r="B198" s="3">
        <v>1577</v>
      </c>
      <c r="C198" s="4">
        <v>45206</v>
      </c>
      <c r="D198" s="4">
        <v>45209</v>
      </c>
      <c r="E198" s="3" t="s">
        <v>36</v>
      </c>
      <c r="F198" s="3" t="s">
        <v>28</v>
      </c>
      <c r="G198" s="3" t="s">
        <v>16</v>
      </c>
      <c r="H198" s="3" t="s">
        <v>43</v>
      </c>
      <c r="I198" s="3" t="s">
        <v>25</v>
      </c>
      <c r="J198" s="3" t="s">
        <v>68</v>
      </c>
      <c r="K198" s="3" t="s">
        <v>44</v>
      </c>
      <c r="L198" s="3">
        <v>2</v>
      </c>
      <c r="M198" s="3">
        <v>2401.63</v>
      </c>
      <c r="N198" s="3">
        <v>0</v>
      </c>
      <c r="O198" s="3">
        <f t="shared" si="9"/>
        <v>4803.26</v>
      </c>
      <c r="P198" s="3" t="str">
        <f t="shared" si="10"/>
        <v>Low Price</v>
      </c>
      <c r="Q198" s="3" t="str" cm="1">
        <f t="array" ref="Q198">_xlfn.IFS(N198&gt;=10,"High",N198&gt;=5,"Medium",N198&lt;5,"Low")</f>
        <v>Low</v>
      </c>
      <c r="R198" s="3" t="str">
        <f t="shared" si="11"/>
        <v>Low</v>
      </c>
    </row>
    <row r="199" spans="1:18" x14ac:dyDescent="0.25">
      <c r="A199" s="3">
        <v>10220</v>
      </c>
      <c r="B199" s="3">
        <v>1556</v>
      </c>
      <c r="C199" s="4">
        <v>45026</v>
      </c>
      <c r="D199" s="4">
        <v>45035</v>
      </c>
      <c r="E199" s="3" t="s">
        <v>36</v>
      </c>
      <c r="F199" s="3" t="s">
        <v>15</v>
      </c>
      <c r="G199" s="3" t="s">
        <v>23</v>
      </c>
      <c r="H199" s="3" t="s">
        <v>17</v>
      </c>
      <c r="I199" s="3" t="s">
        <v>18</v>
      </c>
      <c r="J199" s="3" t="s">
        <v>54</v>
      </c>
      <c r="K199" s="3" t="s">
        <v>20</v>
      </c>
      <c r="L199" s="3">
        <v>8</v>
      </c>
      <c r="M199" s="3">
        <v>3240.98</v>
      </c>
      <c r="N199" s="3">
        <v>0</v>
      </c>
      <c r="O199" s="3">
        <f t="shared" si="9"/>
        <v>25927.84</v>
      </c>
      <c r="P199" s="3" t="str">
        <f t="shared" si="10"/>
        <v>High Price</v>
      </c>
      <c r="Q199" s="3" t="str" cm="1">
        <f t="array" ref="Q199">_xlfn.IFS(N199&gt;=10,"High",N199&gt;=5,"Medium",N199&lt;5,"Low")</f>
        <v>Low</v>
      </c>
      <c r="R199" s="3" t="str">
        <f t="shared" si="11"/>
        <v>Medium</v>
      </c>
    </row>
    <row r="200" spans="1:18" x14ac:dyDescent="0.25">
      <c r="A200" s="3">
        <v>10222</v>
      </c>
      <c r="B200" s="3">
        <v>1952</v>
      </c>
      <c r="C200" s="4">
        <v>45223</v>
      </c>
      <c r="D200" s="4">
        <v>45231</v>
      </c>
      <c r="E200" s="3" t="s">
        <v>15</v>
      </c>
      <c r="F200" s="3" t="s">
        <v>15</v>
      </c>
      <c r="G200" s="3" t="s">
        <v>23</v>
      </c>
      <c r="H200" s="3" t="s">
        <v>43</v>
      </c>
      <c r="I200" s="3" t="s">
        <v>48</v>
      </c>
      <c r="J200" s="3" t="s">
        <v>50</v>
      </c>
      <c r="K200" s="3" t="s">
        <v>20</v>
      </c>
      <c r="L200" s="3">
        <v>7</v>
      </c>
      <c r="M200" s="3">
        <v>3907.73</v>
      </c>
      <c r="N200" s="3">
        <v>10</v>
      </c>
      <c r="O200" s="3">
        <f t="shared" si="9"/>
        <v>24618.699000000001</v>
      </c>
      <c r="P200" s="3" t="str">
        <f t="shared" si="10"/>
        <v>High Price</v>
      </c>
      <c r="Q200" s="3" t="str" cm="1">
        <f t="array" ref="Q200">_xlfn.IFS(N200&gt;=10,"High",N200&gt;=5,"Medium",N200&lt;5,"Low")</f>
        <v>High</v>
      </c>
      <c r="R200" s="3" t="str">
        <f t="shared" si="11"/>
        <v>Medium</v>
      </c>
    </row>
    <row r="201" spans="1:18" x14ac:dyDescent="0.25">
      <c r="A201" s="3">
        <v>10223</v>
      </c>
      <c r="B201" s="3">
        <v>1645</v>
      </c>
      <c r="C201" s="4">
        <v>45108</v>
      </c>
      <c r="D201" s="4">
        <v>45117</v>
      </c>
      <c r="E201" s="3" t="s">
        <v>45</v>
      </c>
      <c r="F201" s="3" t="s">
        <v>53</v>
      </c>
      <c r="G201" s="3" t="s">
        <v>16</v>
      </c>
      <c r="H201" s="3" t="s">
        <v>24</v>
      </c>
      <c r="I201" s="3" t="s">
        <v>56</v>
      </c>
      <c r="J201" s="3" t="s">
        <v>58</v>
      </c>
      <c r="K201" s="3" t="s">
        <v>46</v>
      </c>
      <c r="L201" s="3">
        <v>6</v>
      </c>
      <c r="M201" s="3">
        <v>1477.55</v>
      </c>
      <c r="N201" s="3">
        <v>10</v>
      </c>
      <c r="O201" s="3">
        <f t="shared" si="9"/>
        <v>7978.7699999999995</v>
      </c>
      <c r="P201" s="3" t="str">
        <f t="shared" si="10"/>
        <v>Low Price</v>
      </c>
      <c r="Q201" s="3" t="str" cm="1">
        <f t="array" ref="Q201">_xlfn.IFS(N201&gt;=10,"High",N201&gt;=5,"Medium",N201&lt;5,"Low")</f>
        <v>High</v>
      </c>
      <c r="R201" s="3" t="str">
        <f t="shared" si="11"/>
        <v>Medium</v>
      </c>
    </row>
    <row r="202" spans="1:18" x14ac:dyDescent="0.25">
      <c r="A202" s="3">
        <v>10226</v>
      </c>
      <c r="B202" s="3">
        <v>1619</v>
      </c>
      <c r="C202" s="4">
        <v>45290</v>
      </c>
      <c r="D202" s="4">
        <v>45291</v>
      </c>
      <c r="E202" s="3" t="s">
        <v>36</v>
      </c>
      <c r="F202" s="3" t="s">
        <v>37</v>
      </c>
      <c r="G202" s="3" t="s">
        <v>16</v>
      </c>
      <c r="H202" s="3" t="s">
        <v>41</v>
      </c>
      <c r="I202" s="3" t="s">
        <v>48</v>
      </c>
      <c r="J202" s="3" t="s">
        <v>62</v>
      </c>
      <c r="K202" s="3" t="s">
        <v>44</v>
      </c>
      <c r="L202" s="3">
        <v>5</v>
      </c>
      <c r="M202" s="3">
        <v>620.13</v>
      </c>
      <c r="N202" s="3">
        <v>5</v>
      </c>
      <c r="O202" s="3">
        <f t="shared" si="9"/>
        <v>2945.6174999999998</v>
      </c>
      <c r="P202" s="3" t="str">
        <f t="shared" si="10"/>
        <v>Low Price</v>
      </c>
      <c r="Q202" s="3" t="str" cm="1">
        <f t="array" ref="Q202">_xlfn.IFS(N202&gt;=10,"High",N202&gt;=5,"Medium",N202&lt;5,"Low")</f>
        <v>Medium</v>
      </c>
      <c r="R202" s="3" t="str">
        <f t="shared" si="11"/>
        <v>Medium</v>
      </c>
    </row>
    <row r="203" spans="1:18" x14ac:dyDescent="0.25">
      <c r="A203" s="3">
        <v>10229</v>
      </c>
      <c r="B203" s="3">
        <v>1797</v>
      </c>
      <c r="C203" s="4">
        <v>44957</v>
      </c>
      <c r="D203" s="4">
        <v>44959</v>
      </c>
      <c r="E203" s="3" t="s">
        <v>15</v>
      </c>
      <c r="F203" s="3" t="s">
        <v>53</v>
      </c>
      <c r="G203" s="3" t="s">
        <v>29</v>
      </c>
      <c r="H203" s="3" t="s">
        <v>43</v>
      </c>
      <c r="I203" s="3" t="s">
        <v>48</v>
      </c>
      <c r="J203" s="3" t="s">
        <v>67</v>
      </c>
      <c r="K203" s="3" t="s">
        <v>32</v>
      </c>
      <c r="L203" s="3">
        <v>8</v>
      </c>
      <c r="M203" s="3">
        <v>3519.2</v>
      </c>
      <c r="N203" s="3">
        <v>0</v>
      </c>
      <c r="O203" s="3">
        <f t="shared" si="9"/>
        <v>28153.599999999999</v>
      </c>
      <c r="P203" s="3" t="str">
        <f t="shared" si="10"/>
        <v>High Price</v>
      </c>
      <c r="Q203" s="3" t="str" cm="1">
        <f t="array" ref="Q203">_xlfn.IFS(N203&gt;=10,"High",N203&gt;=5,"Medium",N203&lt;5,"Low")</f>
        <v>Low</v>
      </c>
      <c r="R203" s="3" t="str">
        <f t="shared" si="11"/>
        <v>Medium</v>
      </c>
    </row>
    <row r="204" spans="1:18" x14ac:dyDescent="0.25">
      <c r="A204" s="3">
        <v>10232</v>
      </c>
      <c r="B204" s="3">
        <v>1639</v>
      </c>
      <c r="C204" s="4">
        <v>44962</v>
      </c>
      <c r="D204" s="4">
        <v>44969</v>
      </c>
      <c r="E204" s="3" t="s">
        <v>21</v>
      </c>
      <c r="F204" s="3" t="s">
        <v>28</v>
      </c>
      <c r="G204" s="3" t="s">
        <v>16</v>
      </c>
      <c r="H204" s="3" t="s">
        <v>17</v>
      </c>
      <c r="I204" s="3" t="s">
        <v>56</v>
      </c>
      <c r="J204" s="3" t="s">
        <v>58</v>
      </c>
      <c r="K204" s="3" t="s">
        <v>20</v>
      </c>
      <c r="L204" s="3">
        <v>1</v>
      </c>
      <c r="M204" s="3">
        <v>2250.4899999999998</v>
      </c>
      <c r="N204" s="3">
        <v>15</v>
      </c>
      <c r="O204" s="3">
        <f t="shared" si="9"/>
        <v>1912.9164999999998</v>
      </c>
      <c r="P204" s="3" t="str">
        <f t="shared" si="10"/>
        <v>Low Price</v>
      </c>
      <c r="Q204" s="3" t="str" cm="1">
        <f t="array" ref="Q204">_xlfn.IFS(N204&gt;=10,"High",N204&gt;=5,"Medium",N204&lt;5,"Low")</f>
        <v>High</v>
      </c>
      <c r="R204" s="3" t="str">
        <f t="shared" si="11"/>
        <v>Low</v>
      </c>
    </row>
    <row r="205" spans="1:18" x14ac:dyDescent="0.25">
      <c r="A205" s="3">
        <v>10233</v>
      </c>
      <c r="B205" s="3">
        <v>1505</v>
      </c>
      <c r="C205" s="4">
        <v>45139</v>
      </c>
      <c r="D205" s="4">
        <v>45143</v>
      </c>
      <c r="E205" s="3" t="s">
        <v>15</v>
      </c>
      <c r="F205" s="3" t="s">
        <v>40</v>
      </c>
      <c r="G205" s="3" t="s">
        <v>16</v>
      </c>
      <c r="H205" s="3" t="s">
        <v>43</v>
      </c>
      <c r="I205" s="3" t="s">
        <v>18</v>
      </c>
      <c r="J205" s="3" t="s">
        <v>54</v>
      </c>
      <c r="K205" s="3" t="s">
        <v>46</v>
      </c>
      <c r="L205" s="3">
        <v>1</v>
      </c>
      <c r="M205" s="3">
        <v>556.53</v>
      </c>
      <c r="N205" s="3">
        <v>5</v>
      </c>
      <c r="O205" s="3">
        <f t="shared" si="9"/>
        <v>528.70349999999996</v>
      </c>
      <c r="P205" s="3" t="str">
        <f t="shared" si="10"/>
        <v>Low Price</v>
      </c>
      <c r="Q205" s="3" t="str" cm="1">
        <f t="array" ref="Q205">_xlfn.IFS(N205&gt;=10,"High",N205&gt;=5,"Medium",N205&lt;5,"Low")</f>
        <v>Medium</v>
      </c>
      <c r="R205" s="3" t="str">
        <f t="shared" si="11"/>
        <v>Low</v>
      </c>
    </row>
    <row r="206" spans="1:18" x14ac:dyDescent="0.25">
      <c r="A206" s="3">
        <v>10234</v>
      </c>
      <c r="B206" s="3">
        <v>1347</v>
      </c>
      <c r="C206" s="4">
        <v>45290</v>
      </c>
      <c r="D206" s="4">
        <v>45295</v>
      </c>
      <c r="E206" s="3" t="s">
        <v>36</v>
      </c>
      <c r="F206" s="3" t="s">
        <v>15</v>
      </c>
      <c r="G206" s="3" t="s">
        <v>29</v>
      </c>
      <c r="H206" s="3" t="s">
        <v>43</v>
      </c>
      <c r="I206" s="3" t="s">
        <v>30</v>
      </c>
      <c r="J206" s="3" t="s">
        <v>47</v>
      </c>
      <c r="K206" s="3" t="s">
        <v>32</v>
      </c>
      <c r="L206" s="3">
        <v>7</v>
      </c>
      <c r="M206" s="3">
        <v>324.38</v>
      </c>
      <c r="N206" s="3">
        <v>10</v>
      </c>
      <c r="O206" s="3">
        <f t="shared" si="9"/>
        <v>2043.5939999999998</v>
      </c>
      <c r="P206" s="3" t="str">
        <f t="shared" si="10"/>
        <v>Low Price</v>
      </c>
      <c r="Q206" s="3" t="str" cm="1">
        <f t="array" ref="Q206">_xlfn.IFS(N206&gt;=10,"High",N206&gt;=5,"Medium",N206&lt;5,"Low")</f>
        <v>High</v>
      </c>
      <c r="R206" s="3" t="str">
        <f t="shared" si="11"/>
        <v>Medium</v>
      </c>
    </row>
    <row r="207" spans="1:18" x14ac:dyDescent="0.25">
      <c r="A207" s="3">
        <v>10235</v>
      </c>
      <c r="B207" s="3">
        <v>1472</v>
      </c>
      <c r="C207" s="4">
        <v>45032</v>
      </c>
      <c r="D207" s="4">
        <v>45040</v>
      </c>
      <c r="E207" s="3" t="s">
        <v>39</v>
      </c>
      <c r="F207" s="3" t="s">
        <v>28</v>
      </c>
      <c r="G207" s="3" t="s">
        <v>16</v>
      </c>
      <c r="H207" s="3" t="s">
        <v>34</v>
      </c>
      <c r="I207" s="3" t="s">
        <v>51</v>
      </c>
      <c r="J207" s="3" t="s">
        <v>59</v>
      </c>
      <c r="K207" s="3" t="s">
        <v>46</v>
      </c>
      <c r="L207" s="3">
        <v>9</v>
      </c>
      <c r="M207" s="3">
        <v>2677.09</v>
      </c>
      <c r="N207" s="3">
        <v>10</v>
      </c>
      <c r="O207" s="3">
        <f t="shared" si="9"/>
        <v>21684.429</v>
      </c>
      <c r="P207" s="3" t="str">
        <f t="shared" si="10"/>
        <v>High Price</v>
      </c>
      <c r="Q207" s="3" t="str" cm="1">
        <f t="array" ref="Q207">_xlfn.IFS(N207&gt;=10,"High",N207&gt;=5,"Medium",N207&lt;5,"Low")</f>
        <v>High</v>
      </c>
      <c r="R207" s="3" t="str">
        <f t="shared" si="11"/>
        <v>High</v>
      </c>
    </row>
    <row r="208" spans="1:18" x14ac:dyDescent="0.25">
      <c r="A208" s="3">
        <v>10238</v>
      </c>
      <c r="B208" s="3">
        <v>1224</v>
      </c>
      <c r="C208" s="4">
        <v>45089</v>
      </c>
      <c r="D208" s="4">
        <v>45093</v>
      </c>
      <c r="E208" s="3" t="s">
        <v>33</v>
      </c>
      <c r="F208" s="3" t="s">
        <v>37</v>
      </c>
      <c r="G208" s="3" t="s">
        <v>23</v>
      </c>
      <c r="H208" s="3" t="s">
        <v>34</v>
      </c>
      <c r="I208" s="3" t="s">
        <v>56</v>
      </c>
      <c r="J208" s="3" t="s">
        <v>61</v>
      </c>
      <c r="K208" s="3" t="s">
        <v>44</v>
      </c>
      <c r="L208" s="3">
        <v>8</v>
      </c>
      <c r="M208" s="3">
        <v>284.52</v>
      </c>
      <c r="N208" s="3">
        <v>15</v>
      </c>
      <c r="O208" s="3">
        <f t="shared" si="9"/>
        <v>1934.7359999999999</v>
      </c>
      <c r="P208" s="3" t="str">
        <f t="shared" si="10"/>
        <v>Low Price</v>
      </c>
      <c r="Q208" s="3" t="str" cm="1">
        <f t="array" ref="Q208">_xlfn.IFS(N208&gt;=10,"High",N208&gt;=5,"Medium",N208&lt;5,"Low")</f>
        <v>High</v>
      </c>
      <c r="R208" s="3" t="str">
        <f t="shared" si="11"/>
        <v>Medium</v>
      </c>
    </row>
    <row r="209" spans="1:18" x14ac:dyDescent="0.25">
      <c r="A209" s="3">
        <v>10239</v>
      </c>
      <c r="B209" s="3">
        <v>1384</v>
      </c>
      <c r="C209" s="4">
        <v>45146</v>
      </c>
      <c r="D209" s="4">
        <v>45149</v>
      </c>
      <c r="E209" s="3" t="s">
        <v>33</v>
      </c>
      <c r="F209" s="3" t="s">
        <v>40</v>
      </c>
      <c r="G209" s="3" t="s">
        <v>23</v>
      </c>
      <c r="H209" s="3" t="s">
        <v>24</v>
      </c>
      <c r="I209" s="3" t="s">
        <v>48</v>
      </c>
      <c r="J209" s="3" t="s">
        <v>62</v>
      </c>
      <c r="K209" s="3" t="s">
        <v>46</v>
      </c>
      <c r="L209" s="3">
        <v>2</v>
      </c>
      <c r="M209" s="3">
        <v>3960.56</v>
      </c>
      <c r="N209" s="3">
        <v>10</v>
      </c>
      <c r="O209" s="3">
        <f t="shared" si="9"/>
        <v>7129.0079999999998</v>
      </c>
      <c r="P209" s="3" t="str">
        <f t="shared" si="10"/>
        <v>Low Price</v>
      </c>
      <c r="Q209" s="3" t="str" cm="1">
        <f t="array" ref="Q209">_xlfn.IFS(N209&gt;=10,"High",N209&gt;=5,"Medium",N209&lt;5,"Low")</f>
        <v>High</v>
      </c>
      <c r="R209" s="3" t="str">
        <f t="shared" si="11"/>
        <v>Low</v>
      </c>
    </row>
    <row r="210" spans="1:18" x14ac:dyDescent="0.25">
      <c r="A210" s="3">
        <v>10240</v>
      </c>
      <c r="B210" s="3">
        <v>1376</v>
      </c>
      <c r="C210" s="4">
        <v>45196</v>
      </c>
      <c r="D210" s="4">
        <v>45198</v>
      </c>
      <c r="E210" s="3" t="s">
        <v>15</v>
      </c>
      <c r="F210" s="3" t="s">
        <v>37</v>
      </c>
      <c r="G210" s="3" t="s">
        <v>16</v>
      </c>
      <c r="H210" s="3" t="s">
        <v>41</v>
      </c>
      <c r="I210" s="3" t="s">
        <v>56</v>
      </c>
      <c r="J210" s="3" t="s">
        <v>66</v>
      </c>
      <c r="K210" s="3" t="s">
        <v>44</v>
      </c>
      <c r="L210" s="3">
        <v>9</v>
      </c>
      <c r="M210" s="3">
        <v>265.58</v>
      </c>
      <c r="N210" s="3">
        <v>10</v>
      </c>
      <c r="O210" s="3">
        <f t="shared" si="9"/>
        <v>2151.1979999999999</v>
      </c>
      <c r="P210" s="3" t="str">
        <f t="shared" si="10"/>
        <v>Low Price</v>
      </c>
      <c r="Q210" s="3" t="str" cm="1">
        <f t="array" ref="Q210">_xlfn.IFS(N210&gt;=10,"High",N210&gt;=5,"Medium",N210&lt;5,"Low")</f>
        <v>High</v>
      </c>
      <c r="R210" s="3" t="str">
        <f t="shared" si="11"/>
        <v>High</v>
      </c>
    </row>
    <row r="211" spans="1:18" x14ac:dyDescent="0.25">
      <c r="A211" s="3">
        <v>10241</v>
      </c>
      <c r="B211" s="3">
        <v>1282</v>
      </c>
      <c r="C211" s="4">
        <v>45046</v>
      </c>
      <c r="D211" s="4">
        <v>45049</v>
      </c>
      <c r="E211" s="3" t="s">
        <v>39</v>
      </c>
      <c r="F211" s="3" t="s">
        <v>40</v>
      </c>
      <c r="G211" s="3" t="s">
        <v>29</v>
      </c>
      <c r="H211" s="3" t="s">
        <v>17</v>
      </c>
      <c r="I211" s="3" t="s">
        <v>18</v>
      </c>
      <c r="J211" s="3" t="s">
        <v>65</v>
      </c>
      <c r="K211" s="3" t="s">
        <v>32</v>
      </c>
      <c r="L211" s="3">
        <v>6</v>
      </c>
      <c r="M211" s="3">
        <v>1861.43</v>
      </c>
      <c r="N211" s="3">
        <v>0</v>
      </c>
      <c r="O211" s="3">
        <f t="shared" si="9"/>
        <v>11168.58</v>
      </c>
      <c r="P211" s="3" t="str">
        <f t="shared" si="10"/>
        <v>Low Price</v>
      </c>
      <c r="Q211" s="3" t="str" cm="1">
        <f t="array" ref="Q211">_xlfn.IFS(N211&gt;=10,"High",N211&gt;=5,"Medium",N211&lt;5,"Low")</f>
        <v>Low</v>
      </c>
      <c r="R211" s="3" t="str">
        <f t="shared" si="11"/>
        <v>Medium</v>
      </c>
    </row>
    <row r="212" spans="1:18" x14ac:dyDescent="0.25">
      <c r="A212" s="3">
        <v>10243</v>
      </c>
      <c r="B212" s="3">
        <v>1632</v>
      </c>
      <c r="C212" s="4">
        <v>45108</v>
      </c>
      <c r="D212" s="4">
        <v>45109</v>
      </c>
      <c r="E212" s="3" t="s">
        <v>36</v>
      </c>
      <c r="F212" s="3" t="s">
        <v>22</v>
      </c>
      <c r="G212" s="3" t="s">
        <v>29</v>
      </c>
      <c r="H212" s="3" t="s">
        <v>17</v>
      </c>
      <c r="I212" s="3" t="s">
        <v>56</v>
      </c>
      <c r="J212" s="3" t="s">
        <v>58</v>
      </c>
      <c r="K212" s="3" t="s">
        <v>27</v>
      </c>
      <c r="L212" s="3">
        <v>2</v>
      </c>
      <c r="M212" s="3">
        <v>601.53</v>
      </c>
      <c r="N212" s="3">
        <v>20</v>
      </c>
      <c r="O212" s="3">
        <f t="shared" si="9"/>
        <v>962.44799999999998</v>
      </c>
      <c r="P212" s="3" t="str">
        <f t="shared" si="10"/>
        <v>Low Price</v>
      </c>
      <c r="Q212" s="3" t="str" cm="1">
        <f t="array" ref="Q212">_xlfn.IFS(N212&gt;=10,"High",N212&gt;=5,"Medium",N212&lt;5,"Low")</f>
        <v>High</v>
      </c>
      <c r="R212" s="3" t="str">
        <f t="shared" si="11"/>
        <v>Low</v>
      </c>
    </row>
    <row r="213" spans="1:18" x14ac:dyDescent="0.25">
      <c r="A213" s="3">
        <v>10244</v>
      </c>
      <c r="B213" s="3">
        <v>1627</v>
      </c>
      <c r="C213" s="4">
        <v>45032</v>
      </c>
      <c r="D213" s="4">
        <v>45038</v>
      </c>
      <c r="E213" s="3" t="s">
        <v>33</v>
      </c>
      <c r="F213" s="3" t="s">
        <v>28</v>
      </c>
      <c r="G213" s="3" t="s">
        <v>16</v>
      </c>
      <c r="H213" s="3" t="s">
        <v>43</v>
      </c>
      <c r="I213" s="3" t="s">
        <v>51</v>
      </c>
      <c r="J213" s="3" t="s">
        <v>52</v>
      </c>
      <c r="K213" s="3" t="s">
        <v>44</v>
      </c>
      <c r="L213" s="3">
        <v>3</v>
      </c>
      <c r="M213" s="3">
        <v>800.89</v>
      </c>
      <c r="N213" s="3">
        <v>0</v>
      </c>
      <c r="O213" s="3">
        <f t="shared" si="9"/>
        <v>2402.67</v>
      </c>
      <c r="P213" s="3" t="str">
        <f t="shared" si="10"/>
        <v>Low Price</v>
      </c>
      <c r="Q213" s="3" t="str" cm="1">
        <f t="array" ref="Q213">_xlfn.IFS(N213&gt;=10,"High",N213&gt;=5,"Medium",N213&lt;5,"Low")</f>
        <v>Low</v>
      </c>
      <c r="R213" s="3" t="str">
        <f t="shared" si="11"/>
        <v>Low</v>
      </c>
    </row>
    <row r="214" spans="1:18" x14ac:dyDescent="0.25">
      <c r="A214" s="3">
        <v>10245</v>
      </c>
      <c r="B214" s="3">
        <v>1972</v>
      </c>
      <c r="C214" s="4">
        <v>45143</v>
      </c>
      <c r="D214" s="4">
        <v>45148</v>
      </c>
      <c r="E214" s="3" t="s">
        <v>14</v>
      </c>
      <c r="F214" s="3" t="s">
        <v>15</v>
      </c>
      <c r="G214" s="3" t="s">
        <v>29</v>
      </c>
      <c r="H214" s="3" t="s">
        <v>41</v>
      </c>
      <c r="I214" s="3" t="s">
        <v>48</v>
      </c>
      <c r="J214" s="3" t="s">
        <v>50</v>
      </c>
      <c r="K214" s="3" t="s">
        <v>46</v>
      </c>
      <c r="L214" s="3">
        <v>8</v>
      </c>
      <c r="M214" s="3">
        <v>1504.45</v>
      </c>
      <c r="N214" s="3">
        <v>20</v>
      </c>
      <c r="O214" s="3">
        <f t="shared" si="9"/>
        <v>9628.4800000000014</v>
      </c>
      <c r="P214" s="3" t="str">
        <f t="shared" si="10"/>
        <v>Low Price</v>
      </c>
      <c r="Q214" s="3" t="str" cm="1">
        <f t="array" ref="Q214">_xlfn.IFS(N214&gt;=10,"High",N214&gt;=5,"Medium",N214&lt;5,"Low")</f>
        <v>High</v>
      </c>
      <c r="R214" s="3" t="str">
        <f t="shared" si="11"/>
        <v>Medium</v>
      </c>
    </row>
    <row r="215" spans="1:18" x14ac:dyDescent="0.25">
      <c r="A215" s="3">
        <v>10246</v>
      </c>
      <c r="B215" s="3">
        <v>1744</v>
      </c>
      <c r="C215" s="4">
        <v>45131</v>
      </c>
      <c r="D215" s="4">
        <v>45139</v>
      </c>
      <c r="E215" s="3" t="s">
        <v>15</v>
      </c>
      <c r="F215" s="3" t="s">
        <v>28</v>
      </c>
      <c r="G215" s="3" t="s">
        <v>23</v>
      </c>
      <c r="H215" s="3" t="s">
        <v>24</v>
      </c>
      <c r="I215" s="3" t="s">
        <v>51</v>
      </c>
      <c r="J215" s="3" t="s">
        <v>52</v>
      </c>
      <c r="K215" s="3" t="s">
        <v>44</v>
      </c>
      <c r="L215" s="3">
        <v>1</v>
      </c>
      <c r="M215" s="3">
        <v>3082.45</v>
      </c>
      <c r="N215" s="3">
        <v>5</v>
      </c>
      <c r="O215" s="3">
        <f t="shared" si="9"/>
        <v>2928.3274999999999</v>
      </c>
      <c r="P215" s="3" t="str">
        <f t="shared" si="10"/>
        <v>Low Price</v>
      </c>
      <c r="Q215" s="3" t="str" cm="1">
        <f t="array" ref="Q215">_xlfn.IFS(N215&gt;=10,"High",N215&gt;=5,"Medium",N215&lt;5,"Low")</f>
        <v>Medium</v>
      </c>
      <c r="R215" s="3" t="str">
        <f t="shared" si="11"/>
        <v>Low</v>
      </c>
    </row>
    <row r="216" spans="1:18" x14ac:dyDescent="0.25">
      <c r="A216" s="3">
        <v>10247</v>
      </c>
      <c r="B216" s="3">
        <v>1258</v>
      </c>
      <c r="C216" s="4">
        <v>44996</v>
      </c>
      <c r="D216" s="4">
        <v>44998</v>
      </c>
      <c r="E216" s="3" t="s">
        <v>14</v>
      </c>
      <c r="F216" s="3" t="s">
        <v>53</v>
      </c>
      <c r="G216" s="3" t="s">
        <v>29</v>
      </c>
      <c r="H216" s="3" t="s">
        <v>34</v>
      </c>
      <c r="I216" s="3" t="s">
        <v>51</v>
      </c>
      <c r="J216" s="3" t="s">
        <v>63</v>
      </c>
      <c r="K216" s="3" t="s">
        <v>46</v>
      </c>
      <c r="L216" s="3">
        <v>7</v>
      </c>
      <c r="M216" s="3">
        <v>2102.27</v>
      </c>
      <c r="N216" s="3">
        <v>20</v>
      </c>
      <c r="O216" s="3">
        <f t="shared" si="9"/>
        <v>11772.712</v>
      </c>
      <c r="P216" s="3" t="str">
        <f t="shared" si="10"/>
        <v>Low Price</v>
      </c>
      <c r="Q216" s="3" t="str" cm="1">
        <f t="array" ref="Q216">_xlfn.IFS(N216&gt;=10,"High",N216&gt;=5,"Medium",N216&lt;5,"Low")</f>
        <v>High</v>
      </c>
      <c r="R216" s="3" t="str">
        <f t="shared" si="11"/>
        <v>Medium</v>
      </c>
    </row>
    <row r="217" spans="1:18" x14ac:dyDescent="0.25">
      <c r="A217" s="3">
        <v>10248</v>
      </c>
      <c r="B217" s="3">
        <v>1358</v>
      </c>
      <c r="C217" s="4">
        <v>44970</v>
      </c>
      <c r="D217" s="4">
        <v>44974</v>
      </c>
      <c r="E217" s="3" t="s">
        <v>21</v>
      </c>
      <c r="F217" s="3" t="s">
        <v>15</v>
      </c>
      <c r="G217" s="3" t="s">
        <v>29</v>
      </c>
      <c r="H217" s="3" t="s">
        <v>41</v>
      </c>
      <c r="I217" s="3" t="s">
        <v>30</v>
      </c>
      <c r="J217" s="3" t="s">
        <v>38</v>
      </c>
      <c r="K217" s="3" t="s">
        <v>20</v>
      </c>
      <c r="L217" s="3">
        <v>7</v>
      </c>
      <c r="M217" s="3">
        <v>2605.92</v>
      </c>
      <c r="N217" s="3">
        <v>20</v>
      </c>
      <c r="O217" s="3">
        <f t="shared" si="9"/>
        <v>14593.152000000002</v>
      </c>
      <c r="P217" s="3" t="str">
        <f t="shared" si="10"/>
        <v>Low Price</v>
      </c>
      <c r="Q217" s="3" t="str" cm="1">
        <f t="array" ref="Q217">_xlfn.IFS(N217&gt;=10,"High",N217&gt;=5,"Medium",N217&lt;5,"Low")</f>
        <v>High</v>
      </c>
      <c r="R217" s="3" t="str">
        <f t="shared" si="11"/>
        <v>Medium</v>
      </c>
    </row>
    <row r="218" spans="1:18" x14ac:dyDescent="0.25">
      <c r="A218" s="3">
        <v>10249</v>
      </c>
      <c r="B218" s="3">
        <v>1709</v>
      </c>
      <c r="C218" s="4">
        <v>45255</v>
      </c>
      <c r="D218" s="4">
        <v>45263</v>
      </c>
      <c r="E218" s="3" t="s">
        <v>45</v>
      </c>
      <c r="F218" s="3" t="s">
        <v>40</v>
      </c>
      <c r="G218" s="3" t="s">
        <v>16</v>
      </c>
      <c r="H218" s="3" t="s">
        <v>17</v>
      </c>
      <c r="I218" s="3" t="s">
        <v>30</v>
      </c>
      <c r="J218" s="3" t="s">
        <v>64</v>
      </c>
      <c r="K218" s="3" t="s">
        <v>44</v>
      </c>
      <c r="L218" s="3">
        <v>1</v>
      </c>
      <c r="M218" s="3">
        <v>3942.92</v>
      </c>
      <c r="N218" s="3">
        <v>0</v>
      </c>
      <c r="O218" s="3">
        <f t="shared" si="9"/>
        <v>3942.92</v>
      </c>
      <c r="P218" s="3" t="str">
        <f t="shared" si="10"/>
        <v>Low Price</v>
      </c>
      <c r="Q218" s="3" t="str" cm="1">
        <f t="array" ref="Q218">_xlfn.IFS(N218&gt;=10,"High",N218&gt;=5,"Medium",N218&lt;5,"Low")</f>
        <v>Low</v>
      </c>
      <c r="R218" s="3" t="str">
        <f t="shared" si="11"/>
        <v>Low</v>
      </c>
    </row>
    <row r="219" spans="1:18" x14ac:dyDescent="0.25">
      <c r="A219" s="3">
        <v>10251</v>
      </c>
      <c r="B219" s="3">
        <v>1410</v>
      </c>
      <c r="C219" s="4">
        <v>45154</v>
      </c>
      <c r="D219" s="4">
        <v>45155</v>
      </c>
      <c r="E219" s="3" t="s">
        <v>15</v>
      </c>
      <c r="F219" s="3" t="s">
        <v>22</v>
      </c>
      <c r="G219" s="3" t="s">
        <v>16</v>
      </c>
      <c r="H219" s="3" t="s">
        <v>24</v>
      </c>
      <c r="I219" s="3" t="s">
        <v>30</v>
      </c>
      <c r="J219" s="3" t="s">
        <v>47</v>
      </c>
      <c r="K219" s="3" t="s">
        <v>27</v>
      </c>
      <c r="L219" s="3">
        <v>8</v>
      </c>
      <c r="M219" s="3">
        <v>1822.29</v>
      </c>
      <c r="N219" s="3">
        <v>20</v>
      </c>
      <c r="O219" s="3">
        <f t="shared" si="9"/>
        <v>11662.656000000001</v>
      </c>
      <c r="P219" s="3" t="str">
        <f t="shared" si="10"/>
        <v>Low Price</v>
      </c>
      <c r="Q219" s="3" t="str" cm="1">
        <f t="array" ref="Q219">_xlfn.IFS(N219&gt;=10,"High",N219&gt;=5,"Medium",N219&lt;5,"Low")</f>
        <v>High</v>
      </c>
      <c r="R219" s="3" t="str">
        <f t="shared" si="11"/>
        <v>Medium</v>
      </c>
    </row>
    <row r="220" spans="1:18" x14ac:dyDescent="0.25">
      <c r="A220" s="3">
        <v>10252</v>
      </c>
      <c r="B220" s="3">
        <v>1648</v>
      </c>
      <c r="C220" s="4">
        <v>45110</v>
      </c>
      <c r="D220" s="4">
        <v>45114</v>
      </c>
      <c r="E220" s="3" t="s">
        <v>36</v>
      </c>
      <c r="F220" s="3" t="s">
        <v>37</v>
      </c>
      <c r="G220" s="3" t="s">
        <v>23</v>
      </c>
      <c r="H220" s="3" t="s">
        <v>41</v>
      </c>
      <c r="I220" s="3" t="s">
        <v>51</v>
      </c>
      <c r="J220" s="3" t="s">
        <v>59</v>
      </c>
      <c r="K220" s="3" t="s">
        <v>32</v>
      </c>
      <c r="L220" s="3">
        <v>4</v>
      </c>
      <c r="M220" s="3">
        <v>1868.8</v>
      </c>
      <c r="N220" s="3">
        <v>20</v>
      </c>
      <c r="O220" s="3">
        <f t="shared" si="9"/>
        <v>5980.16</v>
      </c>
      <c r="P220" s="3" t="str">
        <f t="shared" si="10"/>
        <v>Low Price</v>
      </c>
      <c r="Q220" s="3" t="str" cm="1">
        <f t="array" ref="Q220">_xlfn.IFS(N220&gt;=10,"High",N220&gt;=5,"Medium",N220&lt;5,"Low")</f>
        <v>High</v>
      </c>
      <c r="R220" s="3" t="str">
        <f t="shared" si="11"/>
        <v>Low</v>
      </c>
    </row>
    <row r="221" spans="1:18" x14ac:dyDescent="0.25">
      <c r="A221" s="3">
        <v>10253</v>
      </c>
      <c r="B221" s="3">
        <v>1317</v>
      </c>
      <c r="C221" s="4">
        <v>45033</v>
      </c>
      <c r="D221" s="4">
        <v>45034</v>
      </c>
      <c r="E221" s="3" t="s">
        <v>39</v>
      </c>
      <c r="F221" s="3" t="s">
        <v>40</v>
      </c>
      <c r="G221" s="3" t="s">
        <v>23</v>
      </c>
      <c r="H221" s="3" t="s">
        <v>34</v>
      </c>
      <c r="I221" s="3" t="s">
        <v>18</v>
      </c>
      <c r="J221" s="3" t="s">
        <v>19</v>
      </c>
      <c r="K221" s="3" t="s">
        <v>46</v>
      </c>
      <c r="L221" s="3">
        <v>5</v>
      </c>
      <c r="M221" s="3">
        <v>2532.27</v>
      </c>
      <c r="N221" s="3">
        <v>15</v>
      </c>
      <c r="O221" s="3">
        <f t="shared" si="9"/>
        <v>10762.147499999999</v>
      </c>
      <c r="P221" s="3" t="str">
        <f t="shared" si="10"/>
        <v>Low Price</v>
      </c>
      <c r="Q221" s="3" t="str" cm="1">
        <f t="array" ref="Q221">_xlfn.IFS(N221&gt;=10,"High",N221&gt;=5,"Medium",N221&lt;5,"Low")</f>
        <v>High</v>
      </c>
      <c r="R221" s="3" t="str">
        <f t="shared" si="11"/>
        <v>Medium</v>
      </c>
    </row>
    <row r="222" spans="1:18" x14ac:dyDescent="0.25">
      <c r="A222" s="3">
        <v>10254</v>
      </c>
      <c r="B222" s="3">
        <v>1676</v>
      </c>
      <c r="C222" s="4">
        <v>45010</v>
      </c>
      <c r="D222" s="4">
        <v>45012</v>
      </c>
      <c r="E222" s="3" t="s">
        <v>21</v>
      </c>
      <c r="F222" s="3" t="s">
        <v>15</v>
      </c>
      <c r="G222" s="3" t="s">
        <v>16</v>
      </c>
      <c r="H222" s="3" t="s">
        <v>41</v>
      </c>
      <c r="I222" s="3" t="s">
        <v>51</v>
      </c>
      <c r="J222" s="3" t="s">
        <v>63</v>
      </c>
      <c r="K222" s="3" t="s">
        <v>44</v>
      </c>
      <c r="L222" s="3">
        <v>2</v>
      </c>
      <c r="M222" s="3">
        <v>2711.66</v>
      </c>
      <c r="N222" s="3">
        <v>0</v>
      </c>
      <c r="O222" s="3">
        <f t="shared" si="9"/>
        <v>5423.32</v>
      </c>
      <c r="P222" s="3" t="str">
        <f t="shared" si="10"/>
        <v>Low Price</v>
      </c>
      <c r="Q222" s="3" t="str" cm="1">
        <f t="array" ref="Q222">_xlfn.IFS(N222&gt;=10,"High",N222&gt;=5,"Medium",N222&lt;5,"Low")</f>
        <v>Low</v>
      </c>
      <c r="R222" s="3" t="str">
        <f t="shared" si="11"/>
        <v>Low</v>
      </c>
    </row>
    <row r="223" spans="1:18" x14ac:dyDescent="0.25">
      <c r="A223" s="3">
        <v>10257</v>
      </c>
      <c r="B223" s="3">
        <v>1233</v>
      </c>
      <c r="C223" s="4">
        <v>45289</v>
      </c>
      <c r="D223" s="4">
        <v>45297</v>
      </c>
      <c r="E223" s="3" t="s">
        <v>39</v>
      </c>
      <c r="F223" s="3" t="s">
        <v>40</v>
      </c>
      <c r="G223" s="3" t="s">
        <v>23</v>
      </c>
      <c r="H223" s="3" t="s">
        <v>43</v>
      </c>
      <c r="I223" s="3" t="s">
        <v>30</v>
      </c>
      <c r="J223" s="3" t="s">
        <v>31</v>
      </c>
      <c r="K223" s="3" t="s">
        <v>46</v>
      </c>
      <c r="L223" s="3">
        <v>3</v>
      </c>
      <c r="M223" s="3">
        <v>240.6</v>
      </c>
      <c r="N223" s="3">
        <v>5</v>
      </c>
      <c r="O223" s="3">
        <f t="shared" si="9"/>
        <v>685.70999999999992</v>
      </c>
      <c r="P223" s="3" t="str">
        <f t="shared" si="10"/>
        <v>Low Price</v>
      </c>
      <c r="Q223" s="3" t="str" cm="1">
        <f t="array" ref="Q223">_xlfn.IFS(N223&gt;=10,"High",N223&gt;=5,"Medium",N223&lt;5,"Low")</f>
        <v>Medium</v>
      </c>
      <c r="R223" s="3" t="str">
        <f t="shared" si="11"/>
        <v>Low</v>
      </c>
    </row>
    <row r="224" spans="1:18" x14ac:dyDescent="0.25">
      <c r="A224" s="3">
        <v>10260</v>
      </c>
      <c r="B224" s="3">
        <v>1974</v>
      </c>
      <c r="C224" s="4">
        <v>45104</v>
      </c>
      <c r="D224" s="4">
        <v>45110</v>
      </c>
      <c r="E224" s="3" t="s">
        <v>21</v>
      </c>
      <c r="F224" s="3" t="s">
        <v>40</v>
      </c>
      <c r="G224" s="3" t="s">
        <v>16</v>
      </c>
      <c r="H224" s="3" t="s">
        <v>41</v>
      </c>
      <c r="I224" s="3" t="s">
        <v>30</v>
      </c>
      <c r="J224" s="3" t="s">
        <v>64</v>
      </c>
      <c r="K224" s="3" t="s">
        <v>27</v>
      </c>
      <c r="L224" s="3">
        <v>3</v>
      </c>
      <c r="M224" s="3">
        <v>647.32000000000005</v>
      </c>
      <c r="N224" s="3">
        <v>5</v>
      </c>
      <c r="O224" s="3">
        <f t="shared" si="9"/>
        <v>1844.8619999999999</v>
      </c>
      <c r="P224" s="3" t="str">
        <f t="shared" si="10"/>
        <v>Low Price</v>
      </c>
      <c r="Q224" s="3" t="str" cm="1">
        <f t="array" ref="Q224">_xlfn.IFS(N224&gt;=10,"High",N224&gt;=5,"Medium",N224&lt;5,"Low")</f>
        <v>Medium</v>
      </c>
      <c r="R224" s="3" t="str">
        <f t="shared" si="11"/>
        <v>Low</v>
      </c>
    </row>
    <row r="225" spans="1:18" x14ac:dyDescent="0.25">
      <c r="A225" s="3">
        <v>10261</v>
      </c>
      <c r="B225" s="3">
        <v>1826</v>
      </c>
      <c r="C225" s="4">
        <v>44933</v>
      </c>
      <c r="D225" s="4">
        <v>44936</v>
      </c>
      <c r="E225" s="3" t="s">
        <v>14</v>
      </c>
      <c r="F225" s="3" t="s">
        <v>53</v>
      </c>
      <c r="G225" s="3" t="s">
        <v>23</v>
      </c>
      <c r="H225" s="3" t="s">
        <v>24</v>
      </c>
      <c r="I225" s="3" t="s">
        <v>30</v>
      </c>
      <c r="J225" s="3" t="s">
        <v>31</v>
      </c>
      <c r="K225" s="3" t="s">
        <v>32</v>
      </c>
      <c r="L225" s="3">
        <v>2</v>
      </c>
      <c r="M225" s="3">
        <v>533.25</v>
      </c>
      <c r="N225" s="3">
        <v>0</v>
      </c>
      <c r="O225" s="3">
        <f t="shared" si="9"/>
        <v>1066.5</v>
      </c>
      <c r="P225" s="3" t="str">
        <f t="shared" si="10"/>
        <v>Low Price</v>
      </c>
      <c r="Q225" s="3" t="str" cm="1">
        <f t="array" ref="Q225">_xlfn.IFS(N225&gt;=10,"High",N225&gt;=5,"Medium",N225&lt;5,"Low")</f>
        <v>Low</v>
      </c>
      <c r="R225" s="3" t="str">
        <f t="shared" si="11"/>
        <v>Low</v>
      </c>
    </row>
    <row r="226" spans="1:18" x14ac:dyDescent="0.25">
      <c r="A226" s="3">
        <v>10262</v>
      </c>
      <c r="B226" s="3">
        <v>1373</v>
      </c>
      <c r="C226" s="4">
        <v>44996</v>
      </c>
      <c r="D226" s="4">
        <v>44998</v>
      </c>
      <c r="E226" s="3" t="s">
        <v>14</v>
      </c>
      <c r="F226" s="3" t="s">
        <v>22</v>
      </c>
      <c r="G226" s="3" t="s">
        <v>16</v>
      </c>
      <c r="H226" s="3" t="s">
        <v>43</v>
      </c>
      <c r="I226" s="3" t="s">
        <v>56</v>
      </c>
      <c r="J226" s="3" t="s">
        <v>58</v>
      </c>
      <c r="K226" s="3" t="s">
        <v>20</v>
      </c>
      <c r="L226" s="3">
        <v>7</v>
      </c>
      <c r="M226" s="3">
        <v>2472.29</v>
      </c>
      <c r="N226" s="3">
        <v>10</v>
      </c>
      <c r="O226" s="3">
        <f t="shared" si="9"/>
        <v>15575.427</v>
      </c>
      <c r="P226" s="3" t="str">
        <f t="shared" si="10"/>
        <v>High Price</v>
      </c>
      <c r="Q226" s="3" t="str" cm="1">
        <f t="array" ref="Q226">_xlfn.IFS(N226&gt;=10,"High",N226&gt;=5,"Medium",N226&lt;5,"Low")</f>
        <v>High</v>
      </c>
      <c r="R226" s="3" t="str">
        <f t="shared" si="11"/>
        <v>Medium</v>
      </c>
    </row>
    <row r="227" spans="1:18" x14ac:dyDescent="0.25">
      <c r="A227" s="3">
        <v>10263</v>
      </c>
      <c r="B227" s="3">
        <v>1671</v>
      </c>
      <c r="C227" s="4">
        <v>45053</v>
      </c>
      <c r="D227" s="4">
        <v>45059</v>
      </c>
      <c r="E227" s="3" t="s">
        <v>39</v>
      </c>
      <c r="F227" s="3" t="s">
        <v>37</v>
      </c>
      <c r="G227" s="3" t="s">
        <v>29</v>
      </c>
      <c r="H227" s="3" t="s">
        <v>34</v>
      </c>
      <c r="I227" s="3" t="s">
        <v>48</v>
      </c>
      <c r="J227" s="3" t="s">
        <v>62</v>
      </c>
      <c r="K227" s="3" t="s">
        <v>32</v>
      </c>
      <c r="L227" s="3">
        <v>7</v>
      </c>
      <c r="M227" s="3">
        <v>2165.86</v>
      </c>
      <c r="N227" s="3">
        <v>0</v>
      </c>
      <c r="O227" s="3">
        <f t="shared" si="9"/>
        <v>15161.02</v>
      </c>
      <c r="P227" s="3" t="str">
        <f t="shared" si="10"/>
        <v>High Price</v>
      </c>
      <c r="Q227" s="3" t="str" cm="1">
        <f t="array" ref="Q227">_xlfn.IFS(N227&gt;=10,"High",N227&gt;=5,"Medium",N227&lt;5,"Low")</f>
        <v>Low</v>
      </c>
      <c r="R227" s="3" t="str">
        <f t="shared" si="11"/>
        <v>Medium</v>
      </c>
    </row>
    <row r="228" spans="1:18" x14ac:dyDescent="0.25">
      <c r="A228" s="3">
        <v>10264</v>
      </c>
      <c r="B228" s="3">
        <v>1607</v>
      </c>
      <c r="C228" s="4">
        <v>45086</v>
      </c>
      <c r="D228" s="4">
        <v>45091</v>
      </c>
      <c r="E228" s="3" t="s">
        <v>14</v>
      </c>
      <c r="F228" s="3" t="s">
        <v>15</v>
      </c>
      <c r="G228" s="3" t="s">
        <v>29</v>
      </c>
      <c r="H228" s="3" t="s">
        <v>43</v>
      </c>
      <c r="I228" s="3" t="s">
        <v>51</v>
      </c>
      <c r="J228" s="3" t="s">
        <v>59</v>
      </c>
      <c r="K228" s="3" t="s">
        <v>46</v>
      </c>
      <c r="L228" s="3">
        <v>4</v>
      </c>
      <c r="M228" s="3">
        <v>1126.3</v>
      </c>
      <c r="N228" s="3">
        <v>20</v>
      </c>
      <c r="O228" s="3">
        <f t="shared" si="9"/>
        <v>3604.16</v>
      </c>
      <c r="P228" s="3" t="str">
        <f t="shared" si="10"/>
        <v>Low Price</v>
      </c>
      <c r="Q228" s="3" t="str" cm="1">
        <f t="array" ref="Q228">_xlfn.IFS(N228&gt;=10,"High",N228&gt;=5,"Medium",N228&lt;5,"Low")</f>
        <v>High</v>
      </c>
      <c r="R228" s="3" t="str">
        <f t="shared" si="11"/>
        <v>Low</v>
      </c>
    </row>
    <row r="229" spans="1:18" x14ac:dyDescent="0.25">
      <c r="A229" s="3">
        <v>10266</v>
      </c>
      <c r="B229" s="3">
        <v>1232</v>
      </c>
      <c r="C229" s="4">
        <v>45129</v>
      </c>
      <c r="D229" s="4">
        <v>45134</v>
      </c>
      <c r="E229" s="3" t="s">
        <v>39</v>
      </c>
      <c r="F229" s="3" t="s">
        <v>15</v>
      </c>
      <c r="G229" s="3" t="s">
        <v>29</v>
      </c>
      <c r="H229" s="3" t="s">
        <v>34</v>
      </c>
      <c r="I229" s="3" t="s">
        <v>25</v>
      </c>
      <c r="J229" s="3" t="s">
        <v>60</v>
      </c>
      <c r="K229" s="3" t="s">
        <v>32</v>
      </c>
      <c r="L229" s="3">
        <v>8</v>
      </c>
      <c r="M229" s="3">
        <v>2045.09</v>
      </c>
      <c r="N229" s="3">
        <v>10</v>
      </c>
      <c r="O229" s="3">
        <f t="shared" si="9"/>
        <v>14724.647999999999</v>
      </c>
      <c r="P229" s="3" t="str">
        <f t="shared" si="10"/>
        <v>Low Price</v>
      </c>
      <c r="Q229" s="3" t="str" cm="1">
        <f t="array" ref="Q229">_xlfn.IFS(N229&gt;=10,"High",N229&gt;=5,"Medium",N229&lt;5,"Low")</f>
        <v>High</v>
      </c>
      <c r="R229" s="3" t="str">
        <f t="shared" si="11"/>
        <v>Medium</v>
      </c>
    </row>
    <row r="230" spans="1:18" x14ac:dyDescent="0.25">
      <c r="A230" s="3">
        <v>10267</v>
      </c>
      <c r="B230" s="3">
        <v>1691</v>
      </c>
      <c r="C230" s="4">
        <v>45074</v>
      </c>
      <c r="D230" s="4">
        <v>45079</v>
      </c>
      <c r="E230" s="3" t="s">
        <v>39</v>
      </c>
      <c r="F230" s="3" t="s">
        <v>37</v>
      </c>
      <c r="G230" s="3" t="s">
        <v>29</v>
      </c>
      <c r="H230" s="3" t="s">
        <v>43</v>
      </c>
      <c r="I230" s="3" t="s">
        <v>51</v>
      </c>
      <c r="J230" s="3" t="s">
        <v>52</v>
      </c>
      <c r="K230" s="3" t="s">
        <v>46</v>
      </c>
      <c r="L230" s="3">
        <v>1</v>
      </c>
      <c r="M230" s="3">
        <v>900.78</v>
      </c>
      <c r="N230" s="3">
        <v>5</v>
      </c>
      <c r="O230" s="3">
        <f t="shared" si="9"/>
        <v>855.74099999999999</v>
      </c>
      <c r="P230" s="3" t="str">
        <f t="shared" si="10"/>
        <v>Low Price</v>
      </c>
      <c r="Q230" s="3" t="str" cm="1">
        <f t="array" ref="Q230">_xlfn.IFS(N230&gt;=10,"High",N230&gt;=5,"Medium",N230&lt;5,"Low")</f>
        <v>Medium</v>
      </c>
      <c r="R230" s="3" t="str">
        <f t="shared" si="11"/>
        <v>Low</v>
      </c>
    </row>
    <row r="231" spans="1:18" x14ac:dyDescent="0.25">
      <c r="A231" s="3">
        <v>10268</v>
      </c>
      <c r="B231" s="3">
        <v>1112</v>
      </c>
      <c r="C231" s="4">
        <v>45069</v>
      </c>
      <c r="D231" s="4">
        <v>45072</v>
      </c>
      <c r="E231" s="3" t="s">
        <v>36</v>
      </c>
      <c r="F231" s="3" t="s">
        <v>15</v>
      </c>
      <c r="G231" s="3" t="s">
        <v>29</v>
      </c>
      <c r="H231" s="3" t="s">
        <v>41</v>
      </c>
      <c r="I231" s="3" t="s">
        <v>30</v>
      </c>
      <c r="J231" s="3" t="s">
        <v>38</v>
      </c>
      <c r="K231" s="3" t="s">
        <v>27</v>
      </c>
      <c r="L231" s="3">
        <v>1</v>
      </c>
      <c r="M231" s="3">
        <v>2660.56</v>
      </c>
      <c r="N231" s="3">
        <v>10</v>
      </c>
      <c r="O231" s="3">
        <f t="shared" si="9"/>
        <v>2394.5039999999999</v>
      </c>
      <c r="P231" s="3" t="str">
        <f t="shared" si="10"/>
        <v>Low Price</v>
      </c>
      <c r="Q231" s="3" t="str" cm="1">
        <f t="array" ref="Q231">_xlfn.IFS(N231&gt;=10,"High",N231&gt;=5,"Medium",N231&lt;5,"Low")</f>
        <v>High</v>
      </c>
      <c r="R231" s="3" t="str">
        <f t="shared" si="11"/>
        <v>Low</v>
      </c>
    </row>
    <row r="232" spans="1:18" x14ac:dyDescent="0.25">
      <c r="A232" s="3">
        <v>10269</v>
      </c>
      <c r="B232" s="3">
        <v>1829</v>
      </c>
      <c r="C232" s="4">
        <v>45125</v>
      </c>
      <c r="D232" s="4">
        <v>45132</v>
      </c>
      <c r="E232" s="3" t="s">
        <v>14</v>
      </c>
      <c r="F232" s="3" t="s">
        <v>40</v>
      </c>
      <c r="G232" s="3" t="s">
        <v>23</v>
      </c>
      <c r="H232" s="3" t="s">
        <v>34</v>
      </c>
      <c r="I232" s="3" t="s">
        <v>48</v>
      </c>
      <c r="J232" s="3" t="s">
        <v>50</v>
      </c>
      <c r="K232" s="3" t="s">
        <v>46</v>
      </c>
      <c r="L232" s="3">
        <v>5</v>
      </c>
      <c r="M232" s="3">
        <v>3156.54</v>
      </c>
      <c r="N232" s="3">
        <v>20</v>
      </c>
      <c r="O232" s="3">
        <f t="shared" si="9"/>
        <v>12626.160000000002</v>
      </c>
      <c r="P232" s="3" t="str">
        <f t="shared" si="10"/>
        <v>Low Price</v>
      </c>
      <c r="Q232" s="3" t="str" cm="1">
        <f t="array" ref="Q232">_xlfn.IFS(N232&gt;=10,"High",N232&gt;=5,"Medium",N232&lt;5,"Low")</f>
        <v>High</v>
      </c>
      <c r="R232" s="3" t="str">
        <f t="shared" si="11"/>
        <v>Medium</v>
      </c>
    </row>
    <row r="233" spans="1:18" x14ac:dyDescent="0.25">
      <c r="A233" s="3">
        <v>10270</v>
      </c>
      <c r="B233" s="3">
        <v>1496</v>
      </c>
      <c r="C233" s="4">
        <v>45080</v>
      </c>
      <c r="D233" s="4">
        <v>45086</v>
      </c>
      <c r="E233" s="3" t="s">
        <v>21</v>
      </c>
      <c r="F233" s="3" t="s">
        <v>28</v>
      </c>
      <c r="G233" s="3" t="s">
        <v>23</v>
      </c>
      <c r="H233" s="3" t="s">
        <v>34</v>
      </c>
      <c r="I233" s="3" t="s">
        <v>30</v>
      </c>
      <c r="J233" s="3" t="s">
        <v>64</v>
      </c>
      <c r="K233" s="3" t="s">
        <v>44</v>
      </c>
      <c r="L233" s="3">
        <v>6</v>
      </c>
      <c r="M233" s="3">
        <v>3197.13</v>
      </c>
      <c r="N233" s="3">
        <v>10</v>
      </c>
      <c r="O233" s="3">
        <f t="shared" si="9"/>
        <v>17264.502</v>
      </c>
      <c r="P233" s="3" t="str">
        <f t="shared" si="10"/>
        <v>High Price</v>
      </c>
      <c r="Q233" s="3" t="str" cm="1">
        <f t="array" ref="Q233">_xlfn.IFS(N233&gt;=10,"High",N233&gt;=5,"Medium",N233&lt;5,"Low")</f>
        <v>High</v>
      </c>
      <c r="R233" s="3" t="str">
        <f t="shared" si="11"/>
        <v>Medium</v>
      </c>
    </row>
    <row r="234" spans="1:18" x14ac:dyDescent="0.25">
      <c r="A234" s="3">
        <v>10271</v>
      </c>
      <c r="B234" s="3">
        <v>1441</v>
      </c>
      <c r="C234" s="4">
        <v>45068</v>
      </c>
      <c r="D234" s="4">
        <v>45072</v>
      </c>
      <c r="E234" s="3" t="s">
        <v>39</v>
      </c>
      <c r="F234" s="3" t="s">
        <v>15</v>
      </c>
      <c r="G234" s="3" t="s">
        <v>29</v>
      </c>
      <c r="H234" s="3" t="s">
        <v>24</v>
      </c>
      <c r="I234" s="3" t="s">
        <v>18</v>
      </c>
      <c r="J234" s="3" t="s">
        <v>65</v>
      </c>
      <c r="K234" s="3" t="s">
        <v>46</v>
      </c>
      <c r="L234" s="3">
        <v>3</v>
      </c>
      <c r="M234" s="3">
        <v>2469.5100000000002</v>
      </c>
      <c r="N234" s="3">
        <v>0</v>
      </c>
      <c r="O234" s="3">
        <f t="shared" si="9"/>
        <v>7408.5300000000007</v>
      </c>
      <c r="P234" s="3" t="str">
        <f t="shared" si="10"/>
        <v>Low Price</v>
      </c>
      <c r="Q234" s="3" t="str" cm="1">
        <f t="array" ref="Q234">_xlfn.IFS(N234&gt;=10,"High",N234&gt;=5,"Medium",N234&lt;5,"Low")</f>
        <v>Low</v>
      </c>
      <c r="R234" s="3" t="str">
        <f t="shared" si="11"/>
        <v>Low</v>
      </c>
    </row>
    <row r="235" spans="1:18" x14ac:dyDescent="0.25">
      <c r="A235" s="3">
        <v>10273</v>
      </c>
      <c r="B235" s="3">
        <v>1267</v>
      </c>
      <c r="C235" s="4">
        <v>45091</v>
      </c>
      <c r="D235" s="4">
        <v>45100</v>
      </c>
      <c r="E235" s="3" t="s">
        <v>45</v>
      </c>
      <c r="F235" s="3" t="s">
        <v>53</v>
      </c>
      <c r="G235" s="3" t="s">
        <v>29</v>
      </c>
      <c r="H235" s="3" t="s">
        <v>17</v>
      </c>
      <c r="I235" s="3" t="s">
        <v>30</v>
      </c>
      <c r="J235" s="3" t="s">
        <v>38</v>
      </c>
      <c r="K235" s="3" t="s">
        <v>44</v>
      </c>
      <c r="L235" s="3">
        <v>6</v>
      </c>
      <c r="M235" s="3">
        <v>384.88</v>
      </c>
      <c r="N235" s="3">
        <v>5</v>
      </c>
      <c r="O235" s="3">
        <f t="shared" si="9"/>
        <v>2193.8159999999998</v>
      </c>
      <c r="P235" s="3" t="str">
        <f t="shared" si="10"/>
        <v>Low Price</v>
      </c>
      <c r="Q235" s="3" t="str" cm="1">
        <f t="array" ref="Q235">_xlfn.IFS(N235&gt;=10,"High",N235&gt;=5,"Medium",N235&lt;5,"Low")</f>
        <v>Medium</v>
      </c>
      <c r="R235" s="3" t="str">
        <f t="shared" si="11"/>
        <v>Medium</v>
      </c>
    </row>
    <row r="236" spans="1:18" x14ac:dyDescent="0.25">
      <c r="A236" s="3">
        <v>10274</v>
      </c>
      <c r="B236" s="3">
        <v>1509</v>
      </c>
      <c r="C236" s="4">
        <v>45240</v>
      </c>
      <c r="D236" s="4">
        <v>45241</v>
      </c>
      <c r="E236" s="3" t="s">
        <v>36</v>
      </c>
      <c r="F236" s="3" t="s">
        <v>15</v>
      </c>
      <c r="G236" s="3" t="s">
        <v>23</v>
      </c>
      <c r="H236" s="3" t="s">
        <v>43</v>
      </c>
      <c r="I236" s="3" t="s">
        <v>51</v>
      </c>
      <c r="J236" s="3" t="s">
        <v>59</v>
      </c>
      <c r="K236" s="3" t="s">
        <v>32</v>
      </c>
      <c r="L236" s="3">
        <v>4</v>
      </c>
      <c r="M236" s="3">
        <v>1258.1500000000001</v>
      </c>
      <c r="N236" s="3">
        <v>0</v>
      </c>
      <c r="O236" s="3">
        <f t="shared" si="9"/>
        <v>5032.6000000000004</v>
      </c>
      <c r="P236" s="3" t="str">
        <f t="shared" si="10"/>
        <v>Low Price</v>
      </c>
      <c r="Q236" s="3" t="str" cm="1">
        <f t="array" ref="Q236">_xlfn.IFS(N236&gt;=10,"High",N236&gt;=5,"Medium",N236&lt;5,"Low")</f>
        <v>Low</v>
      </c>
      <c r="R236" s="3" t="str">
        <f t="shared" si="11"/>
        <v>Low</v>
      </c>
    </row>
    <row r="237" spans="1:18" x14ac:dyDescent="0.25">
      <c r="A237" s="3">
        <v>10275</v>
      </c>
      <c r="B237" s="3">
        <v>1806</v>
      </c>
      <c r="C237" s="4">
        <v>44947</v>
      </c>
      <c r="D237" s="4">
        <v>44951</v>
      </c>
      <c r="E237" s="3" t="s">
        <v>15</v>
      </c>
      <c r="F237" s="3" t="s">
        <v>53</v>
      </c>
      <c r="G237" s="3" t="s">
        <v>23</v>
      </c>
      <c r="H237" s="3" t="s">
        <v>24</v>
      </c>
      <c r="I237" s="3" t="s">
        <v>51</v>
      </c>
      <c r="J237" s="3" t="s">
        <v>63</v>
      </c>
      <c r="K237" s="3" t="s">
        <v>32</v>
      </c>
      <c r="L237" s="3">
        <v>7</v>
      </c>
      <c r="M237" s="3">
        <v>509.1</v>
      </c>
      <c r="N237" s="3">
        <v>15</v>
      </c>
      <c r="O237" s="3">
        <f t="shared" si="9"/>
        <v>3029.145</v>
      </c>
      <c r="P237" s="3" t="str">
        <f t="shared" si="10"/>
        <v>Low Price</v>
      </c>
      <c r="Q237" s="3" t="str" cm="1">
        <f t="array" ref="Q237">_xlfn.IFS(N237&gt;=10,"High",N237&gt;=5,"Medium",N237&lt;5,"Low")</f>
        <v>High</v>
      </c>
      <c r="R237" s="3" t="str">
        <f t="shared" si="11"/>
        <v>Medium</v>
      </c>
    </row>
    <row r="238" spans="1:18" x14ac:dyDescent="0.25">
      <c r="A238" s="3">
        <v>10277</v>
      </c>
      <c r="B238" s="3">
        <v>1386</v>
      </c>
      <c r="C238" s="4">
        <v>44995</v>
      </c>
      <c r="D238" s="4">
        <v>45001</v>
      </c>
      <c r="E238" s="3" t="s">
        <v>39</v>
      </c>
      <c r="F238" s="3" t="s">
        <v>40</v>
      </c>
      <c r="G238" s="3" t="s">
        <v>29</v>
      </c>
      <c r="H238" s="3" t="s">
        <v>17</v>
      </c>
      <c r="I238" s="3" t="s">
        <v>25</v>
      </c>
      <c r="J238" s="3" t="s">
        <v>68</v>
      </c>
      <c r="K238" s="3" t="s">
        <v>44</v>
      </c>
      <c r="L238" s="3">
        <v>9</v>
      </c>
      <c r="M238" s="3">
        <v>670.06</v>
      </c>
      <c r="N238" s="3">
        <v>20</v>
      </c>
      <c r="O238" s="3">
        <f t="shared" si="9"/>
        <v>4824.4319999999998</v>
      </c>
      <c r="P238" s="3" t="str">
        <f t="shared" si="10"/>
        <v>Low Price</v>
      </c>
      <c r="Q238" s="3" t="str" cm="1">
        <f t="array" ref="Q238">_xlfn.IFS(N238&gt;=10,"High",N238&gt;=5,"Medium",N238&lt;5,"Low")</f>
        <v>High</v>
      </c>
      <c r="R238" s="3" t="str">
        <f t="shared" si="11"/>
        <v>High</v>
      </c>
    </row>
    <row r="239" spans="1:18" x14ac:dyDescent="0.25">
      <c r="A239" s="3">
        <v>10280</v>
      </c>
      <c r="B239" s="3">
        <v>1624</v>
      </c>
      <c r="C239" s="4">
        <v>45144</v>
      </c>
      <c r="D239" s="4">
        <v>45149</v>
      </c>
      <c r="E239" s="3" t="s">
        <v>45</v>
      </c>
      <c r="F239" s="3" t="s">
        <v>40</v>
      </c>
      <c r="G239" s="3" t="s">
        <v>23</v>
      </c>
      <c r="H239" s="3" t="s">
        <v>17</v>
      </c>
      <c r="I239" s="3" t="s">
        <v>48</v>
      </c>
      <c r="J239" s="3" t="s">
        <v>67</v>
      </c>
      <c r="K239" s="3" t="s">
        <v>32</v>
      </c>
      <c r="L239" s="3">
        <v>8</v>
      </c>
      <c r="M239" s="3">
        <v>3784.12</v>
      </c>
      <c r="N239" s="3">
        <v>15</v>
      </c>
      <c r="O239" s="3">
        <f t="shared" si="9"/>
        <v>25732.016</v>
      </c>
      <c r="P239" s="3" t="str">
        <f t="shared" si="10"/>
        <v>High Price</v>
      </c>
      <c r="Q239" s="3" t="str" cm="1">
        <f t="array" ref="Q239">_xlfn.IFS(N239&gt;=10,"High",N239&gt;=5,"Medium",N239&lt;5,"Low")</f>
        <v>High</v>
      </c>
      <c r="R239" s="3" t="str">
        <f t="shared" si="11"/>
        <v>Medium</v>
      </c>
    </row>
    <row r="240" spans="1:18" x14ac:dyDescent="0.25">
      <c r="A240" s="3">
        <v>10281</v>
      </c>
      <c r="B240" s="3">
        <v>1951</v>
      </c>
      <c r="C240" s="4">
        <v>45231</v>
      </c>
      <c r="D240" s="4">
        <v>45240</v>
      </c>
      <c r="E240" s="3" t="s">
        <v>45</v>
      </c>
      <c r="F240" s="3" t="s">
        <v>53</v>
      </c>
      <c r="G240" s="3" t="s">
        <v>29</v>
      </c>
      <c r="H240" s="3" t="s">
        <v>43</v>
      </c>
      <c r="I240" s="3" t="s">
        <v>25</v>
      </c>
      <c r="J240" s="3" t="s">
        <v>68</v>
      </c>
      <c r="K240" s="3" t="s">
        <v>20</v>
      </c>
      <c r="L240" s="3">
        <v>5</v>
      </c>
      <c r="M240" s="3">
        <v>3098.44</v>
      </c>
      <c r="N240" s="3">
        <v>0</v>
      </c>
      <c r="O240" s="3">
        <f t="shared" si="9"/>
        <v>15492.2</v>
      </c>
      <c r="P240" s="3" t="str">
        <f t="shared" si="10"/>
        <v>High Price</v>
      </c>
      <c r="Q240" s="3" t="str" cm="1">
        <f t="array" ref="Q240">_xlfn.IFS(N240&gt;=10,"High",N240&gt;=5,"Medium",N240&lt;5,"Low")</f>
        <v>Low</v>
      </c>
      <c r="R240" s="3" t="str">
        <f t="shared" si="11"/>
        <v>Medium</v>
      </c>
    </row>
    <row r="241" spans="1:18" x14ac:dyDescent="0.25">
      <c r="A241" s="3">
        <v>10286</v>
      </c>
      <c r="B241" s="3">
        <v>1641</v>
      </c>
      <c r="C241" s="4">
        <v>45043</v>
      </c>
      <c r="D241" s="4">
        <v>45050</v>
      </c>
      <c r="E241" s="3" t="s">
        <v>14</v>
      </c>
      <c r="F241" s="3" t="s">
        <v>28</v>
      </c>
      <c r="G241" s="3" t="s">
        <v>16</v>
      </c>
      <c r="H241" s="3" t="s">
        <v>43</v>
      </c>
      <c r="I241" s="3" t="s">
        <v>56</v>
      </c>
      <c r="J241" s="3" t="s">
        <v>57</v>
      </c>
      <c r="K241" s="3" t="s">
        <v>27</v>
      </c>
      <c r="L241" s="3">
        <v>6</v>
      </c>
      <c r="M241" s="3">
        <v>220.79</v>
      </c>
      <c r="N241" s="3">
        <v>5</v>
      </c>
      <c r="O241" s="3">
        <f t="shared" si="9"/>
        <v>1258.5029999999999</v>
      </c>
      <c r="P241" s="3" t="str">
        <f t="shared" si="10"/>
        <v>Low Price</v>
      </c>
      <c r="Q241" s="3" t="str" cm="1">
        <f t="array" ref="Q241">_xlfn.IFS(N241&gt;=10,"High",N241&gt;=5,"Medium",N241&lt;5,"Low")</f>
        <v>Medium</v>
      </c>
      <c r="R241" s="3" t="str">
        <f t="shared" si="11"/>
        <v>Medium</v>
      </c>
    </row>
    <row r="242" spans="1:18" x14ac:dyDescent="0.25">
      <c r="A242" s="3">
        <v>10287</v>
      </c>
      <c r="B242" s="3">
        <v>1219</v>
      </c>
      <c r="C242" s="4">
        <v>45122</v>
      </c>
      <c r="D242" s="4">
        <v>45125</v>
      </c>
      <c r="E242" s="3" t="s">
        <v>21</v>
      </c>
      <c r="F242" s="3" t="s">
        <v>37</v>
      </c>
      <c r="G242" s="3" t="s">
        <v>23</v>
      </c>
      <c r="H242" s="3" t="s">
        <v>17</v>
      </c>
      <c r="I242" s="3" t="s">
        <v>56</v>
      </c>
      <c r="J242" s="3" t="s">
        <v>66</v>
      </c>
      <c r="K242" s="3" t="s">
        <v>20</v>
      </c>
      <c r="L242" s="3">
        <v>6</v>
      </c>
      <c r="M242" s="3">
        <v>1936.66</v>
      </c>
      <c r="N242" s="3">
        <v>0</v>
      </c>
      <c r="O242" s="3">
        <f t="shared" si="9"/>
        <v>11619.960000000001</v>
      </c>
      <c r="P242" s="3" t="str">
        <f t="shared" si="10"/>
        <v>Low Price</v>
      </c>
      <c r="Q242" s="3" t="str" cm="1">
        <f t="array" ref="Q242">_xlfn.IFS(N242&gt;=10,"High",N242&gt;=5,"Medium",N242&lt;5,"Low")</f>
        <v>Low</v>
      </c>
      <c r="R242" s="3" t="str">
        <f t="shared" si="11"/>
        <v>Medium</v>
      </c>
    </row>
    <row r="243" spans="1:18" x14ac:dyDescent="0.25">
      <c r="A243" s="3">
        <v>10289</v>
      </c>
      <c r="B243" s="3">
        <v>1854</v>
      </c>
      <c r="C243" s="4">
        <v>45012</v>
      </c>
      <c r="D243" s="4">
        <v>45014</v>
      </c>
      <c r="E243" s="3" t="s">
        <v>36</v>
      </c>
      <c r="F243" s="3" t="s">
        <v>53</v>
      </c>
      <c r="G243" s="3" t="s">
        <v>16</v>
      </c>
      <c r="H243" s="3" t="s">
        <v>24</v>
      </c>
      <c r="I243" s="3" t="s">
        <v>56</v>
      </c>
      <c r="J243" s="3" t="s">
        <v>57</v>
      </c>
      <c r="K243" s="3" t="s">
        <v>20</v>
      </c>
      <c r="L243" s="3">
        <v>7</v>
      </c>
      <c r="M243" s="3">
        <v>1396.71</v>
      </c>
      <c r="N243" s="3">
        <v>20</v>
      </c>
      <c r="O243" s="3">
        <f t="shared" si="9"/>
        <v>7821.5760000000009</v>
      </c>
      <c r="P243" s="3" t="str">
        <f t="shared" si="10"/>
        <v>Low Price</v>
      </c>
      <c r="Q243" s="3" t="str" cm="1">
        <f t="array" ref="Q243">_xlfn.IFS(N243&gt;=10,"High",N243&gt;=5,"Medium",N243&lt;5,"Low")</f>
        <v>High</v>
      </c>
      <c r="R243" s="3" t="str">
        <f t="shared" si="11"/>
        <v>Medium</v>
      </c>
    </row>
    <row r="244" spans="1:18" x14ac:dyDescent="0.25">
      <c r="A244" s="3">
        <v>10290</v>
      </c>
      <c r="B244" s="3">
        <v>1996</v>
      </c>
      <c r="C244" s="4">
        <v>45215</v>
      </c>
      <c r="D244" s="4">
        <v>45218</v>
      </c>
      <c r="E244" s="3" t="s">
        <v>36</v>
      </c>
      <c r="F244" s="3" t="s">
        <v>40</v>
      </c>
      <c r="G244" s="3" t="s">
        <v>29</v>
      </c>
      <c r="H244" s="3" t="s">
        <v>17</v>
      </c>
      <c r="I244" s="3" t="s">
        <v>18</v>
      </c>
      <c r="J244" s="3" t="s">
        <v>19</v>
      </c>
      <c r="K244" s="3" t="s">
        <v>27</v>
      </c>
      <c r="L244" s="3">
        <v>8</v>
      </c>
      <c r="M244" s="3">
        <v>2695.39</v>
      </c>
      <c r="N244" s="3">
        <v>10</v>
      </c>
      <c r="O244" s="3">
        <f t="shared" si="9"/>
        <v>19406.808000000001</v>
      </c>
      <c r="P244" s="3" t="str">
        <f t="shared" si="10"/>
        <v>High Price</v>
      </c>
      <c r="Q244" s="3" t="str" cm="1">
        <f t="array" ref="Q244">_xlfn.IFS(N244&gt;=10,"High",N244&gt;=5,"Medium",N244&lt;5,"Low")</f>
        <v>High</v>
      </c>
      <c r="R244" s="3" t="str">
        <f t="shared" si="11"/>
        <v>Medium</v>
      </c>
    </row>
    <row r="245" spans="1:18" x14ac:dyDescent="0.25">
      <c r="A245" s="3">
        <v>10291</v>
      </c>
      <c r="B245" s="3">
        <v>1735</v>
      </c>
      <c r="C245" s="4">
        <v>45007</v>
      </c>
      <c r="D245" s="4">
        <v>45008</v>
      </c>
      <c r="E245" s="3" t="s">
        <v>14</v>
      </c>
      <c r="F245" s="3" t="s">
        <v>53</v>
      </c>
      <c r="G245" s="3" t="s">
        <v>23</v>
      </c>
      <c r="H245" s="3" t="s">
        <v>24</v>
      </c>
      <c r="I245" s="3" t="s">
        <v>51</v>
      </c>
      <c r="J245" s="3" t="s">
        <v>52</v>
      </c>
      <c r="K245" s="3" t="s">
        <v>32</v>
      </c>
      <c r="L245" s="3">
        <v>9</v>
      </c>
      <c r="M245" s="3">
        <v>2661.11</v>
      </c>
      <c r="N245" s="3">
        <v>10</v>
      </c>
      <c r="O245" s="3">
        <f t="shared" si="9"/>
        <v>21554.991000000002</v>
      </c>
      <c r="P245" s="3" t="str">
        <f t="shared" si="10"/>
        <v>High Price</v>
      </c>
      <c r="Q245" s="3" t="str" cm="1">
        <f t="array" ref="Q245">_xlfn.IFS(N245&gt;=10,"High",N245&gt;=5,"Medium",N245&lt;5,"Low")</f>
        <v>High</v>
      </c>
      <c r="R245" s="3" t="str">
        <f t="shared" si="11"/>
        <v>High</v>
      </c>
    </row>
    <row r="246" spans="1:18" x14ac:dyDescent="0.25">
      <c r="A246" s="3">
        <v>10294</v>
      </c>
      <c r="B246" s="3">
        <v>1402</v>
      </c>
      <c r="C246" s="4">
        <v>44987</v>
      </c>
      <c r="D246" s="4">
        <v>44994</v>
      </c>
      <c r="E246" s="3" t="s">
        <v>21</v>
      </c>
      <c r="F246" s="3" t="s">
        <v>15</v>
      </c>
      <c r="G246" s="3" t="s">
        <v>23</v>
      </c>
      <c r="H246" s="3" t="s">
        <v>34</v>
      </c>
      <c r="I246" s="3" t="s">
        <v>18</v>
      </c>
      <c r="J246" s="3" t="s">
        <v>42</v>
      </c>
      <c r="K246" s="3" t="s">
        <v>44</v>
      </c>
      <c r="L246" s="3">
        <v>3</v>
      </c>
      <c r="M246" s="3">
        <v>967.49</v>
      </c>
      <c r="N246" s="3">
        <v>0</v>
      </c>
      <c r="O246" s="3">
        <f t="shared" si="9"/>
        <v>2902.4700000000003</v>
      </c>
      <c r="P246" s="3" t="str">
        <f t="shared" si="10"/>
        <v>Low Price</v>
      </c>
      <c r="Q246" s="3" t="str" cm="1">
        <f t="array" ref="Q246">_xlfn.IFS(N246&gt;=10,"High",N246&gt;=5,"Medium",N246&lt;5,"Low")</f>
        <v>Low</v>
      </c>
      <c r="R246" s="3" t="str">
        <f t="shared" si="11"/>
        <v>Low</v>
      </c>
    </row>
    <row r="247" spans="1:18" x14ac:dyDescent="0.25">
      <c r="A247" s="3">
        <v>10295</v>
      </c>
      <c r="B247" s="3">
        <v>1637</v>
      </c>
      <c r="C247" s="4">
        <v>45280</v>
      </c>
      <c r="D247" s="4">
        <v>45284</v>
      </c>
      <c r="E247" s="3" t="s">
        <v>33</v>
      </c>
      <c r="F247" s="3" t="s">
        <v>22</v>
      </c>
      <c r="G247" s="3" t="s">
        <v>23</v>
      </c>
      <c r="H247" s="3" t="s">
        <v>41</v>
      </c>
      <c r="I247" s="3" t="s">
        <v>30</v>
      </c>
      <c r="J247" s="3" t="s">
        <v>47</v>
      </c>
      <c r="K247" s="3" t="s">
        <v>32</v>
      </c>
      <c r="L247" s="3">
        <v>1</v>
      </c>
      <c r="M247" s="3">
        <v>619.73</v>
      </c>
      <c r="N247" s="3">
        <v>0</v>
      </c>
      <c r="O247" s="3">
        <f t="shared" si="9"/>
        <v>619.73</v>
      </c>
      <c r="P247" s="3" t="str">
        <f t="shared" si="10"/>
        <v>Low Price</v>
      </c>
      <c r="Q247" s="3" t="str" cm="1">
        <f t="array" ref="Q247">_xlfn.IFS(N247&gt;=10,"High",N247&gt;=5,"Medium",N247&lt;5,"Low")</f>
        <v>Low</v>
      </c>
      <c r="R247" s="3" t="str">
        <f t="shared" si="11"/>
        <v>Low</v>
      </c>
    </row>
    <row r="248" spans="1:18" x14ac:dyDescent="0.25">
      <c r="A248" s="3">
        <v>10296</v>
      </c>
      <c r="B248" s="3">
        <v>1129</v>
      </c>
      <c r="C248" s="4">
        <v>44954</v>
      </c>
      <c r="D248" s="4">
        <v>44957</v>
      </c>
      <c r="E248" s="3" t="s">
        <v>15</v>
      </c>
      <c r="F248" s="3" t="s">
        <v>15</v>
      </c>
      <c r="G248" s="3" t="s">
        <v>16</v>
      </c>
      <c r="H248" s="3" t="s">
        <v>34</v>
      </c>
      <c r="I248" s="3" t="s">
        <v>30</v>
      </c>
      <c r="J248" s="3" t="s">
        <v>47</v>
      </c>
      <c r="K248" s="3" t="s">
        <v>46</v>
      </c>
      <c r="L248" s="3">
        <v>5</v>
      </c>
      <c r="M248" s="3">
        <v>2850.33</v>
      </c>
      <c r="N248" s="3">
        <v>5</v>
      </c>
      <c r="O248" s="3">
        <f t="shared" si="9"/>
        <v>13539.067499999999</v>
      </c>
      <c r="P248" s="3" t="str">
        <f t="shared" si="10"/>
        <v>Low Price</v>
      </c>
      <c r="Q248" s="3" t="str" cm="1">
        <f t="array" ref="Q248">_xlfn.IFS(N248&gt;=10,"High",N248&gt;=5,"Medium",N248&lt;5,"Low")</f>
        <v>Medium</v>
      </c>
      <c r="R248" s="3" t="str">
        <f t="shared" si="11"/>
        <v>Medium</v>
      </c>
    </row>
    <row r="249" spans="1:18" x14ac:dyDescent="0.25">
      <c r="A249" s="3">
        <v>10302</v>
      </c>
      <c r="B249" s="3">
        <v>1415</v>
      </c>
      <c r="C249" s="4">
        <v>45024</v>
      </c>
      <c r="D249" s="4">
        <v>45027</v>
      </c>
      <c r="E249" s="3" t="s">
        <v>15</v>
      </c>
      <c r="F249" s="3" t="s">
        <v>28</v>
      </c>
      <c r="G249" s="3" t="s">
        <v>23</v>
      </c>
      <c r="H249" s="3" t="s">
        <v>17</v>
      </c>
      <c r="I249" s="3" t="s">
        <v>30</v>
      </c>
      <c r="J249" s="3" t="s">
        <v>64</v>
      </c>
      <c r="K249" s="3" t="s">
        <v>32</v>
      </c>
      <c r="L249" s="3">
        <v>7</v>
      </c>
      <c r="M249" s="3">
        <v>636.59</v>
      </c>
      <c r="N249" s="3">
        <v>5</v>
      </c>
      <c r="O249" s="3">
        <f t="shared" si="9"/>
        <v>4233.3234999999995</v>
      </c>
      <c r="P249" s="3" t="str">
        <f t="shared" si="10"/>
        <v>Low Price</v>
      </c>
      <c r="Q249" s="3" t="str" cm="1">
        <f t="array" ref="Q249">_xlfn.IFS(N249&gt;=10,"High",N249&gt;=5,"Medium",N249&lt;5,"Low")</f>
        <v>Medium</v>
      </c>
      <c r="R249" s="3" t="str">
        <f t="shared" si="11"/>
        <v>Medium</v>
      </c>
    </row>
    <row r="250" spans="1:18" x14ac:dyDescent="0.25">
      <c r="A250" s="3">
        <v>10303</v>
      </c>
      <c r="B250" s="3">
        <v>1246</v>
      </c>
      <c r="C250" s="4">
        <v>45124</v>
      </c>
      <c r="D250" s="4">
        <v>45125</v>
      </c>
      <c r="E250" s="3" t="s">
        <v>36</v>
      </c>
      <c r="F250" s="3" t="s">
        <v>28</v>
      </c>
      <c r="G250" s="3" t="s">
        <v>16</v>
      </c>
      <c r="H250" s="3" t="s">
        <v>24</v>
      </c>
      <c r="I250" s="3" t="s">
        <v>56</v>
      </c>
      <c r="J250" s="3" t="s">
        <v>66</v>
      </c>
      <c r="K250" s="3" t="s">
        <v>20</v>
      </c>
      <c r="L250" s="3">
        <v>6</v>
      </c>
      <c r="M250" s="3">
        <v>257.2</v>
      </c>
      <c r="N250" s="3">
        <v>0</v>
      </c>
      <c r="O250" s="3">
        <f t="shared" si="9"/>
        <v>1543.1999999999998</v>
      </c>
      <c r="P250" s="3" t="str">
        <f t="shared" si="10"/>
        <v>Low Price</v>
      </c>
      <c r="Q250" s="3" t="str" cm="1">
        <f t="array" ref="Q250">_xlfn.IFS(N250&gt;=10,"High",N250&gt;=5,"Medium",N250&lt;5,"Low")</f>
        <v>Low</v>
      </c>
      <c r="R250" s="3" t="str">
        <f t="shared" si="11"/>
        <v>Medium</v>
      </c>
    </row>
    <row r="251" spans="1:18" x14ac:dyDescent="0.25">
      <c r="A251" s="3">
        <v>10304</v>
      </c>
      <c r="B251" s="3">
        <v>1835</v>
      </c>
      <c r="C251" s="4">
        <v>45024</v>
      </c>
      <c r="D251" s="4">
        <v>45027</v>
      </c>
      <c r="E251" s="3" t="s">
        <v>39</v>
      </c>
      <c r="F251" s="3" t="s">
        <v>22</v>
      </c>
      <c r="G251" s="3" t="s">
        <v>23</v>
      </c>
      <c r="H251" s="3" t="s">
        <v>24</v>
      </c>
      <c r="I251" s="3" t="s">
        <v>25</v>
      </c>
      <c r="J251" s="3" t="s">
        <v>60</v>
      </c>
      <c r="K251" s="3" t="s">
        <v>20</v>
      </c>
      <c r="L251" s="3">
        <v>4</v>
      </c>
      <c r="M251" s="3">
        <v>2547.52</v>
      </c>
      <c r="N251" s="3">
        <v>20</v>
      </c>
      <c r="O251" s="3">
        <f t="shared" si="9"/>
        <v>8152.0640000000003</v>
      </c>
      <c r="P251" s="3" t="str">
        <f t="shared" si="10"/>
        <v>Low Price</v>
      </c>
      <c r="Q251" s="3" t="str" cm="1">
        <f t="array" ref="Q251">_xlfn.IFS(N251&gt;=10,"High",N251&gt;=5,"Medium",N251&lt;5,"Low")</f>
        <v>High</v>
      </c>
      <c r="R251" s="3" t="str">
        <f t="shared" si="11"/>
        <v>Low</v>
      </c>
    </row>
    <row r="252" spans="1:18" x14ac:dyDescent="0.25">
      <c r="A252" s="3">
        <v>10305</v>
      </c>
      <c r="B252" s="3">
        <v>1438</v>
      </c>
      <c r="C252" s="4">
        <v>44991</v>
      </c>
      <c r="D252" s="4">
        <v>44993</v>
      </c>
      <c r="E252" s="3" t="s">
        <v>45</v>
      </c>
      <c r="F252" s="3" t="s">
        <v>40</v>
      </c>
      <c r="G252" s="3" t="s">
        <v>16</v>
      </c>
      <c r="H252" s="3" t="s">
        <v>34</v>
      </c>
      <c r="I252" s="3" t="s">
        <v>30</v>
      </c>
      <c r="J252" s="3" t="s">
        <v>47</v>
      </c>
      <c r="K252" s="3" t="s">
        <v>20</v>
      </c>
      <c r="L252" s="3">
        <v>2</v>
      </c>
      <c r="M252" s="3">
        <v>3256.02</v>
      </c>
      <c r="N252" s="3">
        <v>20</v>
      </c>
      <c r="O252" s="3">
        <f t="shared" si="9"/>
        <v>5209.6320000000005</v>
      </c>
      <c r="P252" s="3" t="str">
        <f t="shared" si="10"/>
        <v>Low Price</v>
      </c>
      <c r="Q252" s="3" t="str" cm="1">
        <f t="array" ref="Q252">_xlfn.IFS(N252&gt;=10,"High",N252&gt;=5,"Medium",N252&lt;5,"Low")</f>
        <v>High</v>
      </c>
      <c r="R252" s="3" t="str">
        <f t="shared" si="11"/>
        <v>Low</v>
      </c>
    </row>
    <row r="253" spans="1:18" x14ac:dyDescent="0.25">
      <c r="A253" s="3">
        <v>10306</v>
      </c>
      <c r="B253" s="3">
        <v>1202</v>
      </c>
      <c r="C253" s="4">
        <v>45256</v>
      </c>
      <c r="D253" s="4">
        <v>45264</v>
      </c>
      <c r="E253" s="3" t="s">
        <v>45</v>
      </c>
      <c r="F253" s="3" t="s">
        <v>28</v>
      </c>
      <c r="G253" s="3" t="s">
        <v>29</v>
      </c>
      <c r="H253" s="3" t="s">
        <v>41</v>
      </c>
      <c r="I253" s="3" t="s">
        <v>56</v>
      </c>
      <c r="J253" s="3" t="s">
        <v>61</v>
      </c>
      <c r="K253" s="3" t="s">
        <v>27</v>
      </c>
      <c r="L253" s="3">
        <v>1</v>
      </c>
      <c r="M253" s="3">
        <v>3391.76</v>
      </c>
      <c r="N253" s="3">
        <v>20</v>
      </c>
      <c r="O253" s="3">
        <f t="shared" si="9"/>
        <v>2713.4080000000004</v>
      </c>
      <c r="P253" s="3" t="str">
        <f t="shared" si="10"/>
        <v>Low Price</v>
      </c>
      <c r="Q253" s="3" t="str" cm="1">
        <f t="array" ref="Q253">_xlfn.IFS(N253&gt;=10,"High",N253&gt;=5,"Medium",N253&lt;5,"Low")</f>
        <v>High</v>
      </c>
      <c r="R253" s="3" t="str">
        <f t="shared" si="11"/>
        <v>Low</v>
      </c>
    </row>
    <row r="254" spans="1:18" x14ac:dyDescent="0.25">
      <c r="A254" s="3">
        <v>10307</v>
      </c>
      <c r="B254" s="3">
        <v>1183</v>
      </c>
      <c r="C254" s="4">
        <v>45267</v>
      </c>
      <c r="D254" s="4">
        <v>45273</v>
      </c>
      <c r="E254" s="3" t="s">
        <v>14</v>
      </c>
      <c r="F254" s="3" t="s">
        <v>15</v>
      </c>
      <c r="G254" s="3" t="s">
        <v>23</v>
      </c>
      <c r="H254" s="3" t="s">
        <v>41</v>
      </c>
      <c r="I254" s="3" t="s">
        <v>56</v>
      </c>
      <c r="J254" s="3" t="s">
        <v>57</v>
      </c>
      <c r="K254" s="3" t="s">
        <v>27</v>
      </c>
      <c r="L254" s="3">
        <v>4</v>
      </c>
      <c r="M254" s="3">
        <v>2008.45</v>
      </c>
      <c r="N254" s="3">
        <v>5</v>
      </c>
      <c r="O254" s="3">
        <f t="shared" si="9"/>
        <v>7632.11</v>
      </c>
      <c r="P254" s="3" t="str">
        <f t="shared" si="10"/>
        <v>Low Price</v>
      </c>
      <c r="Q254" s="3" t="str" cm="1">
        <f t="array" ref="Q254">_xlfn.IFS(N254&gt;=10,"High",N254&gt;=5,"Medium",N254&lt;5,"Low")</f>
        <v>Medium</v>
      </c>
      <c r="R254" s="3" t="str">
        <f t="shared" si="11"/>
        <v>Low</v>
      </c>
    </row>
    <row r="255" spans="1:18" x14ac:dyDescent="0.25">
      <c r="A255" s="3">
        <v>10308</v>
      </c>
      <c r="B255" s="3">
        <v>1122</v>
      </c>
      <c r="C255" s="4">
        <v>44931</v>
      </c>
      <c r="D255" s="4">
        <v>44940</v>
      </c>
      <c r="E255" s="3" t="s">
        <v>36</v>
      </c>
      <c r="F255" s="3" t="s">
        <v>22</v>
      </c>
      <c r="G255" s="3" t="s">
        <v>29</v>
      </c>
      <c r="H255" s="3" t="s">
        <v>24</v>
      </c>
      <c r="I255" s="3" t="s">
        <v>51</v>
      </c>
      <c r="J255" s="3" t="s">
        <v>52</v>
      </c>
      <c r="K255" s="3" t="s">
        <v>44</v>
      </c>
      <c r="L255" s="3">
        <v>4</v>
      </c>
      <c r="M255" s="3">
        <v>3143.2</v>
      </c>
      <c r="N255" s="3">
        <v>0</v>
      </c>
      <c r="O255" s="3">
        <f t="shared" si="9"/>
        <v>12572.8</v>
      </c>
      <c r="P255" s="3" t="str">
        <f t="shared" si="10"/>
        <v>Low Price</v>
      </c>
      <c r="Q255" s="3" t="str" cm="1">
        <f t="array" ref="Q255">_xlfn.IFS(N255&gt;=10,"High",N255&gt;=5,"Medium",N255&lt;5,"Low")</f>
        <v>Low</v>
      </c>
      <c r="R255" s="3" t="str">
        <f t="shared" si="11"/>
        <v>Low</v>
      </c>
    </row>
    <row r="256" spans="1:18" x14ac:dyDescent="0.25">
      <c r="A256" s="3">
        <v>10309</v>
      </c>
      <c r="B256" s="3">
        <v>1400</v>
      </c>
      <c r="C256" s="4">
        <v>44928</v>
      </c>
      <c r="D256" s="4">
        <v>44936</v>
      </c>
      <c r="E256" s="3" t="s">
        <v>33</v>
      </c>
      <c r="F256" s="3" t="s">
        <v>28</v>
      </c>
      <c r="G256" s="3" t="s">
        <v>29</v>
      </c>
      <c r="H256" s="3" t="s">
        <v>43</v>
      </c>
      <c r="I256" s="3" t="s">
        <v>48</v>
      </c>
      <c r="J256" s="3" t="s">
        <v>50</v>
      </c>
      <c r="K256" s="3" t="s">
        <v>46</v>
      </c>
      <c r="L256" s="3">
        <v>1</v>
      </c>
      <c r="M256" s="3">
        <v>2740.46</v>
      </c>
      <c r="N256" s="3">
        <v>10</v>
      </c>
      <c r="O256" s="3">
        <f t="shared" si="9"/>
        <v>2466.4140000000002</v>
      </c>
      <c r="P256" s="3" t="str">
        <f t="shared" si="10"/>
        <v>Low Price</v>
      </c>
      <c r="Q256" s="3" t="str" cm="1">
        <f t="array" ref="Q256">_xlfn.IFS(N256&gt;=10,"High",N256&gt;=5,"Medium",N256&lt;5,"Low")</f>
        <v>High</v>
      </c>
      <c r="R256" s="3" t="str">
        <f t="shared" si="11"/>
        <v>Low</v>
      </c>
    </row>
    <row r="257" spans="1:18" x14ac:dyDescent="0.25">
      <c r="A257" s="3">
        <v>10311</v>
      </c>
      <c r="B257" s="3">
        <v>1293</v>
      </c>
      <c r="C257" s="4">
        <v>45038</v>
      </c>
      <c r="D257" s="4">
        <v>45043</v>
      </c>
      <c r="E257" s="3" t="s">
        <v>45</v>
      </c>
      <c r="F257" s="3" t="s">
        <v>22</v>
      </c>
      <c r="G257" s="3" t="s">
        <v>23</v>
      </c>
      <c r="H257" s="3" t="s">
        <v>17</v>
      </c>
      <c r="I257" s="3" t="s">
        <v>18</v>
      </c>
      <c r="J257" s="3" t="s">
        <v>42</v>
      </c>
      <c r="K257" s="3" t="s">
        <v>32</v>
      </c>
      <c r="L257" s="3">
        <v>4</v>
      </c>
      <c r="M257" s="3">
        <v>2046.51</v>
      </c>
      <c r="N257" s="3">
        <v>5</v>
      </c>
      <c r="O257" s="3">
        <f t="shared" si="9"/>
        <v>7776.7379999999994</v>
      </c>
      <c r="P257" s="3" t="str">
        <f t="shared" si="10"/>
        <v>Low Price</v>
      </c>
      <c r="Q257" s="3" t="str" cm="1">
        <f t="array" ref="Q257">_xlfn.IFS(N257&gt;=10,"High",N257&gt;=5,"Medium",N257&lt;5,"Low")</f>
        <v>Medium</v>
      </c>
      <c r="R257" s="3" t="str">
        <f t="shared" si="11"/>
        <v>Low</v>
      </c>
    </row>
    <row r="258" spans="1:18" x14ac:dyDescent="0.25">
      <c r="A258" s="3">
        <v>10312</v>
      </c>
      <c r="B258" s="3">
        <v>1279</v>
      </c>
      <c r="C258" s="4">
        <v>44983</v>
      </c>
      <c r="D258" s="4">
        <v>44990</v>
      </c>
      <c r="E258" s="3" t="s">
        <v>45</v>
      </c>
      <c r="F258" s="3" t="s">
        <v>37</v>
      </c>
      <c r="G258" s="3" t="s">
        <v>29</v>
      </c>
      <c r="H258" s="3" t="s">
        <v>17</v>
      </c>
      <c r="I258" s="3" t="s">
        <v>51</v>
      </c>
      <c r="J258" s="3" t="s">
        <v>55</v>
      </c>
      <c r="K258" s="3" t="s">
        <v>32</v>
      </c>
      <c r="L258" s="3">
        <v>1</v>
      </c>
      <c r="M258" s="3">
        <v>2588.64</v>
      </c>
      <c r="N258" s="3">
        <v>0</v>
      </c>
      <c r="O258" s="3">
        <f t="shared" si="9"/>
        <v>2588.64</v>
      </c>
      <c r="P258" s="3" t="str">
        <f t="shared" si="10"/>
        <v>Low Price</v>
      </c>
      <c r="Q258" s="3" t="str" cm="1">
        <f t="array" ref="Q258">_xlfn.IFS(N258&gt;=10,"High",N258&gt;=5,"Medium",N258&lt;5,"Low")</f>
        <v>Low</v>
      </c>
      <c r="R258" s="3" t="str">
        <f t="shared" si="11"/>
        <v>Low</v>
      </c>
    </row>
    <row r="259" spans="1:18" x14ac:dyDescent="0.25">
      <c r="A259" s="3">
        <v>10313</v>
      </c>
      <c r="B259" s="3">
        <v>1836</v>
      </c>
      <c r="C259" s="4">
        <v>44992</v>
      </c>
      <c r="D259" s="4">
        <v>44997</v>
      </c>
      <c r="E259" s="3" t="s">
        <v>39</v>
      </c>
      <c r="F259" s="3" t="s">
        <v>40</v>
      </c>
      <c r="G259" s="3" t="s">
        <v>16</v>
      </c>
      <c r="H259" s="3" t="s">
        <v>34</v>
      </c>
      <c r="I259" s="3" t="s">
        <v>56</v>
      </c>
      <c r="J259" s="3" t="s">
        <v>61</v>
      </c>
      <c r="K259" s="3" t="s">
        <v>44</v>
      </c>
      <c r="L259" s="3">
        <v>1</v>
      </c>
      <c r="M259" s="3">
        <v>3251.27</v>
      </c>
      <c r="N259" s="3">
        <v>15</v>
      </c>
      <c r="O259" s="3">
        <f t="shared" ref="O259:O322" si="12">(L259*M259)*(1-N259/100)</f>
        <v>2763.5794999999998</v>
      </c>
      <c r="P259" s="3" t="str">
        <f t="shared" ref="P259:P322" si="13">IF(O259&gt;=15000,"High Price","Low Price")</f>
        <v>Low Price</v>
      </c>
      <c r="Q259" s="3" t="str" cm="1">
        <f t="array" ref="Q259">_xlfn.IFS(N259&gt;=10,"High",N259&gt;=5,"Medium",N259&lt;5,"Low")</f>
        <v>High</v>
      </c>
      <c r="R259" s="3" t="str">
        <f t="shared" ref="R259:R322" si="14">IF(L259&gt;8,"High",IF(L259&gt;4,"Medium","Low"))</f>
        <v>Low</v>
      </c>
    </row>
    <row r="260" spans="1:18" x14ac:dyDescent="0.25">
      <c r="A260" s="3">
        <v>10314</v>
      </c>
      <c r="B260" s="3">
        <v>1883</v>
      </c>
      <c r="C260" s="4">
        <v>45256</v>
      </c>
      <c r="D260" s="4">
        <v>45264</v>
      </c>
      <c r="E260" s="3" t="s">
        <v>36</v>
      </c>
      <c r="F260" s="3" t="s">
        <v>15</v>
      </c>
      <c r="G260" s="3" t="s">
        <v>23</v>
      </c>
      <c r="H260" s="3" t="s">
        <v>24</v>
      </c>
      <c r="I260" s="3" t="s">
        <v>25</v>
      </c>
      <c r="J260" s="3" t="s">
        <v>68</v>
      </c>
      <c r="K260" s="3" t="s">
        <v>27</v>
      </c>
      <c r="L260" s="3">
        <v>1</v>
      </c>
      <c r="M260" s="3">
        <v>1681.85</v>
      </c>
      <c r="N260" s="3">
        <v>5</v>
      </c>
      <c r="O260" s="3">
        <f t="shared" si="12"/>
        <v>1597.7574999999999</v>
      </c>
      <c r="P260" s="3" t="str">
        <f t="shared" si="13"/>
        <v>Low Price</v>
      </c>
      <c r="Q260" s="3" t="str" cm="1">
        <f t="array" ref="Q260">_xlfn.IFS(N260&gt;=10,"High",N260&gt;=5,"Medium",N260&lt;5,"Low")</f>
        <v>Medium</v>
      </c>
      <c r="R260" s="3" t="str">
        <f t="shared" si="14"/>
        <v>Low</v>
      </c>
    </row>
    <row r="261" spans="1:18" x14ac:dyDescent="0.25">
      <c r="A261" s="3">
        <v>10315</v>
      </c>
      <c r="B261" s="3">
        <v>1609</v>
      </c>
      <c r="C261" s="4">
        <v>45024</v>
      </c>
      <c r="D261" s="4">
        <v>45029</v>
      </c>
      <c r="E261" s="3" t="s">
        <v>36</v>
      </c>
      <c r="F261" s="3" t="s">
        <v>28</v>
      </c>
      <c r="G261" s="3" t="s">
        <v>23</v>
      </c>
      <c r="H261" s="3" t="s">
        <v>17</v>
      </c>
      <c r="I261" s="3" t="s">
        <v>48</v>
      </c>
      <c r="J261" s="3" t="s">
        <v>49</v>
      </c>
      <c r="K261" s="3" t="s">
        <v>44</v>
      </c>
      <c r="L261" s="3">
        <v>8</v>
      </c>
      <c r="M261" s="3">
        <v>3253.02</v>
      </c>
      <c r="N261" s="3">
        <v>15</v>
      </c>
      <c r="O261" s="3">
        <f t="shared" si="12"/>
        <v>22120.536</v>
      </c>
      <c r="P261" s="3" t="str">
        <f t="shared" si="13"/>
        <v>High Price</v>
      </c>
      <c r="Q261" s="3" t="str" cm="1">
        <f t="array" ref="Q261">_xlfn.IFS(N261&gt;=10,"High",N261&gt;=5,"Medium",N261&lt;5,"Low")</f>
        <v>High</v>
      </c>
      <c r="R261" s="3" t="str">
        <f t="shared" si="14"/>
        <v>Medium</v>
      </c>
    </row>
    <row r="262" spans="1:18" x14ac:dyDescent="0.25">
      <c r="A262" s="3">
        <v>10316</v>
      </c>
      <c r="B262" s="3">
        <v>1197</v>
      </c>
      <c r="C262" s="4">
        <v>45070</v>
      </c>
      <c r="D262" s="4">
        <v>45071</v>
      </c>
      <c r="E262" s="3" t="s">
        <v>45</v>
      </c>
      <c r="F262" s="3" t="s">
        <v>37</v>
      </c>
      <c r="G262" s="3" t="s">
        <v>29</v>
      </c>
      <c r="H262" s="3" t="s">
        <v>17</v>
      </c>
      <c r="I262" s="3" t="s">
        <v>56</v>
      </c>
      <c r="J262" s="3" t="s">
        <v>57</v>
      </c>
      <c r="K262" s="3" t="s">
        <v>32</v>
      </c>
      <c r="L262" s="3">
        <v>8</v>
      </c>
      <c r="M262" s="3">
        <v>2429.2600000000002</v>
      </c>
      <c r="N262" s="3">
        <v>15</v>
      </c>
      <c r="O262" s="3">
        <f t="shared" si="12"/>
        <v>16518.968000000001</v>
      </c>
      <c r="P262" s="3" t="str">
        <f t="shared" si="13"/>
        <v>High Price</v>
      </c>
      <c r="Q262" s="3" t="str" cm="1">
        <f t="array" ref="Q262">_xlfn.IFS(N262&gt;=10,"High",N262&gt;=5,"Medium",N262&lt;5,"Low")</f>
        <v>High</v>
      </c>
      <c r="R262" s="3" t="str">
        <f t="shared" si="14"/>
        <v>Medium</v>
      </c>
    </row>
    <row r="263" spans="1:18" x14ac:dyDescent="0.25">
      <c r="A263" s="3">
        <v>10317</v>
      </c>
      <c r="B263" s="3">
        <v>1981</v>
      </c>
      <c r="C263" s="4">
        <v>45051</v>
      </c>
      <c r="D263" s="4">
        <v>45056</v>
      </c>
      <c r="E263" s="3" t="s">
        <v>33</v>
      </c>
      <c r="F263" s="3" t="s">
        <v>37</v>
      </c>
      <c r="G263" s="3" t="s">
        <v>23</v>
      </c>
      <c r="H263" s="3" t="s">
        <v>24</v>
      </c>
      <c r="I263" s="3" t="s">
        <v>48</v>
      </c>
      <c r="J263" s="3" t="s">
        <v>62</v>
      </c>
      <c r="K263" s="3" t="s">
        <v>46</v>
      </c>
      <c r="L263" s="3">
        <v>2</v>
      </c>
      <c r="M263" s="3">
        <v>788.72</v>
      </c>
      <c r="N263" s="3">
        <v>20</v>
      </c>
      <c r="O263" s="3">
        <f t="shared" si="12"/>
        <v>1261.9520000000002</v>
      </c>
      <c r="P263" s="3" t="str">
        <f t="shared" si="13"/>
        <v>Low Price</v>
      </c>
      <c r="Q263" s="3" t="str" cm="1">
        <f t="array" ref="Q263">_xlfn.IFS(N263&gt;=10,"High",N263&gt;=5,"Medium",N263&lt;5,"Low")</f>
        <v>High</v>
      </c>
      <c r="R263" s="3" t="str">
        <f t="shared" si="14"/>
        <v>Low</v>
      </c>
    </row>
    <row r="264" spans="1:18" x14ac:dyDescent="0.25">
      <c r="A264" s="3">
        <v>10318</v>
      </c>
      <c r="B264" s="3">
        <v>1906</v>
      </c>
      <c r="C264" s="4">
        <v>45093</v>
      </c>
      <c r="D264" s="4">
        <v>45097</v>
      </c>
      <c r="E264" s="3" t="s">
        <v>14</v>
      </c>
      <c r="F264" s="3" t="s">
        <v>22</v>
      </c>
      <c r="G264" s="3" t="s">
        <v>29</v>
      </c>
      <c r="H264" s="3" t="s">
        <v>34</v>
      </c>
      <c r="I264" s="3" t="s">
        <v>48</v>
      </c>
      <c r="J264" s="3" t="s">
        <v>67</v>
      </c>
      <c r="K264" s="3" t="s">
        <v>20</v>
      </c>
      <c r="L264" s="3">
        <v>7</v>
      </c>
      <c r="M264" s="3">
        <v>245.03</v>
      </c>
      <c r="N264" s="3">
        <v>0</v>
      </c>
      <c r="O264" s="3">
        <f t="shared" si="12"/>
        <v>1715.21</v>
      </c>
      <c r="P264" s="3" t="str">
        <f t="shared" si="13"/>
        <v>Low Price</v>
      </c>
      <c r="Q264" s="3" t="str" cm="1">
        <f t="array" ref="Q264">_xlfn.IFS(N264&gt;=10,"High",N264&gt;=5,"Medium",N264&lt;5,"Low")</f>
        <v>Low</v>
      </c>
      <c r="R264" s="3" t="str">
        <f t="shared" si="14"/>
        <v>Medium</v>
      </c>
    </row>
    <row r="265" spans="1:18" x14ac:dyDescent="0.25">
      <c r="A265" s="3">
        <v>10320</v>
      </c>
      <c r="B265" s="3">
        <v>1751</v>
      </c>
      <c r="C265" s="4">
        <v>45002</v>
      </c>
      <c r="D265" s="4">
        <v>45005</v>
      </c>
      <c r="E265" s="3" t="s">
        <v>14</v>
      </c>
      <c r="F265" s="3" t="s">
        <v>15</v>
      </c>
      <c r="G265" s="3" t="s">
        <v>16</v>
      </c>
      <c r="H265" s="3" t="s">
        <v>34</v>
      </c>
      <c r="I265" s="3" t="s">
        <v>25</v>
      </c>
      <c r="J265" s="3" t="s">
        <v>35</v>
      </c>
      <c r="K265" s="3" t="s">
        <v>27</v>
      </c>
      <c r="L265" s="3">
        <v>8</v>
      </c>
      <c r="M265" s="3">
        <v>2254.7800000000002</v>
      </c>
      <c r="N265" s="3">
        <v>0</v>
      </c>
      <c r="O265" s="3">
        <f t="shared" si="12"/>
        <v>18038.240000000002</v>
      </c>
      <c r="P265" s="3" t="str">
        <f t="shared" si="13"/>
        <v>High Price</v>
      </c>
      <c r="Q265" s="3" t="str" cm="1">
        <f t="array" ref="Q265">_xlfn.IFS(N265&gt;=10,"High",N265&gt;=5,"Medium",N265&lt;5,"Low")</f>
        <v>Low</v>
      </c>
      <c r="R265" s="3" t="str">
        <f t="shared" si="14"/>
        <v>Medium</v>
      </c>
    </row>
    <row r="266" spans="1:18" x14ac:dyDescent="0.25">
      <c r="A266" s="3">
        <v>10321</v>
      </c>
      <c r="B266" s="3">
        <v>1143</v>
      </c>
      <c r="C266" s="4">
        <v>45270</v>
      </c>
      <c r="D266" s="4">
        <v>45275</v>
      </c>
      <c r="E266" s="3" t="s">
        <v>36</v>
      </c>
      <c r="F266" s="3" t="s">
        <v>15</v>
      </c>
      <c r="G266" s="3" t="s">
        <v>29</v>
      </c>
      <c r="H266" s="3" t="s">
        <v>41</v>
      </c>
      <c r="I266" s="3" t="s">
        <v>51</v>
      </c>
      <c r="J266" s="3" t="s">
        <v>59</v>
      </c>
      <c r="K266" s="3" t="s">
        <v>44</v>
      </c>
      <c r="L266" s="3">
        <v>7</v>
      </c>
      <c r="M266" s="3">
        <v>3383.31</v>
      </c>
      <c r="N266" s="3">
        <v>20</v>
      </c>
      <c r="O266" s="3">
        <f t="shared" si="12"/>
        <v>18946.536</v>
      </c>
      <c r="P266" s="3" t="str">
        <f t="shared" si="13"/>
        <v>High Price</v>
      </c>
      <c r="Q266" s="3" t="str" cm="1">
        <f t="array" ref="Q266">_xlfn.IFS(N266&gt;=10,"High",N266&gt;=5,"Medium",N266&lt;5,"Low")</f>
        <v>High</v>
      </c>
      <c r="R266" s="3" t="str">
        <f t="shared" si="14"/>
        <v>Medium</v>
      </c>
    </row>
    <row r="267" spans="1:18" x14ac:dyDescent="0.25">
      <c r="A267" s="3">
        <v>10322</v>
      </c>
      <c r="B267" s="3">
        <v>1608</v>
      </c>
      <c r="C267" s="4">
        <v>45220</v>
      </c>
      <c r="D267" s="4">
        <v>45222</v>
      </c>
      <c r="E267" s="3" t="s">
        <v>14</v>
      </c>
      <c r="F267" s="3" t="s">
        <v>53</v>
      </c>
      <c r="G267" s="3" t="s">
        <v>29</v>
      </c>
      <c r="H267" s="3" t="s">
        <v>34</v>
      </c>
      <c r="I267" s="3" t="s">
        <v>25</v>
      </c>
      <c r="J267" s="3" t="s">
        <v>60</v>
      </c>
      <c r="K267" s="3" t="s">
        <v>27</v>
      </c>
      <c r="L267" s="3">
        <v>5</v>
      </c>
      <c r="M267" s="3">
        <v>640.82000000000005</v>
      </c>
      <c r="N267" s="3">
        <v>0</v>
      </c>
      <c r="O267" s="3">
        <f t="shared" si="12"/>
        <v>3204.1000000000004</v>
      </c>
      <c r="P267" s="3" t="str">
        <f t="shared" si="13"/>
        <v>Low Price</v>
      </c>
      <c r="Q267" s="3" t="str" cm="1">
        <f t="array" ref="Q267">_xlfn.IFS(N267&gt;=10,"High",N267&gt;=5,"Medium",N267&lt;5,"Low")</f>
        <v>Low</v>
      </c>
      <c r="R267" s="3" t="str">
        <f t="shared" si="14"/>
        <v>Medium</v>
      </c>
    </row>
    <row r="268" spans="1:18" x14ac:dyDescent="0.25">
      <c r="A268" s="3">
        <v>10324</v>
      </c>
      <c r="B268" s="3">
        <v>1123</v>
      </c>
      <c r="C268" s="4">
        <v>45064</v>
      </c>
      <c r="D268" s="4">
        <v>45070</v>
      </c>
      <c r="E268" s="3" t="s">
        <v>45</v>
      </c>
      <c r="F268" s="3" t="s">
        <v>40</v>
      </c>
      <c r="G268" s="3" t="s">
        <v>23</v>
      </c>
      <c r="H268" s="3" t="s">
        <v>43</v>
      </c>
      <c r="I268" s="3" t="s">
        <v>56</v>
      </c>
      <c r="J268" s="3" t="s">
        <v>57</v>
      </c>
      <c r="K268" s="3" t="s">
        <v>32</v>
      </c>
      <c r="L268" s="3">
        <v>9</v>
      </c>
      <c r="M268" s="3">
        <v>3472.58</v>
      </c>
      <c r="N268" s="3">
        <v>15</v>
      </c>
      <c r="O268" s="3">
        <f t="shared" si="12"/>
        <v>26565.237000000001</v>
      </c>
      <c r="P268" s="3" t="str">
        <f t="shared" si="13"/>
        <v>High Price</v>
      </c>
      <c r="Q268" s="3" t="str" cm="1">
        <f t="array" ref="Q268">_xlfn.IFS(N268&gt;=10,"High",N268&gt;=5,"Medium",N268&lt;5,"Low")</f>
        <v>High</v>
      </c>
      <c r="R268" s="3" t="str">
        <f t="shared" si="14"/>
        <v>High</v>
      </c>
    </row>
    <row r="269" spans="1:18" x14ac:dyDescent="0.25">
      <c r="A269" s="3">
        <v>10325</v>
      </c>
      <c r="B269" s="3">
        <v>1186</v>
      </c>
      <c r="C269" s="4">
        <v>45025</v>
      </c>
      <c r="D269" s="4">
        <v>45030</v>
      </c>
      <c r="E269" s="3" t="s">
        <v>36</v>
      </c>
      <c r="F269" s="3" t="s">
        <v>37</v>
      </c>
      <c r="G269" s="3" t="s">
        <v>29</v>
      </c>
      <c r="H269" s="3" t="s">
        <v>34</v>
      </c>
      <c r="I269" s="3" t="s">
        <v>51</v>
      </c>
      <c r="J269" s="3" t="s">
        <v>63</v>
      </c>
      <c r="K269" s="3" t="s">
        <v>44</v>
      </c>
      <c r="L269" s="3">
        <v>7</v>
      </c>
      <c r="M269" s="3">
        <v>730.15</v>
      </c>
      <c r="N269" s="3">
        <v>0</v>
      </c>
      <c r="O269" s="3">
        <f t="shared" si="12"/>
        <v>5111.05</v>
      </c>
      <c r="P269" s="3" t="str">
        <f t="shared" si="13"/>
        <v>Low Price</v>
      </c>
      <c r="Q269" s="3" t="str" cm="1">
        <f t="array" ref="Q269">_xlfn.IFS(N269&gt;=10,"High",N269&gt;=5,"Medium",N269&lt;5,"Low")</f>
        <v>Low</v>
      </c>
      <c r="R269" s="3" t="str">
        <f t="shared" si="14"/>
        <v>Medium</v>
      </c>
    </row>
    <row r="270" spans="1:18" x14ac:dyDescent="0.25">
      <c r="A270" s="3">
        <v>10326</v>
      </c>
      <c r="B270" s="3">
        <v>1325</v>
      </c>
      <c r="C270" s="4">
        <v>45118</v>
      </c>
      <c r="D270" s="4">
        <v>45124</v>
      </c>
      <c r="E270" s="3" t="s">
        <v>36</v>
      </c>
      <c r="F270" s="3" t="s">
        <v>15</v>
      </c>
      <c r="G270" s="3" t="s">
        <v>23</v>
      </c>
      <c r="H270" s="3" t="s">
        <v>43</v>
      </c>
      <c r="I270" s="3" t="s">
        <v>51</v>
      </c>
      <c r="J270" s="3" t="s">
        <v>59</v>
      </c>
      <c r="K270" s="3" t="s">
        <v>32</v>
      </c>
      <c r="L270" s="3">
        <v>2</v>
      </c>
      <c r="M270" s="3">
        <v>3428.64</v>
      </c>
      <c r="N270" s="3">
        <v>10</v>
      </c>
      <c r="O270" s="3">
        <f t="shared" si="12"/>
        <v>6171.5519999999997</v>
      </c>
      <c r="P270" s="3" t="str">
        <f t="shared" si="13"/>
        <v>Low Price</v>
      </c>
      <c r="Q270" s="3" t="str" cm="1">
        <f t="array" ref="Q270">_xlfn.IFS(N270&gt;=10,"High",N270&gt;=5,"Medium",N270&lt;5,"Low")</f>
        <v>High</v>
      </c>
      <c r="R270" s="3" t="str">
        <f t="shared" si="14"/>
        <v>Low</v>
      </c>
    </row>
    <row r="271" spans="1:18" x14ac:dyDescent="0.25">
      <c r="A271" s="3">
        <v>10327</v>
      </c>
      <c r="B271" s="3">
        <v>1463</v>
      </c>
      <c r="C271" s="4">
        <v>45169</v>
      </c>
      <c r="D271" s="4">
        <v>45176</v>
      </c>
      <c r="E271" s="3" t="s">
        <v>21</v>
      </c>
      <c r="F271" s="3" t="s">
        <v>22</v>
      </c>
      <c r="G271" s="3" t="s">
        <v>16</v>
      </c>
      <c r="H271" s="3" t="s">
        <v>41</v>
      </c>
      <c r="I271" s="3" t="s">
        <v>51</v>
      </c>
      <c r="J271" s="3" t="s">
        <v>59</v>
      </c>
      <c r="K271" s="3" t="s">
        <v>46</v>
      </c>
      <c r="L271" s="3">
        <v>6</v>
      </c>
      <c r="M271" s="3">
        <v>3967.1</v>
      </c>
      <c r="N271" s="3">
        <v>0</v>
      </c>
      <c r="O271" s="3">
        <f t="shared" si="12"/>
        <v>23802.6</v>
      </c>
      <c r="P271" s="3" t="str">
        <f t="shared" si="13"/>
        <v>High Price</v>
      </c>
      <c r="Q271" s="3" t="str" cm="1">
        <f t="array" ref="Q271">_xlfn.IFS(N271&gt;=10,"High",N271&gt;=5,"Medium",N271&lt;5,"Low")</f>
        <v>Low</v>
      </c>
      <c r="R271" s="3" t="str">
        <f t="shared" si="14"/>
        <v>Medium</v>
      </c>
    </row>
    <row r="272" spans="1:18" x14ac:dyDescent="0.25">
      <c r="A272" s="3">
        <v>10328</v>
      </c>
      <c r="B272" s="3">
        <v>1348</v>
      </c>
      <c r="C272" s="4">
        <v>45245</v>
      </c>
      <c r="D272" s="4">
        <v>45250</v>
      </c>
      <c r="E272" s="3" t="s">
        <v>21</v>
      </c>
      <c r="F272" s="3" t="s">
        <v>53</v>
      </c>
      <c r="G272" s="3" t="s">
        <v>23</v>
      </c>
      <c r="H272" s="3" t="s">
        <v>24</v>
      </c>
      <c r="I272" s="3" t="s">
        <v>51</v>
      </c>
      <c r="J272" s="3" t="s">
        <v>52</v>
      </c>
      <c r="K272" s="3" t="s">
        <v>44</v>
      </c>
      <c r="L272" s="3">
        <v>2</v>
      </c>
      <c r="M272" s="3">
        <v>2948.33</v>
      </c>
      <c r="N272" s="3">
        <v>15</v>
      </c>
      <c r="O272" s="3">
        <f t="shared" si="12"/>
        <v>5012.1610000000001</v>
      </c>
      <c r="P272" s="3" t="str">
        <f t="shared" si="13"/>
        <v>Low Price</v>
      </c>
      <c r="Q272" s="3" t="str" cm="1">
        <f t="array" ref="Q272">_xlfn.IFS(N272&gt;=10,"High",N272&gt;=5,"Medium",N272&lt;5,"Low")</f>
        <v>High</v>
      </c>
      <c r="R272" s="3" t="str">
        <f t="shared" si="14"/>
        <v>Low</v>
      </c>
    </row>
    <row r="273" spans="1:18" x14ac:dyDescent="0.25">
      <c r="A273" s="3">
        <v>10329</v>
      </c>
      <c r="B273" s="3">
        <v>1770</v>
      </c>
      <c r="C273" s="4">
        <v>44975</v>
      </c>
      <c r="D273" s="4">
        <v>44976</v>
      </c>
      <c r="E273" s="3" t="s">
        <v>39</v>
      </c>
      <c r="F273" s="3" t="s">
        <v>37</v>
      </c>
      <c r="G273" s="3" t="s">
        <v>16</v>
      </c>
      <c r="H273" s="3" t="s">
        <v>43</v>
      </c>
      <c r="I273" s="3" t="s">
        <v>25</v>
      </c>
      <c r="J273" s="3" t="s">
        <v>26</v>
      </c>
      <c r="K273" s="3" t="s">
        <v>46</v>
      </c>
      <c r="L273" s="3">
        <v>1</v>
      </c>
      <c r="M273" s="3">
        <v>3171.36</v>
      </c>
      <c r="N273" s="3">
        <v>20</v>
      </c>
      <c r="O273" s="3">
        <f t="shared" si="12"/>
        <v>2537.0880000000002</v>
      </c>
      <c r="P273" s="3" t="str">
        <f t="shared" si="13"/>
        <v>Low Price</v>
      </c>
      <c r="Q273" s="3" t="str" cm="1">
        <f t="array" ref="Q273">_xlfn.IFS(N273&gt;=10,"High",N273&gt;=5,"Medium",N273&lt;5,"Low")</f>
        <v>High</v>
      </c>
      <c r="R273" s="3" t="str">
        <f t="shared" si="14"/>
        <v>Low</v>
      </c>
    </row>
    <row r="274" spans="1:18" x14ac:dyDescent="0.25">
      <c r="A274" s="3">
        <v>10330</v>
      </c>
      <c r="B274" s="3">
        <v>1659</v>
      </c>
      <c r="C274" s="4">
        <v>44958</v>
      </c>
      <c r="D274" s="4">
        <v>44966</v>
      </c>
      <c r="E274" s="3" t="s">
        <v>36</v>
      </c>
      <c r="F274" s="3" t="s">
        <v>53</v>
      </c>
      <c r="G274" s="3" t="s">
        <v>16</v>
      </c>
      <c r="H274" s="3" t="s">
        <v>43</v>
      </c>
      <c r="I274" s="3" t="s">
        <v>51</v>
      </c>
      <c r="J274" s="3" t="s">
        <v>63</v>
      </c>
      <c r="K274" s="3" t="s">
        <v>20</v>
      </c>
      <c r="L274" s="3">
        <v>7</v>
      </c>
      <c r="M274" s="3">
        <v>3978.5</v>
      </c>
      <c r="N274" s="3">
        <v>20</v>
      </c>
      <c r="O274" s="3">
        <f t="shared" si="12"/>
        <v>22279.600000000002</v>
      </c>
      <c r="P274" s="3" t="str">
        <f t="shared" si="13"/>
        <v>High Price</v>
      </c>
      <c r="Q274" s="3" t="str" cm="1">
        <f t="array" ref="Q274">_xlfn.IFS(N274&gt;=10,"High",N274&gt;=5,"Medium",N274&lt;5,"Low")</f>
        <v>High</v>
      </c>
      <c r="R274" s="3" t="str">
        <f t="shared" si="14"/>
        <v>Medium</v>
      </c>
    </row>
    <row r="275" spans="1:18" x14ac:dyDescent="0.25">
      <c r="A275" s="3">
        <v>10332</v>
      </c>
      <c r="B275" s="3">
        <v>1954</v>
      </c>
      <c r="C275" s="4">
        <v>44946</v>
      </c>
      <c r="D275" s="4">
        <v>44955</v>
      </c>
      <c r="E275" s="3" t="s">
        <v>14</v>
      </c>
      <c r="F275" s="3" t="s">
        <v>22</v>
      </c>
      <c r="G275" s="3" t="s">
        <v>16</v>
      </c>
      <c r="H275" s="3" t="s">
        <v>41</v>
      </c>
      <c r="I275" s="3" t="s">
        <v>56</v>
      </c>
      <c r="J275" s="3" t="s">
        <v>66</v>
      </c>
      <c r="K275" s="3" t="s">
        <v>20</v>
      </c>
      <c r="L275" s="3">
        <v>2</v>
      </c>
      <c r="M275" s="3">
        <v>1335.36</v>
      </c>
      <c r="N275" s="3">
        <v>5</v>
      </c>
      <c r="O275" s="3">
        <f t="shared" si="12"/>
        <v>2537.1839999999997</v>
      </c>
      <c r="P275" s="3" t="str">
        <f t="shared" si="13"/>
        <v>Low Price</v>
      </c>
      <c r="Q275" s="3" t="str" cm="1">
        <f t="array" ref="Q275">_xlfn.IFS(N275&gt;=10,"High",N275&gt;=5,"Medium",N275&lt;5,"Low")</f>
        <v>Medium</v>
      </c>
      <c r="R275" s="3" t="str">
        <f t="shared" si="14"/>
        <v>Low</v>
      </c>
    </row>
    <row r="276" spans="1:18" x14ac:dyDescent="0.25">
      <c r="A276" s="3">
        <v>10336</v>
      </c>
      <c r="B276" s="3">
        <v>1962</v>
      </c>
      <c r="C276" s="4">
        <v>45069</v>
      </c>
      <c r="D276" s="4">
        <v>45072</v>
      </c>
      <c r="E276" s="3" t="s">
        <v>15</v>
      </c>
      <c r="F276" s="3" t="s">
        <v>40</v>
      </c>
      <c r="G276" s="3" t="s">
        <v>23</v>
      </c>
      <c r="H276" s="3" t="s">
        <v>41</v>
      </c>
      <c r="I276" s="3" t="s">
        <v>18</v>
      </c>
      <c r="J276" s="3" t="s">
        <v>65</v>
      </c>
      <c r="K276" s="3" t="s">
        <v>32</v>
      </c>
      <c r="L276" s="3">
        <v>1</v>
      </c>
      <c r="M276" s="3">
        <v>1126.5</v>
      </c>
      <c r="N276" s="3">
        <v>15</v>
      </c>
      <c r="O276" s="3">
        <f t="shared" si="12"/>
        <v>957.52499999999998</v>
      </c>
      <c r="P276" s="3" t="str">
        <f t="shared" si="13"/>
        <v>Low Price</v>
      </c>
      <c r="Q276" s="3" t="str" cm="1">
        <f t="array" ref="Q276">_xlfn.IFS(N276&gt;=10,"High",N276&gt;=5,"Medium",N276&lt;5,"Low")</f>
        <v>High</v>
      </c>
      <c r="R276" s="3" t="str">
        <f t="shared" si="14"/>
        <v>Low</v>
      </c>
    </row>
    <row r="277" spans="1:18" x14ac:dyDescent="0.25">
      <c r="A277" s="3">
        <v>10338</v>
      </c>
      <c r="B277" s="3">
        <v>1146</v>
      </c>
      <c r="C277" s="4">
        <v>45139</v>
      </c>
      <c r="D277" s="4">
        <v>45145</v>
      </c>
      <c r="E277" s="3" t="s">
        <v>21</v>
      </c>
      <c r="F277" s="3" t="s">
        <v>28</v>
      </c>
      <c r="G277" s="3" t="s">
        <v>29</v>
      </c>
      <c r="H277" s="3" t="s">
        <v>41</v>
      </c>
      <c r="I277" s="3" t="s">
        <v>48</v>
      </c>
      <c r="J277" s="3" t="s">
        <v>49</v>
      </c>
      <c r="K277" s="3" t="s">
        <v>20</v>
      </c>
      <c r="L277" s="3">
        <v>3</v>
      </c>
      <c r="M277" s="3">
        <v>464.42</v>
      </c>
      <c r="N277" s="3">
        <v>20</v>
      </c>
      <c r="O277" s="3">
        <f t="shared" si="12"/>
        <v>1114.6079999999999</v>
      </c>
      <c r="P277" s="3" t="str">
        <f t="shared" si="13"/>
        <v>Low Price</v>
      </c>
      <c r="Q277" s="3" t="str" cm="1">
        <f t="array" ref="Q277">_xlfn.IFS(N277&gt;=10,"High",N277&gt;=5,"Medium",N277&lt;5,"Low")</f>
        <v>High</v>
      </c>
      <c r="R277" s="3" t="str">
        <f t="shared" si="14"/>
        <v>Low</v>
      </c>
    </row>
    <row r="278" spans="1:18" x14ac:dyDescent="0.25">
      <c r="A278" s="3">
        <v>10339</v>
      </c>
      <c r="B278" s="3">
        <v>1147</v>
      </c>
      <c r="C278" s="4">
        <v>45005</v>
      </c>
      <c r="D278" s="4">
        <v>45012</v>
      </c>
      <c r="E278" s="3" t="s">
        <v>14</v>
      </c>
      <c r="F278" s="3" t="s">
        <v>53</v>
      </c>
      <c r="G278" s="3" t="s">
        <v>16</v>
      </c>
      <c r="H278" s="3" t="s">
        <v>24</v>
      </c>
      <c r="I278" s="3" t="s">
        <v>30</v>
      </c>
      <c r="J278" s="3" t="s">
        <v>31</v>
      </c>
      <c r="K278" s="3" t="s">
        <v>20</v>
      </c>
      <c r="L278" s="3">
        <v>4</v>
      </c>
      <c r="M278" s="3">
        <v>3708.51</v>
      </c>
      <c r="N278" s="3">
        <v>5</v>
      </c>
      <c r="O278" s="3">
        <f t="shared" si="12"/>
        <v>14092.338</v>
      </c>
      <c r="P278" s="3" t="str">
        <f t="shared" si="13"/>
        <v>Low Price</v>
      </c>
      <c r="Q278" s="3" t="str" cm="1">
        <f t="array" ref="Q278">_xlfn.IFS(N278&gt;=10,"High",N278&gt;=5,"Medium",N278&lt;5,"Low")</f>
        <v>Medium</v>
      </c>
      <c r="R278" s="3" t="str">
        <f t="shared" si="14"/>
        <v>Low</v>
      </c>
    </row>
    <row r="279" spans="1:18" x14ac:dyDescent="0.25">
      <c r="A279" s="3">
        <v>10341</v>
      </c>
      <c r="B279" s="3">
        <v>1710</v>
      </c>
      <c r="C279" s="4">
        <v>45042</v>
      </c>
      <c r="D279" s="4">
        <v>45048</v>
      </c>
      <c r="E279" s="3" t="s">
        <v>15</v>
      </c>
      <c r="F279" s="3" t="s">
        <v>28</v>
      </c>
      <c r="G279" s="3" t="s">
        <v>16</v>
      </c>
      <c r="H279" s="3" t="s">
        <v>34</v>
      </c>
      <c r="I279" s="3" t="s">
        <v>48</v>
      </c>
      <c r="J279" s="3" t="s">
        <v>50</v>
      </c>
      <c r="K279" s="3" t="s">
        <v>27</v>
      </c>
      <c r="L279" s="3">
        <v>4</v>
      </c>
      <c r="M279" s="3">
        <v>641.92999999999995</v>
      </c>
      <c r="N279" s="3">
        <v>0</v>
      </c>
      <c r="O279" s="3">
        <f t="shared" si="12"/>
        <v>2567.7199999999998</v>
      </c>
      <c r="P279" s="3" t="str">
        <f t="shared" si="13"/>
        <v>Low Price</v>
      </c>
      <c r="Q279" s="3" t="str" cm="1">
        <f t="array" ref="Q279">_xlfn.IFS(N279&gt;=10,"High",N279&gt;=5,"Medium",N279&lt;5,"Low")</f>
        <v>Low</v>
      </c>
      <c r="R279" s="3" t="str">
        <f t="shared" si="14"/>
        <v>Low</v>
      </c>
    </row>
    <row r="280" spans="1:18" x14ac:dyDescent="0.25">
      <c r="A280" s="3">
        <v>10342</v>
      </c>
      <c r="B280" s="3">
        <v>1819</v>
      </c>
      <c r="C280" s="4">
        <v>45018</v>
      </c>
      <c r="D280" s="4">
        <v>45019</v>
      </c>
      <c r="E280" s="3" t="s">
        <v>14</v>
      </c>
      <c r="F280" s="3" t="s">
        <v>53</v>
      </c>
      <c r="G280" s="3" t="s">
        <v>16</v>
      </c>
      <c r="H280" s="3" t="s">
        <v>34</v>
      </c>
      <c r="I280" s="3" t="s">
        <v>25</v>
      </c>
      <c r="J280" s="3" t="s">
        <v>26</v>
      </c>
      <c r="K280" s="3" t="s">
        <v>46</v>
      </c>
      <c r="L280" s="3">
        <v>5</v>
      </c>
      <c r="M280" s="3">
        <v>1853.11</v>
      </c>
      <c r="N280" s="3">
        <v>10</v>
      </c>
      <c r="O280" s="3">
        <f t="shared" si="12"/>
        <v>8338.994999999999</v>
      </c>
      <c r="P280" s="3" t="str">
        <f t="shared" si="13"/>
        <v>Low Price</v>
      </c>
      <c r="Q280" s="3" t="str" cm="1">
        <f t="array" ref="Q280">_xlfn.IFS(N280&gt;=10,"High",N280&gt;=5,"Medium",N280&lt;5,"Low")</f>
        <v>High</v>
      </c>
      <c r="R280" s="3" t="str">
        <f t="shared" si="14"/>
        <v>Medium</v>
      </c>
    </row>
    <row r="281" spans="1:18" x14ac:dyDescent="0.25">
      <c r="A281" s="3">
        <v>10343</v>
      </c>
      <c r="B281" s="3">
        <v>1488</v>
      </c>
      <c r="C281" s="4">
        <v>45196</v>
      </c>
      <c r="D281" s="4">
        <v>45204</v>
      </c>
      <c r="E281" s="3" t="s">
        <v>45</v>
      </c>
      <c r="F281" s="3" t="s">
        <v>22</v>
      </c>
      <c r="G281" s="3" t="s">
        <v>16</v>
      </c>
      <c r="H281" s="3" t="s">
        <v>17</v>
      </c>
      <c r="I281" s="3" t="s">
        <v>48</v>
      </c>
      <c r="J281" s="3" t="s">
        <v>50</v>
      </c>
      <c r="K281" s="3" t="s">
        <v>20</v>
      </c>
      <c r="L281" s="3">
        <v>7</v>
      </c>
      <c r="M281" s="3">
        <v>313.51</v>
      </c>
      <c r="N281" s="3">
        <v>0</v>
      </c>
      <c r="O281" s="3">
        <f t="shared" si="12"/>
        <v>2194.5699999999997</v>
      </c>
      <c r="P281" s="3" t="str">
        <f t="shared" si="13"/>
        <v>Low Price</v>
      </c>
      <c r="Q281" s="3" t="str" cm="1">
        <f t="array" ref="Q281">_xlfn.IFS(N281&gt;=10,"High",N281&gt;=5,"Medium",N281&lt;5,"Low")</f>
        <v>Low</v>
      </c>
      <c r="R281" s="3" t="str">
        <f t="shared" si="14"/>
        <v>Medium</v>
      </c>
    </row>
    <row r="282" spans="1:18" x14ac:dyDescent="0.25">
      <c r="A282" s="3">
        <v>10344</v>
      </c>
      <c r="B282" s="3">
        <v>1928</v>
      </c>
      <c r="C282" s="4">
        <v>45094</v>
      </c>
      <c r="D282" s="4">
        <v>45101</v>
      </c>
      <c r="E282" s="3" t="s">
        <v>21</v>
      </c>
      <c r="F282" s="3" t="s">
        <v>28</v>
      </c>
      <c r="G282" s="3" t="s">
        <v>29</v>
      </c>
      <c r="H282" s="3" t="s">
        <v>43</v>
      </c>
      <c r="I282" s="3" t="s">
        <v>51</v>
      </c>
      <c r="J282" s="3" t="s">
        <v>55</v>
      </c>
      <c r="K282" s="3" t="s">
        <v>32</v>
      </c>
      <c r="L282" s="3">
        <v>4</v>
      </c>
      <c r="M282" s="3">
        <v>2785.81</v>
      </c>
      <c r="N282" s="3">
        <v>20</v>
      </c>
      <c r="O282" s="3">
        <f t="shared" si="12"/>
        <v>8914.5920000000006</v>
      </c>
      <c r="P282" s="3" t="str">
        <f t="shared" si="13"/>
        <v>Low Price</v>
      </c>
      <c r="Q282" s="3" t="str" cm="1">
        <f t="array" ref="Q282">_xlfn.IFS(N282&gt;=10,"High",N282&gt;=5,"Medium",N282&lt;5,"Low")</f>
        <v>High</v>
      </c>
      <c r="R282" s="3" t="str">
        <f t="shared" si="14"/>
        <v>Low</v>
      </c>
    </row>
    <row r="283" spans="1:18" x14ac:dyDescent="0.25">
      <c r="A283" s="3">
        <v>10345</v>
      </c>
      <c r="B283" s="3">
        <v>1935</v>
      </c>
      <c r="C283" s="4">
        <v>44984</v>
      </c>
      <c r="D283" s="4">
        <v>44993</v>
      </c>
      <c r="E283" s="3" t="s">
        <v>33</v>
      </c>
      <c r="F283" s="3" t="s">
        <v>28</v>
      </c>
      <c r="G283" s="3" t="s">
        <v>29</v>
      </c>
      <c r="H283" s="3" t="s">
        <v>41</v>
      </c>
      <c r="I283" s="3" t="s">
        <v>25</v>
      </c>
      <c r="J283" s="3" t="s">
        <v>35</v>
      </c>
      <c r="K283" s="3" t="s">
        <v>44</v>
      </c>
      <c r="L283" s="3">
        <v>1</v>
      </c>
      <c r="M283" s="3">
        <v>3625.42</v>
      </c>
      <c r="N283" s="3">
        <v>10</v>
      </c>
      <c r="O283" s="3">
        <f t="shared" si="12"/>
        <v>3262.8780000000002</v>
      </c>
      <c r="P283" s="3" t="str">
        <f t="shared" si="13"/>
        <v>Low Price</v>
      </c>
      <c r="Q283" s="3" t="str" cm="1">
        <f t="array" ref="Q283">_xlfn.IFS(N283&gt;=10,"High",N283&gt;=5,"Medium",N283&lt;5,"Low")</f>
        <v>High</v>
      </c>
      <c r="R283" s="3" t="str">
        <f t="shared" si="14"/>
        <v>Low</v>
      </c>
    </row>
    <row r="284" spans="1:18" x14ac:dyDescent="0.25">
      <c r="A284" s="3">
        <v>10347</v>
      </c>
      <c r="B284" s="3">
        <v>1550</v>
      </c>
      <c r="C284" s="4">
        <v>44952</v>
      </c>
      <c r="D284" s="4">
        <v>44954</v>
      </c>
      <c r="E284" s="3" t="s">
        <v>14</v>
      </c>
      <c r="F284" s="3" t="s">
        <v>28</v>
      </c>
      <c r="G284" s="3" t="s">
        <v>23</v>
      </c>
      <c r="H284" s="3" t="s">
        <v>43</v>
      </c>
      <c r="I284" s="3" t="s">
        <v>18</v>
      </c>
      <c r="J284" s="3" t="s">
        <v>19</v>
      </c>
      <c r="K284" s="3" t="s">
        <v>44</v>
      </c>
      <c r="L284" s="3">
        <v>4</v>
      </c>
      <c r="M284" s="3">
        <v>640.37</v>
      </c>
      <c r="N284" s="3">
        <v>20</v>
      </c>
      <c r="O284" s="3">
        <f t="shared" si="12"/>
        <v>2049.1840000000002</v>
      </c>
      <c r="P284" s="3" t="str">
        <f t="shared" si="13"/>
        <v>Low Price</v>
      </c>
      <c r="Q284" s="3" t="str" cm="1">
        <f t="array" ref="Q284">_xlfn.IFS(N284&gt;=10,"High",N284&gt;=5,"Medium",N284&lt;5,"Low")</f>
        <v>High</v>
      </c>
      <c r="R284" s="3" t="str">
        <f t="shared" si="14"/>
        <v>Low</v>
      </c>
    </row>
    <row r="285" spans="1:18" x14ac:dyDescent="0.25">
      <c r="A285" s="3">
        <v>10350</v>
      </c>
      <c r="B285" s="3">
        <v>1640</v>
      </c>
      <c r="C285" s="4">
        <v>45180</v>
      </c>
      <c r="D285" s="4">
        <v>45185</v>
      </c>
      <c r="E285" s="3" t="s">
        <v>14</v>
      </c>
      <c r="F285" s="3" t="s">
        <v>40</v>
      </c>
      <c r="G285" s="3" t="s">
        <v>16</v>
      </c>
      <c r="H285" s="3" t="s">
        <v>43</v>
      </c>
      <c r="I285" s="3" t="s">
        <v>56</v>
      </c>
      <c r="J285" s="3" t="s">
        <v>61</v>
      </c>
      <c r="K285" s="3" t="s">
        <v>20</v>
      </c>
      <c r="L285" s="3">
        <v>1</v>
      </c>
      <c r="M285" s="3">
        <v>3708.38</v>
      </c>
      <c r="N285" s="3">
        <v>20</v>
      </c>
      <c r="O285" s="3">
        <f t="shared" si="12"/>
        <v>2966.7040000000002</v>
      </c>
      <c r="P285" s="3" t="str">
        <f t="shared" si="13"/>
        <v>Low Price</v>
      </c>
      <c r="Q285" s="3" t="str" cm="1">
        <f t="array" ref="Q285">_xlfn.IFS(N285&gt;=10,"High",N285&gt;=5,"Medium",N285&lt;5,"Low")</f>
        <v>High</v>
      </c>
      <c r="R285" s="3" t="str">
        <f t="shared" si="14"/>
        <v>Low</v>
      </c>
    </row>
    <row r="286" spans="1:18" x14ac:dyDescent="0.25">
      <c r="A286" s="3">
        <v>10351</v>
      </c>
      <c r="B286" s="3">
        <v>1778</v>
      </c>
      <c r="C286" s="4">
        <v>44970</v>
      </c>
      <c r="D286" s="4">
        <v>44972</v>
      </c>
      <c r="E286" s="3" t="s">
        <v>45</v>
      </c>
      <c r="F286" s="3" t="s">
        <v>15</v>
      </c>
      <c r="G286" s="3" t="s">
        <v>29</v>
      </c>
      <c r="H286" s="3" t="s">
        <v>34</v>
      </c>
      <c r="I286" s="3" t="s">
        <v>30</v>
      </c>
      <c r="J286" s="3" t="s">
        <v>31</v>
      </c>
      <c r="K286" s="3" t="s">
        <v>44</v>
      </c>
      <c r="L286" s="3">
        <v>3</v>
      </c>
      <c r="M286" s="3">
        <v>1923.58</v>
      </c>
      <c r="N286" s="3">
        <v>15</v>
      </c>
      <c r="O286" s="3">
        <f t="shared" si="12"/>
        <v>4905.1289999999999</v>
      </c>
      <c r="P286" s="3" t="str">
        <f t="shared" si="13"/>
        <v>Low Price</v>
      </c>
      <c r="Q286" s="3" t="str" cm="1">
        <f t="array" ref="Q286">_xlfn.IFS(N286&gt;=10,"High",N286&gt;=5,"Medium",N286&lt;5,"Low")</f>
        <v>High</v>
      </c>
      <c r="R286" s="3" t="str">
        <f t="shared" si="14"/>
        <v>Low</v>
      </c>
    </row>
    <row r="287" spans="1:18" x14ac:dyDescent="0.25">
      <c r="A287" s="3">
        <v>10352</v>
      </c>
      <c r="B287" s="3">
        <v>1987</v>
      </c>
      <c r="C287" s="4">
        <v>45023</v>
      </c>
      <c r="D287" s="4">
        <v>45026</v>
      </c>
      <c r="E287" s="3" t="s">
        <v>45</v>
      </c>
      <c r="F287" s="3" t="s">
        <v>22</v>
      </c>
      <c r="G287" s="3" t="s">
        <v>29</v>
      </c>
      <c r="H287" s="3" t="s">
        <v>17</v>
      </c>
      <c r="I287" s="3" t="s">
        <v>25</v>
      </c>
      <c r="J287" s="3" t="s">
        <v>35</v>
      </c>
      <c r="K287" s="3" t="s">
        <v>44</v>
      </c>
      <c r="L287" s="3">
        <v>2</v>
      </c>
      <c r="M287" s="3">
        <v>2071.04</v>
      </c>
      <c r="N287" s="3">
        <v>20</v>
      </c>
      <c r="O287" s="3">
        <f t="shared" si="12"/>
        <v>3313.6640000000002</v>
      </c>
      <c r="P287" s="3" t="str">
        <f t="shared" si="13"/>
        <v>Low Price</v>
      </c>
      <c r="Q287" s="3" t="str" cm="1">
        <f t="array" ref="Q287">_xlfn.IFS(N287&gt;=10,"High",N287&gt;=5,"Medium",N287&lt;5,"Low")</f>
        <v>High</v>
      </c>
      <c r="R287" s="3" t="str">
        <f t="shared" si="14"/>
        <v>Low</v>
      </c>
    </row>
    <row r="288" spans="1:18" x14ac:dyDescent="0.25">
      <c r="A288" s="3">
        <v>10355</v>
      </c>
      <c r="B288" s="3">
        <v>1945</v>
      </c>
      <c r="C288" s="4">
        <v>45188</v>
      </c>
      <c r="D288" s="4">
        <v>45191</v>
      </c>
      <c r="E288" s="3" t="s">
        <v>36</v>
      </c>
      <c r="F288" s="3" t="s">
        <v>22</v>
      </c>
      <c r="G288" s="3" t="s">
        <v>29</v>
      </c>
      <c r="H288" s="3" t="s">
        <v>34</v>
      </c>
      <c r="I288" s="3" t="s">
        <v>51</v>
      </c>
      <c r="J288" s="3" t="s">
        <v>52</v>
      </c>
      <c r="K288" s="3" t="s">
        <v>20</v>
      </c>
      <c r="L288" s="3">
        <v>9</v>
      </c>
      <c r="M288" s="3">
        <v>2632.88</v>
      </c>
      <c r="N288" s="3">
        <v>5</v>
      </c>
      <c r="O288" s="3">
        <f t="shared" si="12"/>
        <v>22511.124</v>
      </c>
      <c r="P288" s="3" t="str">
        <f t="shared" si="13"/>
        <v>High Price</v>
      </c>
      <c r="Q288" s="3" t="str" cm="1">
        <f t="array" ref="Q288">_xlfn.IFS(N288&gt;=10,"High",N288&gt;=5,"Medium",N288&lt;5,"Low")</f>
        <v>Medium</v>
      </c>
      <c r="R288" s="3" t="str">
        <f t="shared" si="14"/>
        <v>High</v>
      </c>
    </row>
    <row r="289" spans="1:18" x14ac:dyDescent="0.25">
      <c r="A289" s="3">
        <v>10356</v>
      </c>
      <c r="B289" s="3">
        <v>1150</v>
      </c>
      <c r="C289" s="4">
        <v>45093</v>
      </c>
      <c r="D289" s="4">
        <v>45102</v>
      </c>
      <c r="E289" s="3" t="s">
        <v>15</v>
      </c>
      <c r="F289" s="3" t="s">
        <v>37</v>
      </c>
      <c r="G289" s="3" t="s">
        <v>29</v>
      </c>
      <c r="H289" s="3" t="s">
        <v>41</v>
      </c>
      <c r="I289" s="3" t="s">
        <v>30</v>
      </c>
      <c r="J289" s="3" t="s">
        <v>47</v>
      </c>
      <c r="K289" s="3" t="s">
        <v>20</v>
      </c>
      <c r="L289" s="3">
        <v>9</v>
      </c>
      <c r="M289" s="3">
        <v>1259.77</v>
      </c>
      <c r="N289" s="3">
        <v>15</v>
      </c>
      <c r="O289" s="3">
        <f t="shared" si="12"/>
        <v>9637.2404999999999</v>
      </c>
      <c r="P289" s="3" t="str">
        <f t="shared" si="13"/>
        <v>Low Price</v>
      </c>
      <c r="Q289" s="3" t="str" cm="1">
        <f t="array" ref="Q289">_xlfn.IFS(N289&gt;=10,"High",N289&gt;=5,"Medium",N289&lt;5,"Low")</f>
        <v>High</v>
      </c>
      <c r="R289" s="3" t="str">
        <f t="shared" si="14"/>
        <v>High</v>
      </c>
    </row>
    <row r="290" spans="1:18" x14ac:dyDescent="0.25">
      <c r="A290" s="3">
        <v>10357</v>
      </c>
      <c r="B290" s="3">
        <v>1414</v>
      </c>
      <c r="C290" s="4">
        <v>45205</v>
      </c>
      <c r="D290" s="4">
        <v>45213</v>
      </c>
      <c r="E290" s="3" t="s">
        <v>36</v>
      </c>
      <c r="F290" s="3" t="s">
        <v>37</v>
      </c>
      <c r="G290" s="3" t="s">
        <v>16</v>
      </c>
      <c r="H290" s="3" t="s">
        <v>24</v>
      </c>
      <c r="I290" s="3" t="s">
        <v>56</v>
      </c>
      <c r="J290" s="3" t="s">
        <v>57</v>
      </c>
      <c r="K290" s="3" t="s">
        <v>27</v>
      </c>
      <c r="L290" s="3">
        <v>8</v>
      </c>
      <c r="M290" s="3">
        <v>1300.31</v>
      </c>
      <c r="N290" s="3">
        <v>0</v>
      </c>
      <c r="O290" s="3">
        <f t="shared" si="12"/>
        <v>10402.48</v>
      </c>
      <c r="P290" s="3" t="str">
        <f t="shared" si="13"/>
        <v>Low Price</v>
      </c>
      <c r="Q290" s="3" t="str" cm="1">
        <f t="array" ref="Q290">_xlfn.IFS(N290&gt;=10,"High",N290&gt;=5,"Medium",N290&lt;5,"Low")</f>
        <v>Low</v>
      </c>
      <c r="R290" s="3" t="str">
        <f t="shared" si="14"/>
        <v>Medium</v>
      </c>
    </row>
    <row r="291" spans="1:18" x14ac:dyDescent="0.25">
      <c r="A291" s="3">
        <v>10358</v>
      </c>
      <c r="B291" s="3">
        <v>1989</v>
      </c>
      <c r="C291" s="4">
        <v>45015</v>
      </c>
      <c r="D291" s="4">
        <v>45019</v>
      </c>
      <c r="E291" s="3" t="s">
        <v>14</v>
      </c>
      <c r="F291" s="3" t="s">
        <v>28</v>
      </c>
      <c r="G291" s="3" t="s">
        <v>29</v>
      </c>
      <c r="H291" s="3" t="s">
        <v>34</v>
      </c>
      <c r="I291" s="3" t="s">
        <v>56</v>
      </c>
      <c r="J291" s="3" t="s">
        <v>57</v>
      </c>
      <c r="K291" s="3" t="s">
        <v>32</v>
      </c>
      <c r="L291" s="3">
        <v>8</v>
      </c>
      <c r="M291" s="3">
        <v>3581.12</v>
      </c>
      <c r="N291" s="3">
        <v>15</v>
      </c>
      <c r="O291" s="3">
        <f t="shared" si="12"/>
        <v>24351.615999999998</v>
      </c>
      <c r="P291" s="3" t="str">
        <f t="shared" si="13"/>
        <v>High Price</v>
      </c>
      <c r="Q291" s="3" t="str" cm="1">
        <f t="array" ref="Q291">_xlfn.IFS(N291&gt;=10,"High",N291&gt;=5,"Medium",N291&lt;5,"Low")</f>
        <v>High</v>
      </c>
      <c r="R291" s="3" t="str">
        <f t="shared" si="14"/>
        <v>Medium</v>
      </c>
    </row>
    <row r="292" spans="1:18" x14ac:dyDescent="0.25">
      <c r="A292" s="3">
        <v>10359</v>
      </c>
      <c r="B292" s="3">
        <v>1297</v>
      </c>
      <c r="C292" s="4">
        <v>45104</v>
      </c>
      <c r="D292" s="4">
        <v>45105</v>
      </c>
      <c r="E292" s="3" t="s">
        <v>15</v>
      </c>
      <c r="F292" s="3" t="s">
        <v>40</v>
      </c>
      <c r="G292" s="3" t="s">
        <v>16</v>
      </c>
      <c r="H292" s="3" t="s">
        <v>24</v>
      </c>
      <c r="I292" s="3" t="s">
        <v>30</v>
      </c>
      <c r="J292" s="3" t="s">
        <v>47</v>
      </c>
      <c r="K292" s="3" t="s">
        <v>46</v>
      </c>
      <c r="L292" s="3">
        <v>1</v>
      </c>
      <c r="M292" s="3">
        <v>202.49</v>
      </c>
      <c r="N292" s="3">
        <v>5</v>
      </c>
      <c r="O292" s="3">
        <f t="shared" si="12"/>
        <v>192.3655</v>
      </c>
      <c r="P292" s="3" t="str">
        <f t="shared" si="13"/>
        <v>Low Price</v>
      </c>
      <c r="Q292" s="3" t="str" cm="1">
        <f t="array" ref="Q292">_xlfn.IFS(N292&gt;=10,"High",N292&gt;=5,"Medium",N292&lt;5,"Low")</f>
        <v>Medium</v>
      </c>
      <c r="R292" s="3" t="str">
        <f t="shared" si="14"/>
        <v>Low</v>
      </c>
    </row>
    <row r="293" spans="1:18" x14ac:dyDescent="0.25">
      <c r="A293" s="3">
        <v>10360</v>
      </c>
      <c r="B293" s="3">
        <v>1610</v>
      </c>
      <c r="C293" s="4">
        <v>45123</v>
      </c>
      <c r="D293" s="4">
        <v>45124</v>
      </c>
      <c r="E293" s="3" t="s">
        <v>33</v>
      </c>
      <c r="F293" s="3" t="s">
        <v>40</v>
      </c>
      <c r="G293" s="3" t="s">
        <v>29</v>
      </c>
      <c r="H293" s="3" t="s">
        <v>41</v>
      </c>
      <c r="I293" s="3" t="s">
        <v>30</v>
      </c>
      <c r="J293" s="3" t="s">
        <v>31</v>
      </c>
      <c r="K293" s="3" t="s">
        <v>44</v>
      </c>
      <c r="L293" s="3">
        <v>8</v>
      </c>
      <c r="M293" s="3">
        <v>1392.5</v>
      </c>
      <c r="N293" s="3">
        <v>15</v>
      </c>
      <c r="O293" s="3">
        <f t="shared" si="12"/>
        <v>9469</v>
      </c>
      <c r="P293" s="3" t="str">
        <f t="shared" si="13"/>
        <v>Low Price</v>
      </c>
      <c r="Q293" s="3" t="str" cm="1">
        <f t="array" ref="Q293">_xlfn.IFS(N293&gt;=10,"High",N293&gt;=5,"Medium",N293&lt;5,"Low")</f>
        <v>High</v>
      </c>
      <c r="R293" s="3" t="str">
        <f t="shared" si="14"/>
        <v>Medium</v>
      </c>
    </row>
    <row r="294" spans="1:18" x14ac:dyDescent="0.25">
      <c r="A294" s="3">
        <v>10361</v>
      </c>
      <c r="B294" s="3">
        <v>1262</v>
      </c>
      <c r="C294" s="4">
        <v>45233</v>
      </c>
      <c r="D294" s="4">
        <v>45234</v>
      </c>
      <c r="E294" s="3" t="s">
        <v>33</v>
      </c>
      <c r="F294" s="3" t="s">
        <v>22</v>
      </c>
      <c r="G294" s="3" t="s">
        <v>23</v>
      </c>
      <c r="H294" s="3" t="s">
        <v>43</v>
      </c>
      <c r="I294" s="3" t="s">
        <v>56</v>
      </c>
      <c r="J294" s="3" t="s">
        <v>58</v>
      </c>
      <c r="K294" s="3" t="s">
        <v>20</v>
      </c>
      <c r="L294" s="3">
        <v>3</v>
      </c>
      <c r="M294" s="3">
        <v>2284.27</v>
      </c>
      <c r="N294" s="3">
        <v>20</v>
      </c>
      <c r="O294" s="3">
        <f t="shared" si="12"/>
        <v>5482.2479999999996</v>
      </c>
      <c r="P294" s="3" t="str">
        <f t="shared" si="13"/>
        <v>Low Price</v>
      </c>
      <c r="Q294" s="3" t="str" cm="1">
        <f t="array" ref="Q294">_xlfn.IFS(N294&gt;=10,"High",N294&gt;=5,"Medium",N294&lt;5,"Low")</f>
        <v>High</v>
      </c>
      <c r="R294" s="3" t="str">
        <f t="shared" si="14"/>
        <v>Low</v>
      </c>
    </row>
    <row r="295" spans="1:18" x14ac:dyDescent="0.25">
      <c r="A295" s="3">
        <v>10365</v>
      </c>
      <c r="B295" s="3">
        <v>1623</v>
      </c>
      <c r="C295" s="4">
        <v>44934</v>
      </c>
      <c r="D295" s="4">
        <v>44940</v>
      </c>
      <c r="E295" s="3" t="s">
        <v>15</v>
      </c>
      <c r="F295" s="3" t="s">
        <v>40</v>
      </c>
      <c r="G295" s="3" t="s">
        <v>16</v>
      </c>
      <c r="H295" s="3" t="s">
        <v>34</v>
      </c>
      <c r="I295" s="3" t="s">
        <v>51</v>
      </c>
      <c r="J295" s="3" t="s">
        <v>52</v>
      </c>
      <c r="K295" s="3" t="s">
        <v>32</v>
      </c>
      <c r="L295" s="3">
        <v>5</v>
      </c>
      <c r="M295" s="3">
        <v>3593.46</v>
      </c>
      <c r="N295" s="3">
        <v>20</v>
      </c>
      <c r="O295" s="3">
        <f t="shared" si="12"/>
        <v>14373.84</v>
      </c>
      <c r="P295" s="3" t="str">
        <f t="shared" si="13"/>
        <v>Low Price</v>
      </c>
      <c r="Q295" s="3" t="str" cm="1">
        <f t="array" ref="Q295">_xlfn.IFS(N295&gt;=10,"High",N295&gt;=5,"Medium",N295&lt;5,"Low")</f>
        <v>High</v>
      </c>
      <c r="R295" s="3" t="str">
        <f t="shared" si="14"/>
        <v>Medium</v>
      </c>
    </row>
    <row r="296" spans="1:18" x14ac:dyDescent="0.25">
      <c r="A296" s="3">
        <v>10366</v>
      </c>
      <c r="B296" s="3">
        <v>1571</v>
      </c>
      <c r="C296" s="4">
        <v>45223</v>
      </c>
      <c r="D296" s="4">
        <v>45226</v>
      </c>
      <c r="E296" s="3" t="s">
        <v>14</v>
      </c>
      <c r="F296" s="3" t="s">
        <v>15</v>
      </c>
      <c r="G296" s="3" t="s">
        <v>23</v>
      </c>
      <c r="H296" s="3" t="s">
        <v>41</v>
      </c>
      <c r="I296" s="3" t="s">
        <v>48</v>
      </c>
      <c r="J296" s="3" t="s">
        <v>62</v>
      </c>
      <c r="K296" s="3" t="s">
        <v>20</v>
      </c>
      <c r="L296" s="3">
        <v>5</v>
      </c>
      <c r="M296" s="3">
        <v>3320.88</v>
      </c>
      <c r="N296" s="3">
        <v>0</v>
      </c>
      <c r="O296" s="3">
        <f t="shared" si="12"/>
        <v>16604.400000000001</v>
      </c>
      <c r="P296" s="3" t="str">
        <f t="shared" si="13"/>
        <v>High Price</v>
      </c>
      <c r="Q296" s="3" t="str" cm="1">
        <f t="array" ref="Q296">_xlfn.IFS(N296&gt;=10,"High",N296&gt;=5,"Medium",N296&lt;5,"Low")</f>
        <v>Low</v>
      </c>
      <c r="R296" s="3" t="str">
        <f t="shared" si="14"/>
        <v>Medium</v>
      </c>
    </row>
    <row r="297" spans="1:18" x14ac:dyDescent="0.25">
      <c r="A297" s="3">
        <v>10367</v>
      </c>
      <c r="B297" s="3">
        <v>1880</v>
      </c>
      <c r="C297" s="4">
        <v>45090</v>
      </c>
      <c r="D297" s="4">
        <v>45095</v>
      </c>
      <c r="E297" s="3" t="s">
        <v>45</v>
      </c>
      <c r="F297" s="3" t="s">
        <v>40</v>
      </c>
      <c r="G297" s="3" t="s">
        <v>29</v>
      </c>
      <c r="H297" s="3" t="s">
        <v>34</v>
      </c>
      <c r="I297" s="3" t="s">
        <v>56</v>
      </c>
      <c r="J297" s="3" t="s">
        <v>61</v>
      </c>
      <c r="K297" s="3" t="s">
        <v>44</v>
      </c>
      <c r="L297" s="3">
        <v>8</v>
      </c>
      <c r="M297" s="3">
        <v>3610.33</v>
      </c>
      <c r="N297" s="3">
        <v>5</v>
      </c>
      <c r="O297" s="3">
        <f t="shared" si="12"/>
        <v>27438.507999999998</v>
      </c>
      <c r="P297" s="3" t="str">
        <f t="shared" si="13"/>
        <v>High Price</v>
      </c>
      <c r="Q297" s="3" t="str" cm="1">
        <f t="array" ref="Q297">_xlfn.IFS(N297&gt;=10,"High",N297&gt;=5,"Medium",N297&lt;5,"Low")</f>
        <v>Medium</v>
      </c>
      <c r="R297" s="3" t="str">
        <f t="shared" si="14"/>
        <v>Medium</v>
      </c>
    </row>
    <row r="298" spans="1:18" x14ac:dyDescent="0.25">
      <c r="A298" s="3">
        <v>10369</v>
      </c>
      <c r="B298" s="3">
        <v>1896</v>
      </c>
      <c r="C298" s="4">
        <v>44998</v>
      </c>
      <c r="D298" s="4">
        <v>45000</v>
      </c>
      <c r="E298" s="3" t="s">
        <v>21</v>
      </c>
      <c r="F298" s="3" t="s">
        <v>22</v>
      </c>
      <c r="G298" s="3" t="s">
        <v>16</v>
      </c>
      <c r="H298" s="3" t="s">
        <v>34</v>
      </c>
      <c r="I298" s="3" t="s">
        <v>25</v>
      </c>
      <c r="J298" s="3" t="s">
        <v>35</v>
      </c>
      <c r="K298" s="3" t="s">
        <v>46</v>
      </c>
      <c r="L298" s="3">
        <v>8</v>
      </c>
      <c r="M298" s="3">
        <v>3277.19</v>
      </c>
      <c r="N298" s="3">
        <v>15</v>
      </c>
      <c r="O298" s="3">
        <f t="shared" si="12"/>
        <v>22284.892</v>
      </c>
      <c r="P298" s="3" t="str">
        <f t="shared" si="13"/>
        <v>High Price</v>
      </c>
      <c r="Q298" s="3" t="str" cm="1">
        <f t="array" ref="Q298">_xlfn.IFS(N298&gt;=10,"High",N298&gt;=5,"Medium",N298&lt;5,"Low")</f>
        <v>High</v>
      </c>
      <c r="R298" s="3" t="str">
        <f t="shared" si="14"/>
        <v>Medium</v>
      </c>
    </row>
    <row r="299" spans="1:18" x14ac:dyDescent="0.25">
      <c r="A299" s="3">
        <v>10370</v>
      </c>
      <c r="B299" s="3">
        <v>1303</v>
      </c>
      <c r="C299" s="4">
        <v>44981</v>
      </c>
      <c r="D299" s="4">
        <v>44987</v>
      </c>
      <c r="E299" s="3" t="s">
        <v>21</v>
      </c>
      <c r="F299" s="3" t="s">
        <v>40</v>
      </c>
      <c r="G299" s="3" t="s">
        <v>29</v>
      </c>
      <c r="H299" s="3" t="s">
        <v>17</v>
      </c>
      <c r="I299" s="3" t="s">
        <v>48</v>
      </c>
      <c r="J299" s="3" t="s">
        <v>62</v>
      </c>
      <c r="K299" s="3" t="s">
        <v>27</v>
      </c>
      <c r="L299" s="3">
        <v>6</v>
      </c>
      <c r="M299" s="3">
        <v>1628.56</v>
      </c>
      <c r="N299" s="3">
        <v>0</v>
      </c>
      <c r="O299" s="3">
        <f t="shared" si="12"/>
        <v>9771.36</v>
      </c>
      <c r="P299" s="3" t="str">
        <f t="shared" si="13"/>
        <v>Low Price</v>
      </c>
      <c r="Q299" s="3" t="str" cm="1">
        <f t="array" ref="Q299">_xlfn.IFS(N299&gt;=10,"High",N299&gt;=5,"Medium",N299&lt;5,"Low")</f>
        <v>Low</v>
      </c>
      <c r="R299" s="3" t="str">
        <f t="shared" si="14"/>
        <v>Medium</v>
      </c>
    </row>
    <row r="300" spans="1:18" x14ac:dyDescent="0.25">
      <c r="A300" s="3">
        <v>10371</v>
      </c>
      <c r="B300" s="3">
        <v>1253</v>
      </c>
      <c r="C300" s="4">
        <v>44973</v>
      </c>
      <c r="D300" s="4">
        <v>44979</v>
      </c>
      <c r="E300" s="3" t="s">
        <v>33</v>
      </c>
      <c r="F300" s="3" t="s">
        <v>40</v>
      </c>
      <c r="G300" s="3" t="s">
        <v>16</v>
      </c>
      <c r="H300" s="3" t="s">
        <v>17</v>
      </c>
      <c r="I300" s="3" t="s">
        <v>48</v>
      </c>
      <c r="J300" s="3" t="s">
        <v>67</v>
      </c>
      <c r="K300" s="3" t="s">
        <v>46</v>
      </c>
      <c r="L300" s="3">
        <v>6</v>
      </c>
      <c r="M300" s="3">
        <v>2715.13</v>
      </c>
      <c r="N300" s="3">
        <v>20</v>
      </c>
      <c r="O300" s="3">
        <f t="shared" si="12"/>
        <v>13032.624000000002</v>
      </c>
      <c r="P300" s="3" t="str">
        <f t="shared" si="13"/>
        <v>Low Price</v>
      </c>
      <c r="Q300" s="3" t="str" cm="1">
        <f t="array" ref="Q300">_xlfn.IFS(N300&gt;=10,"High",N300&gt;=5,"Medium",N300&lt;5,"Low")</f>
        <v>High</v>
      </c>
      <c r="R300" s="3" t="str">
        <f t="shared" si="14"/>
        <v>Medium</v>
      </c>
    </row>
    <row r="301" spans="1:18" x14ac:dyDescent="0.25">
      <c r="A301" s="3">
        <v>10372</v>
      </c>
      <c r="B301" s="3">
        <v>1651</v>
      </c>
      <c r="C301" s="4">
        <v>45164</v>
      </c>
      <c r="D301" s="4">
        <v>45167</v>
      </c>
      <c r="E301" s="3" t="s">
        <v>15</v>
      </c>
      <c r="F301" s="3" t="s">
        <v>22</v>
      </c>
      <c r="G301" s="3" t="s">
        <v>23</v>
      </c>
      <c r="H301" s="3" t="s">
        <v>34</v>
      </c>
      <c r="I301" s="3" t="s">
        <v>48</v>
      </c>
      <c r="J301" s="3" t="s">
        <v>62</v>
      </c>
      <c r="K301" s="3" t="s">
        <v>20</v>
      </c>
      <c r="L301" s="3">
        <v>2</v>
      </c>
      <c r="M301" s="3">
        <v>3957.02</v>
      </c>
      <c r="N301" s="3">
        <v>5</v>
      </c>
      <c r="O301" s="3">
        <f t="shared" si="12"/>
        <v>7518.3379999999997</v>
      </c>
      <c r="P301" s="3" t="str">
        <f t="shared" si="13"/>
        <v>Low Price</v>
      </c>
      <c r="Q301" s="3" t="str" cm="1">
        <f t="array" ref="Q301">_xlfn.IFS(N301&gt;=10,"High",N301&gt;=5,"Medium",N301&lt;5,"Low")</f>
        <v>Medium</v>
      </c>
      <c r="R301" s="3" t="str">
        <f t="shared" si="14"/>
        <v>Low</v>
      </c>
    </row>
    <row r="302" spans="1:18" x14ac:dyDescent="0.25">
      <c r="A302" s="3">
        <v>10373</v>
      </c>
      <c r="B302" s="3">
        <v>1452</v>
      </c>
      <c r="C302" s="4">
        <v>45030</v>
      </c>
      <c r="D302" s="4">
        <v>45036</v>
      </c>
      <c r="E302" s="3" t="s">
        <v>21</v>
      </c>
      <c r="F302" s="3" t="s">
        <v>15</v>
      </c>
      <c r="G302" s="3" t="s">
        <v>23</v>
      </c>
      <c r="H302" s="3" t="s">
        <v>17</v>
      </c>
      <c r="I302" s="3" t="s">
        <v>51</v>
      </c>
      <c r="J302" s="3" t="s">
        <v>52</v>
      </c>
      <c r="K302" s="3" t="s">
        <v>20</v>
      </c>
      <c r="L302" s="3">
        <v>6</v>
      </c>
      <c r="M302" s="3">
        <v>1019.05</v>
      </c>
      <c r="N302" s="3">
        <v>0</v>
      </c>
      <c r="O302" s="3">
        <f t="shared" si="12"/>
        <v>6114.2999999999993</v>
      </c>
      <c r="P302" s="3" t="str">
        <f t="shared" si="13"/>
        <v>Low Price</v>
      </c>
      <c r="Q302" s="3" t="str" cm="1">
        <f t="array" ref="Q302">_xlfn.IFS(N302&gt;=10,"High",N302&gt;=5,"Medium",N302&lt;5,"Low")</f>
        <v>Low</v>
      </c>
      <c r="R302" s="3" t="str">
        <f t="shared" si="14"/>
        <v>Medium</v>
      </c>
    </row>
    <row r="303" spans="1:18" x14ac:dyDescent="0.25">
      <c r="A303" s="3">
        <v>10374</v>
      </c>
      <c r="B303" s="3">
        <v>1036</v>
      </c>
      <c r="C303" s="4">
        <v>45136</v>
      </c>
      <c r="D303" s="4">
        <v>45141</v>
      </c>
      <c r="E303" s="3" t="s">
        <v>36</v>
      </c>
      <c r="F303" s="3" t="s">
        <v>15</v>
      </c>
      <c r="G303" s="3" t="s">
        <v>16</v>
      </c>
      <c r="H303" s="3" t="s">
        <v>41</v>
      </c>
      <c r="I303" s="3" t="s">
        <v>56</v>
      </c>
      <c r="J303" s="3" t="s">
        <v>57</v>
      </c>
      <c r="K303" s="3" t="s">
        <v>32</v>
      </c>
      <c r="L303" s="3">
        <v>5</v>
      </c>
      <c r="M303" s="3">
        <v>1651.11</v>
      </c>
      <c r="N303" s="3">
        <v>20</v>
      </c>
      <c r="O303" s="3">
        <f t="shared" si="12"/>
        <v>6604.44</v>
      </c>
      <c r="P303" s="3" t="str">
        <f t="shared" si="13"/>
        <v>Low Price</v>
      </c>
      <c r="Q303" s="3" t="str" cm="1">
        <f t="array" ref="Q303">_xlfn.IFS(N303&gt;=10,"High",N303&gt;=5,"Medium",N303&lt;5,"Low")</f>
        <v>High</v>
      </c>
      <c r="R303" s="3" t="str">
        <f t="shared" si="14"/>
        <v>Medium</v>
      </c>
    </row>
    <row r="304" spans="1:18" x14ac:dyDescent="0.25">
      <c r="A304" s="3">
        <v>10376</v>
      </c>
      <c r="B304" s="3">
        <v>1008</v>
      </c>
      <c r="C304" s="4">
        <v>45242</v>
      </c>
      <c r="D304" s="4">
        <v>45251</v>
      </c>
      <c r="E304" s="3" t="s">
        <v>36</v>
      </c>
      <c r="F304" s="3" t="s">
        <v>53</v>
      </c>
      <c r="G304" s="3" t="s">
        <v>29</v>
      </c>
      <c r="H304" s="3" t="s">
        <v>17</v>
      </c>
      <c r="I304" s="3" t="s">
        <v>56</v>
      </c>
      <c r="J304" s="3" t="s">
        <v>58</v>
      </c>
      <c r="K304" s="3" t="s">
        <v>44</v>
      </c>
      <c r="L304" s="3">
        <v>6</v>
      </c>
      <c r="M304" s="3">
        <v>681.36</v>
      </c>
      <c r="N304" s="3">
        <v>15</v>
      </c>
      <c r="O304" s="3">
        <f t="shared" si="12"/>
        <v>3474.9359999999997</v>
      </c>
      <c r="P304" s="3" t="str">
        <f t="shared" si="13"/>
        <v>Low Price</v>
      </c>
      <c r="Q304" s="3" t="str" cm="1">
        <f t="array" ref="Q304">_xlfn.IFS(N304&gt;=10,"High",N304&gt;=5,"Medium",N304&lt;5,"Low")</f>
        <v>High</v>
      </c>
      <c r="R304" s="3" t="str">
        <f t="shared" si="14"/>
        <v>Medium</v>
      </c>
    </row>
    <row r="305" spans="1:18" x14ac:dyDescent="0.25">
      <c r="A305" s="3">
        <v>10379</v>
      </c>
      <c r="B305" s="3">
        <v>1658</v>
      </c>
      <c r="C305" s="4">
        <v>45262</v>
      </c>
      <c r="D305" s="4">
        <v>45270</v>
      </c>
      <c r="E305" s="3" t="s">
        <v>14</v>
      </c>
      <c r="F305" s="3" t="s">
        <v>15</v>
      </c>
      <c r="G305" s="3" t="s">
        <v>23</v>
      </c>
      <c r="H305" s="3" t="s">
        <v>34</v>
      </c>
      <c r="I305" s="3" t="s">
        <v>25</v>
      </c>
      <c r="J305" s="3" t="s">
        <v>68</v>
      </c>
      <c r="K305" s="3" t="s">
        <v>44</v>
      </c>
      <c r="L305" s="3">
        <v>1</v>
      </c>
      <c r="M305" s="3">
        <v>3910.66</v>
      </c>
      <c r="N305" s="3">
        <v>5</v>
      </c>
      <c r="O305" s="3">
        <f t="shared" si="12"/>
        <v>3715.1269999999995</v>
      </c>
      <c r="P305" s="3" t="str">
        <f t="shared" si="13"/>
        <v>Low Price</v>
      </c>
      <c r="Q305" s="3" t="str" cm="1">
        <f t="array" ref="Q305">_xlfn.IFS(N305&gt;=10,"High",N305&gt;=5,"Medium",N305&lt;5,"Low")</f>
        <v>Medium</v>
      </c>
      <c r="R305" s="3" t="str">
        <f t="shared" si="14"/>
        <v>Low</v>
      </c>
    </row>
    <row r="306" spans="1:18" x14ac:dyDescent="0.25">
      <c r="A306" s="3">
        <v>10381</v>
      </c>
      <c r="B306" s="3">
        <v>1207</v>
      </c>
      <c r="C306" s="4">
        <v>45185</v>
      </c>
      <c r="D306" s="4">
        <v>45188</v>
      </c>
      <c r="E306" s="3" t="s">
        <v>15</v>
      </c>
      <c r="F306" s="3" t="s">
        <v>22</v>
      </c>
      <c r="G306" s="3" t="s">
        <v>23</v>
      </c>
      <c r="H306" s="3" t="s">
        <v>43</v>
      </c>
      <c r="I306" s="3" t="s">
        <v>51</v>
      </c>
      <c r="J306" s="3" t="s">
        <v>55</v>
      </c>
      <c r="K306" s="3" t="s">
        <v>46</v>
      </c>
      <c r="L306" s="3">
        <v>3</v>
      </c>
      <c r="M306" s="3">
        <v>487.45</v>
      </c>
      <c r="N306" s="3">
        <v>5</v>
      </c>
      <c r="O306" s="3">
        <f t="shared" si="12"/>
        <v>1389.2324999999998</v>
      </c>
      <c r="P306" s="3" t="str">
        <f t="shared" si="13"/>
        <v>Low Price</v>
      </c>
      <c r="Q306" s="3" t="str" cm="1">
        <f t="array" ref="Q306">_xlfn.IFS(N306&gt;=10,"High",N306&gt;=5,"Medium",N306&lt;5,"Low")</f>
        <v>Medium</v>
      </c>
      <c r="R306" s="3" t="str">
        <f t="shared" si="14"/>
        <v>Low</v>
      </c>
    </row>
    <row r="307" spans="1:18" x14ac:dyDescent="0.25">
      <c r="A307" s="3">
        <v>10383</v>
      </c>
      <c r="B307" s="3">
        <v>1403</v>
      </c>
      <c r="C307" s="4">
        <v>45040</v>
      </c>
      <c r="D307" s="4">
        <v>45042</v>
      </c>
      <c r="E307" s="3" t="s">
        <v>36</v>
      </c>
      <c r="F307" s="3" t="s">
        <v>22</v>
      </c>
      <c r="G307" s="3" t="s">
        <v>23</v>
      </c>
      <c r="H307" s="3" t="s">
        <v>41</v>
      </c>
      <c r="I307" s="3" t="s">
        <v>30</v>
      </c>
      <c r="J307" s="3" t="s">
        <v>47</v>
      </c>
      <c r="K307" s="3" t="s">
        <v>32</v>
      </c>
      <c r="L307" s="3">
        <v>1</v>
      </c>
      <c r="M307" s="3">
        <v>3581.58</v>
      </c>
      <c r="N307" s="3">
        <v>15</v>
      </c>
      <c r="O307" s="3">
        <f t="shared" si="12"/>
        <v>3044.3429999999998</v>
      </c>
      <c r="P307" s="3" t="str">
        <f t="shared" si="13"/>
        <v>Low Price</v>
      </c>
      <c r="Q307" s="3" t="str" cm="1">
        <f t="array" ref="Q307">_xlfn.IFS(N307&gt;=10,"High",N307&gt;=5,"Medium",N307&lt;5,"Low")</f>
        <v>High</v>
      </c>
      <c r="R307" s="3" t="str">
        <f t="shared" si="14"/>
        <v>Low</v>
      </c>
    </row>
    <row r="308" spans="1:18" x14ac:dyDescent="0.25">
      <c r="A308" s="3">
        <v>10384</v>
      </c>
      <c r="B308" s="3">
        <v>1151</v>
      </c>
      <c r="C308" s="4">
        <v>45289</v>
      </c>
      <c r="D308" s="4">
        <v>45297</v>
      </c>
      <c r="E308" s="3" t="s">
        <v>21</v>
      </c>
      <c r="F308" s="3" t="s">
        <v>15</v>
      </c>
      <c r="G308" s="3" t="s">
        <v>23</v>
      </c>
      <c r="H308" s="3" t="s">
        <v>41</v>
      </c>
      <c r="I308" s="3" t="s">
        <v>18</v>
      </c>
      <c r="J308" s="3" t="s">
        <v>54</v>
      </c>
      <c r="K308" s="3" t="s">
        <v>27</v>
      </c>
      <c r="L308" s="3">
        <v>5</v>
      </c>
      <c r="M308" s="3">
        <v>1935.68</v>
      </c>
      <c r="N308" s="3">
        <v>20</v>
      </c>
      <c r="O308" s="3">
        <f t="shared" si="12"/>
        <v>7742.72</v>
      </c>
      <c r="P308" s="3" t="str">
        <f t="shared" si="13"/>
        <v>Low Price</v>
      </c>
      <c r="Q308" s="3" t="str" cm="1">
        <f t="array" ref="Q308">_xlfn.IFS(N308&gt;=10,"High",N308&gt;=5,"Medium",N308&lt;5,"Low")</f>
        <v>High</v>
      </c>
      <c r="R308" s="3" t="str">
        <f t="shared" si="14"/>
        <v>Medium</v>
      </c>
    </row>
    <row r="309" spans="1:18" x14ac:dyDescent="0.25">
      <c r="A309" s="3">
        <v>10385</v>
      </c>
      <c r="B309" s="3">
        <v>1053</v>
      </c>
      <c r="C309" s="4">
        <v>44966</v>
      </c>
      <c r="D309" s="4">
        <v>44967</v>
      </c>
      <c r="E309" s="3" t="s">
        <v>15</v>
      </c>
      <c r="F309" s="3" t="s">
        <v>22</v>
      </c>
      <c r="G309" s="3" t="s">
        <v>23</v>
      </c>
      <c r="H309" s="3" t="s">
        <v>41</v>
      </c>
      <c r="I309" s="3" t="s">
        <v>51</v>
      </c>
      <c r="J309" s="3" t="s">
        <v>63</v>
      </c>
      <c r="K309" s="3" t="s">
        <v>32</v>
      </c>
      <c r="L309" s="3">
        <v>3</v>
      </c>
      <c r="M309" s="3">
        <v>1382.11</v>
      </c>
      <c r="N309" s="3">
        <v>10</v>
      </c>
      <c r="O309" s="3">
        <f t="shared" si="12"/>
        <v>3731.6970000000001</v>
      </c>
      <c r="P309" s="3" t="str">
        <f t="shared" si="13"/>
        <v>Low Price</v>
      </c>
      <c r="Q309" s="3" t="str" cm="1">
        <f t="array" ref="Q309">_xlfn.IFS(N309&gt;=10,"High",N309&gt;=5,"Medium",N309&lt;5,"Low")</f>
        <v>High</v>
      </c>
      <c r="R309" s="3" t="str">
        <f t="shared" si="14"/>
        <v>Low</v>
      </c>
    </row>
    <row r="310" spans="1:18" x14ac:dyDescent="0.25">
      <c r="A310" s="3">
        <v>10386</v>
      </c>
      <c r="B310" s="3">
        <v>1119</v>
      </c>
      <c r="C310" s="4">
        <v>45146</v>
      </c>
      <c r="D310" s="4">
        <v>45154</v>
      </c>
      <c r="E310" s="3" t="s">
        <v>14</v>
      </c>
      <c r="F310" s="3" t="s">
        <v>22</v>
      </c>
      <c r="G310" s="3" t="s">
        <v>23</v>
      </c>
      <c r="H310" s="3" t="s">
        <v>43</v>
      </c>
      <c r="I310" s="3" t="s">
        <v>48</v>
      </c>
      <c r="J310" s="3" t="s">
        <v>67</v>
      </c>
      <c r="K310" s="3" t="s">
        <v>27</v>
      </c>
      <c r="L310" s="3">
        <v>2</v>
      </c>
      <c r="M310" s="3">
        <v>1984.38</v>
      </c>
      <c r="N310" s="3">
        <v>10</v>
      </c>
      <c r="O310" s="3">
        <f t="shared" si="12"/>
        <v>3571.8840000000005</v>
      </c>
      <c r="P310" s="3" t="str">
        <f t="shared" si="13"/>
        <v>Low Price</v>
      </c>
      <c r="Q310" s="3" t="str" cm="1">
        <f t="array" ref="Q310">_xlfn.IFS(N310&gt;=10,"High",N310&gt;=5,"Medium",N310&lt;5,"Low")</f>
        <v>High</v>
      </c>
      <c r="R310" s="3" t="str">
        <f t="shared" si="14"/>
        <v>Low</v>
      </c>
    </row>
    <row r="311" spans="1:18" x14ac:dyDescent="0.25">
      <c r="A311" s="3">
        <v>10387</v>
      </c>
      <c r="B311" s="3">
        <v>1672</v>
      </c>
      <c r="C311" s="4">
        <v>45055</v>
      </c>
      <c r="D311" s="4">
        <v>45062</v>
      </c>
      <c r="E311" s="3" t="s">
        <v>45</v>
      </c>
      <c r="F311" s="3" t="s">
        <v>28</v>
      </c>
      <c r="G311" s="3" t="s">
        <v>23</v>
      </c>
      <c r="H311" s="3" t="s">
        <v>41</v>
      </c>
      <c r="I311" s="3" t="s">
        <v>30</v>
      </c>
      <c r="J311" s="3" t="s">
        <v>31</v>
      </c>
      <c r="K311" s="3" t="s">
        <v>32</v>
      </c>
      <c r="L311" s="3">
        <v>8</v>
      </c>
      <c r="M311" s="3">
        <v>1375.47</v>
      </c>
      <c r="N311" s="3">
        <v>15</v>
      </c>
      <c r="O311" s="3">
        <f t="shared" si="12"/>
        <v>9353.1959999999999</v>
      </c>
      <c r="P311" s="3" t="str">
        <f t="shared" si="13"/>
        <v>Low Price</v>
      </c>
      <c r="Q311" s="3" t="str" cm="1">
        <f t="array" ref="Q311">_xlfn.IFS(N311&gt;=10,"High",N311&gt;=5,"Medium",N311&lt;5,"Low")</f>
        <v>High</v>
      </c>
      <c r="R311" s="3" t="str">
        <f t="shared" si="14"/>
        <v>Medium</v>
      </c>
    </row>
    <row r="312" spans="1:18" x14ac:dyDescent="0.25">
      <c r="A312" s="3">
        <v>10388</v>
      </c>
      <c r="B312" s="3">
        <v>1919</v>
      </c>
      <c r="C312" s="4">
        <v>44934</v>
      </c>
      <c r="D312" s="4">
        <v>44941</v>
      </c>
      <c r="E312" s="3" t="s">
        <v>21</v>
      </c>
      <c r="F312" s="3" t="s">
        <v>53</v>
      </c>
      <c r="G312" s="3" t="s">
        <v>29</v>
      </c>
      <c r="H312" s="3" t="s">
        <v>17</v>
      </c>
      <c r="I312" s="3" t="s">
        <v>30</v>
      </c>
      <c r="J312" s="3" t="s">
        <v>38</v>
      </c>
      <c r="K312" s="3" t="s">
        <v>32</v>
      </c>
      <c r="L312" s="3">
        <v>3</v>
      </c>
      <c r="M312" s="3">
        <v>2032.79</v>
      </c>
      <c r="N312" s="3">
        <v>10</v>
      </c>
      <c r="O312" s="3">
        <f t="shared" si="12"/>
        <v>5488.5330000000004</v>
      </c>
      <c r="P312" s="3" t="str">
        <f t="shared" si="13"/>
        <v>Low Price</v>
      </c>
      <c r="Q312" s="3" t="str" cm="1">
        <f t="array" ref="Q312">_xlfn.IFS(N312&gt;=10,"High",N312&gt;=5,"Medium",N312&lt;5,"Low")</f>
        <v>High</v>
      </c>
      <c r="R312" s="3" t="str">
        <f t="shared" si="14"/>
        <v>Low</v>
      </c>
    </row>
    <row r="313" spans="1:18" x14ac:dyDescent="0.25">
      <c r="A313" s="3">
        <v>10390</v>
      </c>
      <c r="B313" s="3">
        <v>1586</v>
      </c>
      <c r="C313" s="4">
        <v>45102</v>
      </c>
      <c r="D313" s="4">
        <v>45103</v>
      </c>
      <c r="E313" s="3" t="s">
        <v>39</v>
      </c>
      <c r="F313" s="3" t="s">
        <v>53</v>
      </c>
      <c r="G313" s="3" t="s">
        <v>23</v>
      </c>
      <c r="H313" s="3" t="s">
        <v>34</v>
      </c>
      <c r="I313" s="3" t="s">
        <v>30</v>
      </c>
      <c r="J313" s="3" t="s">
        <v>47</v>
      </c>
      <c r="K313" s="3" t="s">
        <v>46</v>
      </c>
      <c r="L313" s="3">
        <v>1</v>
      </c>
      <c r="M313" s="3">
        <v>2430.36</v>
      </c>
      <c r="N313" s="3">
        <v>15</v>
      </c>
      <c r="O313" s="3">
        <f t="shared" si="12"/>
        <v>2065.806</v>
      </c>
      <c r="P313" s="3" t="str">
        <f t="shared" si="13"/>
        <v>Low Price</v>
      </c>
      <c r="Q313" s="3" t="str" cm="1">
        <f t="array" ref="Q313">_xlfn.IFS(N313&gt;=10,"High",N313&gt;=5,"Medium",N313&lt;5,"Low")</f>
        <v>High</v>
      </c>
      <c r="R313" s="3" t="str">
        <f t="shared" si="14"/>
        <v>Low</v>
      </c>
    </row>
    <row r="314" spans="1:18" x14ac:dyDescent="0.25">
      <c r="A314" s="3">
        <v>10392</v>
      </c>
      <c r="B314" s="3">
        <v>1967</v>
      </c>
      <c r="C314" s="4">
        <v>45027</v>
      </c>
      <c r="D314" s="4">
        <v>45036</v>
      </c>
      <c r="E314" s="3" t="s">
        <v>21</v>
      </c>
      <c r="F314" s="3" t="s">
        <v>37</v>
      </c>
      <c r="G314" s="3" t="s">
        <v>23</v>
      </c>
      <c r="H314" s="3" t="s">
        <v>24</v>
      </c>
      <c r="I314" s="3" t="s">
        <v>51</v>
      </c>
      <c r="J314" s="3" t="s">
        <v>59</v>
      </c>
      <c r="K314" s="3" t="s">
        <v>32</v>
      </c>
      <c r="L314" s="3">
        <v>3</v>
      </c>
      <c r="M314" s="3">
        <v>1553.98</v>
      </c>
      <c r="N314" s="3">
        <v>15</v>
      </c>
      <c r="O314" s="3">
        <f t="shared" si="12"/>
        <v>3962.6490000000003</v>
      </c>
      <c r="P314" s="3" t="str">
        <f t="shared" si="13"/>
        <v>Low Price</v>
      </c>
      <c r="Q314" s="3" t="str" cm="1">
        <f t="array" ref="Q314">_xlfn.IFS(N314&gt;=10,"High",N314&gt;=5,"Medium",N314&lt;5,"Low")</f>
        <v>High</v>
      </c>
      <c r="R314" s="3" t="str">
        <f t="shared" si="14"/>
        <v>Low</v>
      </c>
    </row>
    <row r="315" spans="1:18" x14ac:dyDescent="0.25">
      <c r="A315" s="3">
        <v>10393</v>
      </c>
      <c r="B315" s="3">
        <v>1419</v>
      </c>
      <c r="C315" s="4">
        <v>45186</v>
      </c>
      <c r="D315" s="4">
        <v>45191</v>
      </c>
      <c r="E315" s="3" t="s">
        <v>39</v>
      </c>
      <c r="F315" s="3" t="s">
        <v>22</v>
      </c>
      <c r="G315" s="3" t="s">
        <v>23</v>
      </c>
      <c r="H315" s="3" t="s">
        <v>34</v>
      </c>
      <c r="I315" s="3" t="s">
        <v>51</v>
      </c>
      <c r="J315" s="3" t="s">
        <v>59</v>
      </c>
      <c r="K315" s="3" t="s">
        <v>44</v>
      </c>
      <c r="L315" s="3">
        <v>8</v>
      </c>
      <c r="M315" s="3">
        <v>2993.25</v>
      </c>
      <c r="N315" s="3">
        <v>10</v>
      </c>
      <c r="O315" s="3">
        <f t="shared" si="12"/>
        <v>21551.4</v>
      </c>
      <c r="P315" s="3" t="str">
        <f t="shared" si="13"/>
        <v>High Price</v>
      </c>
      <c r="Q315" s="3" t="str" cm="1">
        <f t="array" ref="Q315">_xlfn.IFS(N315&gt;=10,"High",N315&gt;=5,"Medium",N315&lt;5,"Low")</f>
        <v>High</v>
      </c>
      <c r="R315" s="3" t="str">
        <f t="shared" si="14"/>
        <v>Medium</v>
      </c>
    </row>
    <row r="316" spans="1:18" x14ac:dyDescent="0.25">
      <c r="A316" s="3">
        <v>10394</v>
      </c>
      <c r="B316" s="3">
        <v>1421</v>
      </c>
      <c r="C316" s="4">
        <v>45172</v>
      </c>
      <c r="D316" s="4">
        <v>45173</v>
      </c>
      <c r="E316" s="3" t="s">
        <v>21</v>
      </c>
      <c r="F316" s="3" t="s">
        <v>28</v>
      </c>
      <c r="G316" s="3" t="s">
        <v>16</v>
      </c>
      <c r="H316" s="3" t="s">
        <v>17</v>
      </c>
      <c r="I316" s="3" t="s">
        <v>48</v>
      </c>
      <c r="J316" s="3" t="s">
        <v>49</v>
      </c>
      <c r="K316" s="3" t="s">
        <v>46</v>
      </c>
      <c r="L316" s="3">
        <v>6</v>
      </c>
      <c r="M316" s="3">
        <v>2716.48</v>
      </c>
      <c r="N316" s="3">
        <v>0</v>
      </c>
      <c r="O316" s="3">
        <f t="shared" si="12"/>
        <v>16298.880000000001</v>
      </c>
      <c r="P316" s="3" t="str">
        <f t="shared" si="13"/>
        <v>High Price</v>
      </c>
      <c r="Q316" s="3" t="str" cm="1">
        <f t="array" ref="Q316">_xlfn.IFS(N316&gt;=10,"High",N316&gt;=5,"Medium",N316&lt;5,"Low")</f>
        <v>Low</v>
      </c>
      <c r="R316" s="3" t="str">
        <f t="shared" si="14"/>
        <v>Medium</v>
      </c>
    </row>
    <row r="317" spans="1:18" x14ac:dyDescent="0.25">
      <c r="A317" s="3">
        <v>10395</v>
      </c>
      <c r="B317" s="3">
        <v>1103</v>
      </c>
      <c r="C317" s="4">
        <v>45201</v>
      </c>
      <c r="D317" s="4">
        <v>45206</v>
      </c>
      <c r="E317" s="3" t="s">
        <v>15</v>
      </c>
      <c r="F317" s="3" t="s">
        <v>22</v>
      </c>
      <c r="G317" s="3" t="s">
        <v>23</v>
      </c>
      <c r="H317" s="3" t="s">
        <v>43</v>
      </c>
      <c r="I317" s="3" t="s">
        <v>25</v>
      </c>
      <c r="J317" s="3" t="s">
        <v>35</v>
      </c>
      <c r="K317" s="3" t="s">
        <v>44</v>
      </c>
      <c r="L317" s="3">
        <v>2</v>
      </c>
      <c r="M317" s="3">
        <v>610.30999999999995</v>
      </c>
      <c r="N317" s="3">
        <v>10</v>
      </c>
      <c r="O317" s="3">
        <f t="shared" si="12"/>
        <v>1098.558</v>
      </c>
      <c r="P317" s="3" t="str">
        <f t="shared" si="13"/>
        <v>Low Price</v>
      </c>
      <c r="Q317" s="3" t="str" cm="1">
        <f t="array" ref="Q317">_xlfn.IFS(N317&gt;=10,"High",N317&gt;=5,"Medium",N317&lt;5,"Low")</f>
        <v>High</v>
      </c>
      <c r="R317" s="3" t="str">
        <f t="shared" si="14"/>
        <v>Low</v>
      </c>
    </row>
    <row r="318" spans="1:18" x14ac:dyDescent="0.25">
      <c r="A318" s="3">
        <v>10396</v>
      </c>
      <c r="B318" s="3">
        <v>1851</v>
      </c>
      <c r="C318" s="4">
        <v>44958</v>
      </c>
      <c r="D318" s="4">
        <v>44966</v>
      </c>
      <c r="E318" s="3" t="s">
        <v>45</v>
      </c>
      <c r="F318" s="3" t="s">
        <v>15</v>
      </c>
      <c r="G318" s="3" t="s">
        <v>29</v>
      </c>
      <c r="H318" s="3" t="s">
        <v>43</v>
      </c>
      <c r="I318" s="3" t="s">
        <v>48</v>
      </c>
      <c r="J318" s="3" t="s">
        <v>50</v>
      </c>
      <c r="K318" s="3" t="s">
        <v>46</v>
      </c>
      <c r="L318" s="3">
        <v>6</v>
      </c>
      <c r="M318" s="3">
        <v>2354.67</v>
      </c>
      <c r="N318" s="3">
        <v>15</v>
      </c>
      <c r="O318" s="3">
        <f t="shared" si="12"/>
        <v>12008.817000000001</v>
      </c>
      <c r="P318" s="3" t="str">
        <f t="shared" si="13"/>
        <v>Low Price</v>
      </c>
      <c r="Q318" s="3" t="str" cm="1">
        <f t="array" ref="Q318">_xlfn.IFS(N318&gt;=10,"High",N318&gt;=5,"Medium",N318&lt;5,"Low")</f>
        <v>High</v>
      </c>
      <c r="R318" s="3" t="str">
        <f t="shared" si="14"/>
        <v>Medium</v>
      </c>
    </row>
    <row r="319" spans="1:18" x14ac:dyDescent="0.25">
      <c r="A319" s="3">
        <v>10398</v>
      </c>
      <c r="B319" s="3">
        <v>1226</v>
      </c>
      <c r="C319" s="4">
        <v>44938</v>
      </c>
      <c r="D319" s="4">
        <v>44943</v>
      </c>
      <c r="E319" s="3" t="s">
        <v>21</v>
      </c>
      <c r="F319" s="3" t="s">
        <v>28</v>
      </c>
      <c r="G319" s="3" t="s">
        <v>16</v>
      </c>
      <c r="H319" s="3" t="s">
        <v>43</v>
      </c>
      <c r="I319" s="3" t="s">
        <v>48</v>
      </c>
      <c r="J319" s="3" t="s">
        <v>62</v>
      </c>
      <c r="K319" s="3" t="s">
        <v>32</v>
      </c>
      <c r="L319" s="3">
        <v>5</v>
      </c>
      <c r="M319" s="3">
        <v>3245.77</v>
      </c>
      <c r="N319" s="3">
        <v>0</v>
      </c>
      <c r="O319" s="3">
        <f t="shared" si="12"/>
        <v>16228.85</v>
      </c>
      <c r="P319" s="3" t="str">
        <f t="shared" si="13"/>
        <v>High Price</v>
      </c>
      <c r="Q319" s="3" t="str" cm="1">
        <f t="array" ref="Q319">_xlfn.IFS(N319&gt;=10,"High",N319&gt;=5,"Medium",N319&lt;5,"Low")</f>
        <v>Low</v>
      </c>
      <c r="R319" s="3" t="str">
        <f t="shared" si="14"/>
        <v>Medium</v>
      </c>
    </row>
    <row r="320" spans="1:18" x14ac:dyDescent="0.25">
      <c r="A320" s="3">
        <v>10399</v>
      </c>
      <c r="B320" s="3">
        <v>1111</v>
      </c>
      <c r="C320" s="4">
        <v>45228</v>
      </c>
      <c r="D320" s="4">
        <v>45237</v>
      </c>
      <c r="E320" s="3" t="s">
        <v>15</v>
      </c>
      <c r="F320" s="3" t="s">
        <v>15</v>
      </c>
      <c r="G320" s="3" t="s">
        <v>23</v>
      </c>
      <c r="H320" s="3" t="s">
        <v>41</v>
      </c>
      <c r="I320" s="3" t="s">
        <v>18</v>
      </c>
      <c r="J320" s="3" t="s">
        <v>42</v>
      </c>
      <c r="K320" s="3" t="s">
        <v>32</v>
      </c>
      <c r="L320" s="3">
        <v>3</v>
      </c>
      <c r="M320" s="3">
        <v>1789.86</v>
      </c>
      <c r="N320" s="3">
        <v>0</v>
      </c>
      <c r="O320" s="3">
        <f t="shared" si="12"/>
        <v>5369.58</v>
      </c>
      <c r="P320" s="3" t="str">
        <f t="shared" si="13"/>
        <v>Low Price</v>
      </c>
      <c r="Q320" s="3" t="str" cm="1">
        <f t="array" ref="Q320">_xlfn.IFS(N320&gt;=10,"High",N320&gt;=5,"Medium",N320&lt;5,"Low")</f>
        <v>Low</v>
      </c>
      <c r="R320" s="3" t="str">
        <f t="shared" si="14"/>
        <v>Low</v>
      </c>
    </row>
    <row r="321" spans="1:18" x14ac:dyDescent="0.25">
      <c r="A321" s="3">
        <v>10403</v>
      </c>
      <c r="B321" s="3">
        <v>1152</v>
      </c>
      <c r="C321" s="4">
        <v>45035</v>
      </c>
      <c r="D321" s="4">
        <v>45037</v>
      </c>
      <c r="E321" s="3" t="s">
        <v>15</v>
      </c>
      <c r="F321" s="3" t="s">
        <v>37</v>
      </c>
      <c r="G321" s="3" t="s">
        <v>23</v>
      </c>
      <c r="H321" s="3" t="s">
        <v>43</v>
      </c>
      <c r="I321" s="3" t="s">
        <v>25</v>
      </c>
      <c r="J321" s="3" t="s">
        <v>35</v>
      </c>
      <c r="K321" s="3" t="s">
        <v>20</v>
      </c>
      <c r="L321" s="3">
        <v>1</v>
      </c>
      <c r="M321" s="3">
        <v>2743.75</v>
      </c>
      <c r="N321" s="3">
        <v>15</v>
      </c>
      <c r="O321" s="3">
        <f t="shared" si="12"/>
        <v>2332.1875</v>
      </c>
      <c r="P321" s="3" t="str">
        <f t="shared" si="13"/>
        <v>Low Price</v>
      </c>
      <c r="Q321" s="3" t="str" cm="1">
        <f t="array" ref="Q321">_xlfn.IFS(N321&gt;=10,"High",N321&gt;=5,"Medium",N321&lt;5,"Low")</f>
        <v>High</v>
      </c>
      <c r="R321" s="3" t="str">
        <f t="shared" si="14"/>
        <v>Low</v>
      </c>
    </row>
    <row r="322" spans="1:18" x14ac:dyDescent="0.25">
      <c r="A322" s="3">
        <v>10405</v>
      </c>
      <c r="B322" s="3">
        <v>1913</v>
      </c>
      <c r="C322" s="4">
        <v>45084</v>
      </c>
      <c r="D322" s="4">
        <v>45091</v>
      </c>
      <c r="E322" s="3" t="s">
        <v>45</v>
      </c>
      <c r="F322" s="3" t="s">
        <v>22</v>
      </c>
      <c r="G322" s="3" t="s">
        <v>23</v>
      </c>
      <c r="H322" s="3" t="s">
        <v>24</v>
      </c>
      <c r="I322" s="3" t="s">
        <v>18</v>
      </c>
      <c r="J322" s="3" t="s">
        <v>65</v>
      </c>
      <c r="K322" s="3" t="s">
        <v>44</v>
      </c>
      <c r="L322" s="3">
        <v>4</v>
      </c>
      <c r="M322" s="3">
        <v>1333.99</v>
      </c>
      <c r="N322" s="3">
        <v>5</v>
      </c>
      <c r="O322" s="3">
        <f t="shared" si="12"/>
        <v>5069.1619999999994</v>
      </c>
      <c r="P322" s="3" t="str">
        <f t="shared" si="13"/>
        <v>Low Price</v>
      </c>
      <c r="Q322" s="3" t="str" cm="1">
        <f t="array" ref="Q322">_xlfn.IFS(N322&gt;=10,"High",N322&gt;=5,"Medium",N322&lt;5,"Low")</f>
        <v>Medium</v>
      </c>
      <c r="R322" s="3" t="str">
        <f t="shared" si="14"/>
        <v>Low</v>
      </c>
    </row>
    <row r="323" spans="1:18" x14ac:dyDescent="0.25">
      <c r="A323" s="3">
        <v>10406</v>
      </c>
      <c r="B323" s="3">
        <v>1895</v>
      </c>
      <c r="C323" s="4">
        <v>45195</v>
      </c>
      <c r="D323" s="4">
        <v>45204</v>
      </c>
      <c r="E323" s="3" t="s">
        <v>15</v>
      </c>
      <c r="F323" s="3" t="s">
        <v>28</v>
      </c>
      <c r="G323" s="3" t="s">
        <v>29</v>
      </c>
      <c r="H323" s="3" t="s">
        <v>43</v>
      </c>
      <c r="I323" s="3" t="s">
        <v>48</v>
      </c>
      <c r="J323" s="3" t="s">
        <v>50</v>
      </c>
      <c r="K323" s="3" t="s">
        <v>20</v>
      </c>
      <c r="L323" s="3">
        <v>1</v>
      </c>
      <c r="M323" s="3">
        <v>2044.41</v>
      </c>
      <c r="N323" s="3">
        <v>0</v>
      </c>
      <c r="O323" s="3">
        <f t="shared" ref="O323:O373" si="15">(L323*M323)*(1-N323/100)</f>
        <v>2044.41</v>
      </c>
      <c r="P323" s="3" t="str">
        <f t="shared" ref="P323:P373" si="16">IF(O323&gt;=15000,"High Price","Low Price")</f>
        <v>Low Price</v>
      </c>
      <c r="Q323" s="3" t="str" cm="1">
        <f t="array" ref="Q323">_xlfn.IFS(N323&gt;=10,"High",N323&gt;=5,"Medium",N323&lt;5,"Low")</f>
        <v>Low</v>
      </c>
      <c r="R323" s="3" t="str">
        <f t="shared" ref="R323:R373" si="17">IF(L323&gt;8,"High",IF(L323&gt;4,"Medium","Low"))</f>
        <v>Low</v>
      </c>
    </row>
    <row r="324" spans="1:18" x14ac:dyDescent="0.25">
      <c r="A324" s="3">
        <v>10407</v>
      </c>
      <c r="B324" s="3">
        <v>1877</v>
      </c>
      <c r="C324" s="4">
        <v>45088</v>
      </c>
      <c r="D324" s="4">
        <v>45090</v>
      </c>
      <c r="E324" s="3" t="s">
        <v>21</v>
      </c>
      <c r="F324" s="3" t="s">
        <v>22</v>
      </c>
      <c r="G324" s="3" t="s">
        <v>23</v>
      </c>
      <c r="H324" s="3" t="s">
        <v>24</v>
      </c>
      <c r="I324" s="3" t="s">
        <v>51</v>
      </c>
      <c r="J324" s="3" t="s">
        <v>52</v>
      </c>
      <c r="K324" s="3" t="s">
        <v>32</v>
      </c>
      <c r="L324" s="3">
        <v>9</v>
      </c>
      <c r="M324" s="3">
        <v>3216.56</v>
      </c>
      <c r="N324" s="3">
        <v>20</v>
      </c>
      <c r="O324" s="3">
        <f t="shared" si="15"/>
        <v>23159.232000000004</v>
      </c>
      <c r="P324" s="3" t="str">
        <f t="shared" si="16"/>
        <v>High Price</v>
      </c>
      <c r="Q324" s="3" t="str" cm="1">
        <f t="array" ref="Q324">_xlfn.IFS(N324&gt;=10,"High",N324&gt;=5,"Medium",N324&lt;5,"Low")</f>
        <v>High</v>
      </c>
      <c r="R324" s="3" t="str">
        <f t="shared" si="17"/>
        <v>High</v>
      </c>
    </row>
    <row r="325" spans="1:18" x14ac:dyDescent="0.25">
      <c r="A325" s="3">
        <v>10409</v>
      </c>
      <c r="B325" s="3">
        <v>1705</v>
      </c>
      <c r="C325" s="4">
        <v>45028</v>
      </c>
      <c r="D325" s="4">
        <v>45034</v>
      </c>
      <c r="E325" s="3" t="s">
        <v>36</v>
      </c>
      <c r="F325" s="3" t="s">
        <v>15</v>
      </c>
      <c r="G325" s="3" t="s">
        <v>23</v>
      </c>
      <c r="H325" s="3" t="s">
        <v>17</v>
      </c>
      <c r="I325" s="3" t="s">
        <v>30</v>
      </c>
      <c r="J325" s="3" t="s">
        <v>38</v>
      </c>
      <c r="K325" s="3" t="s">
        <v>32</v>
      </c>
      <c r="L325" s="3">
        <v>7</v>
      </c>
      <c r="M325" s="3">
        <v>1020.23</v>
      </c>
      <c r="N325" s="3">
        <v>10</v>
      </c>
      <c r="O325" s="3">
        <f t="shared" si="15"/>
        <v>6427.4490000000005</v>
      </c>
      <c r="P325" s="3" t="str">
        <f t="shared" si="16"/>
        <v>Low Price</v>
      </c>
      <c r="Q325" s="3" t="str" cm="1">
        <f t="array" ref="Q325">_xlfn.IFS(N325&gt;=10,"High",N325&gt;=5,"Medium",N325&lt;5,"Low")</f>
        <v>High</v>
      </c>
      <c r="R325" s="3" t="str">
        <f t="shared" si="17"/>
        <v>Medium</v>
      </c>
    </row>
    <row r="326" spans="1:18" x14ac:dyDescent="0.25">
      <c r="A326" s="3">
        <v>10411</v>
      </c>
      <c r="B326" s="3">
        <v>1162</v>
      </c>
      <c r="C326" s="4">
        <v>44985</v>
      </c>
      <c r="D326" s="4">
        <v>44993</v>
      </c>
      <c r="E326" s="3" t="s">
        <v>45</v>
      </c>
      <c r="F326" s="3" t="s">
        <v>15</v>
      </c>
      <c r="G326" s="3" t="s">
        <v>29</v>
      </c>
      <c r="H326" s="3" t="s">
        <v>24</v>
      </c>
      <c r="I326" s="3" t="s">
        <v>18</v>
      </c>
      <c r="J326" s="3" t="s">
        <v>42</v>
      </c>
      <c r="K326" s="3" t="s">
        <v>32</v>
      </c>
      <c r="L326" s="3">
        <v>3</v>
      </c>
      <c r="M326" s="3">
        <v>2165.7199999999998</v>
      </c>
      <c r="N326" s="3">
        <v>5</v>
      </c>
      <c r="O326" s="3">
        <f t="shared" si="15"/>
        <v>6172.3019999999997</v>
      </c>
      <c r="P326" s="3" t="str">
        <f t="shared" si="16"/>
        <v>Low Price</v>
      </c>
      <c r="Q326" s="3" t="str" cm="1">
        <f t="array" ref="Q326">_xlfn.IFS(N326&gt;=10,"High",N326&gt;=5,"Medium",N326&lt;5,"Low")</f>
        <v>Medium</v>
      </c>
      <c r="R326" s="3" t="str">
        <f t="shared" si="17"/>
        <v>Low</v>
      </c>
    </row>
    <row r="327" spans="1:18" x14ac:dyDescent="0.25">
      <c r="A327" s="3">
        <v>10413</v>
      </c>
      <c r="B327" s="3">
        <v>1956</v>
      </c>
      <c r="C327" s="4">
        <v>45054</v>
      </c>
      <c r="D327" s="4">
        <v>45056</v>
      </c>
      <c r="E327" s="3" t="s">
        <v>36</v>
      </c>
      <c r="F327" s="3" t="s">
        <v>53</v>
      </c>
      <c r="G327" s="3" t="s">
        <v>23</v>
      </c>
      <c r="H327" s="3" t="s">
        <v>17</v>
      </c>
      <c r="I327" s="3" t="s">
        <v>51</v>
      </c>
      <c r="J327" s="3" t="s">
        <v>52</v>
      </c>
      <c r="K327" s="3" t="s">
        <v>27</v>
      </c>
      <c r="L327" s="3">
        <v>8</v>
      </c>
      <c r="M327" s="3">
        <v>1297.5899999999999</v>
      </c>
      <c r="N327" s="3">
        <v>0</v>
      </c>
      <c r="O327" s="3">
        <f t="shared" si="15"/>
        <v>10380.719999999999</v>
      </c>
      <c r="P327" s="3" t="str">
        <f t="shared" si="16"/>
        <v>Low Price</v>
      </c>
      <c r="Q327" s="3" t="str" cm="1">
        <f t="array" ref="Q327">_xlfn.IFS(N327&gt;=10,"High",N327&gt;=5,"Medium",N327&lt;5,"Low")</f>
        <v>Low</v>
      </c>
      <c r="R327" s="3" t="str">
        <f t="shared" si="17"/>
        <v>Medium</v>
      </c>
    </row>
    <row r="328" spans="1:18" x14ac:dyDescent="0.25">
      <c r="A328" s="3">
        <v>10414</v>
      </c>
      <c r="B328" s="3">
        <v>1680</v>
      </c>
      <c r="C328" s="4">
        <v>45209</v>
      </c>
      <c r="D328" s="4">
        <v>45212</v>
      </c>
      <c r="E328" s="3" t="s">
        <v>45</v>
      </c>
      <c r="F328" s="3" t="s">
        <v>53</v>
      </c>
      <c r="G328" s="3" t="s">
        <v>29</v>
      </c>
      <c r="H328" s="3" t="s">
        <v>41</v>
      </c>
      <c r="I328" s="3" t="s">
        <v>25</v>
      </c>
      <c r="J328" s="3" t="s">
        <v>35</v>
      </c>
      <c r="K328" s="3" t="s">
        <v>44</v>
      </c>
      <c r="L328" s="3">
        <v>1</v>
      </c>
      <c r="M328" s="3">
        <v>1219.7</v>
      </c>
      <c r="N328" s="3">
        <v>5</v>
      </c>
      <c r="O328" s="3">
        <f t="shared" si="15"/>
        <v>1158.7149999999999</v>
      </c>
      <c r="P328" s="3" t="str">
        <f t="shared" si="16"/>
        <v>Low Price</v>
      </c>
      <c r="Q328" s="3" t="str" cm="1">
        <f t="array" ref="Q328">_xlfn.IFS(N328&gt;=10,"High",N328&gt;=5,"Medium",N328&lt;5,"Low")</f>
        <v>Medium</v>
      </c>
      <c r="R328" s="3" t="str">
        <f t="shared" si="17"/>
        <v>Low</v>
      </c>
    </row>
    <row r="329" spans="1:18" x14ac:dyDescent="0.25">
      <c r="A329" s="3">
        <v>10417</v>
      </c>
      <c r="B329" s="3">
        <v>1579</v>
      </c>
      <c r="C329" s="4">
        <v>45057</v>
      </c>
      <c r="D329" s="4">
        <v>45065</v>
      </c>
      <c r="E329" s="3" t="s">
        <v>21</v>
      </c>
      <c r="F329" s="3" t="s">
        <v>53</v>
      </c>
      <c r="G329" s="3" t="s">
        <v>16</v>
      </c>
      <c r="H329" s="3" t="s">
        <v>43</v>
      </c>
      <c r="I329" s="3" t="s">
        <v>51</v>
      </c>
      <c r="J329" s="3" t="s">
        <v>63</v>
      </c>
      <c r="K329" s="3" t="s">
        <v>44</v>
      </c>
      <c r="L329" s="3">
        <v>1</v>
      </c>
      <c r="M329" s="3">
        <v>3354.81</v>
      </c>
      <c r="N329" s="3">
        <v>0</v>
      </c>
      <c r="O329" s="3">
        <f t="shared" si="15"/>
        <v>3354.81</v>
      </c>
      <c r="P329" s="3" t="str">
        <f t="shared" si="16"/>
        <v>Low Price</v>
      </c>
      <c r="Q329" s="3" t="str" cm="1">
        <f t="array" ref="Q329">_xlfn.IFS(N329&gt;=10,"High",N329&gt;=5,"Medium",N329&lt;5,"Low")</f>
        <v>Low</v>
      </c>
      <c r="R329" s="3" t="str">
        <f t="shared" si="17"/>
        <v>Low</v>
      </c>
    </row>
    <row r="330" spans="1:18" x14ac:dyDescent="0.25">
      <c r="A330" s="3">
        <v>10418</v>
      </c>
      <c r="B330" s="3">
        <v>1800</v>
      </c>
      <c r="C330" s="4">
        <v>45279</v>
      </c>
      <c r="D330" s="4">
        <v>45280</v>
      </c>
      <c r="E330" s="3" t="s">
        <v>39</v>
      </c>
      <c r="F330" s="3" t="s">
        <v>53</v>
      </c>
      <c r="G330" s="3" t="s">
        <v>23</v>
      </c>
      <c r="H330" s="3" t="s">
        <v>34</v>
      </c>
      <c r="I330" s="3" t="s">
        <v>51</v>
      </c>
      <c r="J330" s="3" t="s">
        <v>55</v>
      </c>
      <c r="K330" s="3" t="s">
        <v>32</v>
      </c>
      <c r="L330" s="3">
        <v>8</v>
      </c>
      <c r="M330" s="3">
        <v>3905.57</v>
      </c>
      <c r="N330" s="3">
        <v>10</v>
      </c>
      <c r="O330" s="3">
        <f t="shared" si="15"/>
        <v>28120.104000000003</v>
      </c>
      <c r="P330" s="3" t="str">
        <f t="shared" si="16"/>
        <v>High Price</v>
      </c>
      <c r="Q330" s="3" t="str" cm="1">
        <f t="array" ref="Q330">_xlfn.IFS(N330&gt;=10,"High",N330&gt;=5,"Medium",N330&lt;5,"Low")</f>
        <v>High</v>
      </c>
      <c r="R330" s="3" t="str">
        <f t="shared" si="17"/>
        <v>Medium</v>
      </c>
    </row>
    <row r="331" spans="1:18" x14ac:dyDescent="0.25">
      <c r="A331" s="3">
        <v>10422</v>
      </c>
      <c r="B331" s="3">
        <v>1915</v>
      </c>
      <c r="C331" s="4">
        <v>45059</v>
      </c>
      <c r="D331" s="4">
        <v>45061</v>
      </c>
      <c r="E331" s="3" t="s">
        <v>15</v>
      </c>
      <c r="F331" s="3" t="s">
        <v>53</v>
      </c>
      <c r="G331" s="3" t="s">
        <v>16</v>
      </c>
      <c r="H331" s="3" t="s">
        <v>17</v>
      </c>
      <c r="I331" s="3" t="s">
        <v>51</v>
      </c>
      <c r="J331" s="3" t="s">
        <v>63</v>
      </c>
      <c r="K331" s="3" t="s">
        <v>46</v>
      </c>
      <c r="L331" s="3">
        <v>6</v>
      </c>
      <c r="M331" s="3">
        <v>1288.31</v>
      </c>
      <c r="N331" s="3">
        <v>15</v>
      </c>
      <c r="O331" s="3">
        <f t="shared" si="15"/>
        <v>6570.3809999999994</v>
      </c>
      <c r="P331" s="3" t="str">
        <f t="shared" si="16"/>
        <v>Low Price</v>
      </c>
      <c r="Q331" s="3" t="str" cm="1">
        <f t="array" ref="Q331">_xlfn.IFS(N331&gt;=10,"High",N331&gt;=5,"Medium",N331&lt;5,"Low")</f>
        <v>High</v>
      </c>
      <c r="R331" s="3" t="str">
        <f t="shared" si="17"/>
        <v>Medium</v>
      </c>
    </row>
    <row r="332" spans="1:18" x14ac:dyDescent="0.25">
      <c r="A332" s="3">
        <v>10423</v>
      </c>
      <c r="B332" s="3">
        <v>1503</v>
      </c>
      <c r="C332" s="4">
        <v>45153</v>
      </c>
      <c r="D332" s="4">
        <v>45155</v>
      </c>
      <c r="E332" s="3" t="s">
        <v>39</v>
      </c>
      <c r="F332" s="3" t="s">
        <v>15</v>
      </c>
      <c r="G332" s="3" t="s">
        <v>23</v>
      </c>
      <c r="H332" s="3" t="s">
        <v>43</v>
      </c>
      <c r="I332" s="3" t="s">
        <v>51</v>
      </c>
      <c r="J332" s="3" t="s">
        <v>59</v>
      </c>
      <c r="K332" s="3" t="s">
        <v>46</v>
      </c>
      <c r="L332" s="3">
        <v>9</v>
      </c>
      <c r="M332" s="3">
        <v>3740.3</v>
      </c>
      <c r="N332" s="3">
        <v>10</v>
      </c>
      <c r="O332" s="3">
        <f t="shared" si="15"/>
        <v>30296.430000000004</v>
      </c>
      <c r="P332" s="3" t="str">
        <f t="shared" si="16"/>
        <v>High Price</v>
      </c>
      <c r="Q332" s="3" t="str" cm="1">
        <f t="array" ref="Q332">_xlfn.IFS(N332&gt;=10,"High",N332&gt;=5,"Medium",N332&lt;5,"Low")</f>
        <v>High</v>
      </c>
      <c r="R332" s="3" t="str">
        <f t="shared" si="17"/>
        <v>High</v>
      </c>
    </row>
    <row r="333" spans="1:18" x14ac:dyDescent="0.25">
      <c r="A333" s="3">
        <v>10427</v>
      </c>
      <c r="B333" s="3">
        <v>1194</v>
      </c>
      <c r="C333" s="4">
        <v>45137</v>
      </c>
      <c r="D333" s="4">
        <v>45140</v>
      </c>
      <c r="E333" s="3" t="s">
        <v>39</v>
      </c>
      <c r="F333" s="3" t="s">
        <v>22</v>
      </c>
      <c r="G333" s="3" t="s">
        <v>23</v>
      </c>
      <c r="H333" s="3" t="s">
        <v>24</v>
      </c>
      <c r="I333" s="3" t="s">
        <v>18</v>
      </c>
      <c r="J333" s="3" t="s">
        <v>54</v>
      </c>
      <c r="K333" s="3" t="s">
        <v>27</v>
      </c>
      <c r="L333" s="3">
        <v>9</v>
      </c>
      <c r="M333" s="3">
        <v>2454.59</v>
      </c>
      <c r="N333" s="3">
        <v>5</v>
      </c>
      <c r="O333" s="3">
        <f t="shared" si="15"/>
        <v>20986.744500000001</v>
      </c>
      <c r="P333" s="3" t="str">
        <f t="shared" si="16"/>
        <v>High Price</v>
      </c>
      <c r="Q333" s="3" t="str" cm="1">
        <f t="array" ref="Q333">_xlfn.IFS(N333&gt;=10,"High",N333&gt;=5,"Medium",N333&lt;5,"Low")</f>
        <v>Medium</v>
      </c>
      <c r="R333" s="3" t="str">
        <f t="shared" si="17"/>
        <v>High</v>
      </c>
    </row>
    <row r="334" spans="1:18" x14ac:dyDescent="0.25">
      <c r="A334" s="3">
        <v>10431</v>
      </c>
      <c r="B334" s="3">
        <v>1687</v>
      </c>
      <c r="C334" s="4">
        <v>45139</v>
      </c>
      <c r="D334" s="4">
        <v>45146</v>
      </c>
      <c r="E334" s="3" t="s">
        <v>45</v>
      </c>
      <c r="F334" s="3" t="s">
        <v>37</v>
      </c>
      <c r="G334" s="3" t="s">
        <v>29</v>
      </c>
      <c r="H334" s="3" t="s">
        <v>34</v>
      </c>
      <c r="I334" s="3" t="s">
        <v>48</v>
      </c>
      <c r="J334" s="3" t="s">
        <v>50</v>
      </c>
      <c r="K334" s="3" t="s">
        <v>27</v>
      </c>
      <c r="L334" s="3">
        <v>6</v>
      </c>
      <c r="M334" s="3">
        <v>2247.37</v>
      </c>
      <c r="N334" s="3">
        <v>15</v>
      </c>
      <c r="O334" s="3">
        <f t="shared" si="15"/>
        <v>11461.587</v>
      </c>
      <c r="P334" s="3" t="str">
        <f t="shared" si="16"/>
        <v>Low Price</v>
      </c>
      <c r="Q334" s="3" t="str" cm="1">
        <f t="array" ref="Q334">_xlfn.IFS(N334&gt;=10,"High",N334&gt;=5,"Medium",N334&lt;5,"Low")</f>
        <v>High</v>
      </c>
      <c r="R334" s="3" t="str">
        <f t="shared" si="17"/>
        <v>Medium</v>
      </c>
    </row>
    <row r="335" spans="1:18" x14ac:dyDescent="0.25">
      <c r="A335" s="3">
        <v>10434</v>
      </c>
      <c r="B335" s="3">
        <v>1882</v>
      </c>
      <c r="C335" s="4">
        <v>45057</v>
      </c>
      <c r="D335" s="4">
        <v>45062</v>
      </c>
      <c r="E335" s="3" t="s">
        <v>45</v>
      </c>
      <c r="F335" s="3" t="s">
        <v>53</v>
      </c>
      <c r="G335" s="3" t="s">
        <v>23</v>
      </c>
      <c r="H335" s="3" t="s">
        <v>24</v>
      </c>
      <c r="I335" s="3" t="s">
        <v>18</v>
      </c>
      <c r="J335" s="3" t="s">
        <v>19</v>
      </c>
      <c r="K335" s="3" t="s">
        <v>44</v>
      </c>
      <c r="L335" s="3">
        <v>8</v>
      </c>
      <c r="M335" s="3">
        <v>437.36</v>
      </c>
      <c r="N335" s="3">
        <v>20</v>
      </c>
      <c r="O335" s="3">
        <f t="shared" si="15"/>
        <v>2799.1040000000003</v>
      </c>
      <c r="P335" s="3" t="str">
        <f t="shared" si="16"/>
        <v>Low Price</v>
      </c>
      <c r="Q335" s="3" t="str" cm="1">
        <f t="array" ref="Q335">_xlfn.IFS(N335&gt;=10,"High",N335&gt;=5,"Medium",N335&lt;5,"Low")</f>
        <v>High</v>
      </c>
      <c r="R335" s="3" t="str">
        <f t="shared" si="17"/>
        <v>Medium</v>
      </c>
    </row>
    <row r="336" spans="1:18" x14ac:dyDescent="0.25">
      <c r="A336" s="3">
        <v>10435</v>
      </c>
      <c r="B336" s="3">
        <v>1469</v>
      </c>
      <c r="C336" s="4">
        <v>45002</v>
      </c>
      <c r="D336" s="4">
        <v>45009</v>
      </c>
      <c r="E336" s="3" t="s">
        <v>14</v>
      </c>
      <c r="F336" s="3" t="s">
        <v>28</v>
      </c>
      <c r="G336" s="3" t="s">
        <v>23</v>
      </c>
      <c r="H336" s="3" t="s">
        <v>43</v>
      </c>
      <c r="I336" s="3" t="s">
        <v>51</v>
      </c>
      <c r="J336" s="3" t="s">
        <v>55</v>
      </c>
      <c r="K336" s="3" t="s">
        <v>20</v>
      </c>
      <c r="L336" s="3">
        <v>3</v>
      </c>
      <c r="M336" s="3">
        <v>3644.78</v>
      </c>
      <c r="N336" s="3">
        <v>0</v>
      </c>
      <c r="O336" s="3">
        <f t="shared" si="15"/>
        <v>10934.34</v>
      </c>
      <c r="P336" s="3" t="str">
        <f t="shared" si="16"/>
        <v>Low Price</v>
      </c>
      <c r="Q336" s="3" t="str" cm="1">
        <f t="array" ref="Q336">_xlfn.IFS(N336&gt;=10,"High",N336&gt;=5,"Medium",N336&lt;5,"Low")</f>
        <v>Low</v>
      </c>
      <c r="R336" s="3" t="str">
        <f t="shared" si="17"/>
        <v>Low</v>
      </c>
    </row>
    <row r="337" spans="1:18" x14ac:dyDescent="0.25">
      <c r="A337" s="3">
        <v>10436</v>
      </c>
      <c r="B337" s="3">
        <v>1374</v>
      </c>
      <c r="C337" s="4">
        <v>45212</v>
      </c>
      <c r="D337" s="4">
        <v>45213</v>
      </c>
      <c r="E337" s="3" t="s">
        <v>14</v>
      </c>
      <c r="F337" s="3" t="s">
        <v>22</v>
      </c>
      <c r="G337" s="3" t="s">
        <v>29</v>
      </c>
      <c r="H337" s="3" t="s">
        <v>17</v>
      </c>
      <c r="I337" s="3" t="s">
        <v>51</v>
      </c>
      <c r="J337" s="3" t="s">
        <v>59</v>
      </c>
      <c r="K337" s="3" t="s">
        <v>20</v>
      </c>
      <c r="L337" s="3">
        <v>3</v>
      </c>
      <c r="M337" s="3">
        <v>3986.78</v>
      </c>
      <c r="N337" s="3">
        <v>20</v>
      </c>
      <c r="O337" s="3">
        <f t="shared" si="15"/>
        <v>9568.2720000000008</v>
      </c>
      <c r="P337" s="3" t="str">
        <f t="shared" si="16"/>
        <v>Low Price</v>
      </c>
      <c r="Q337" s="3" t="str" cm="1">
        <f t="array" ref="Q337">_xlfn.IFS(N337&gt;=10,"High",N337&gt;=5,"Medium",N337&lt;5,"Low")</f>
        <v>High</v>
      </c>
      <c r="R337" s="3" t="str">
        <f t="shared" si="17"/>
        <v>Low</v>
      </c>
    </row>
    <row r="338" spans="1:18" x14ac:dyDescent="0.25">
      <c r="A338" s="3">
        <v>10438</v>
      </c>
      <c r="B338" s="3">
        <v>1749</v>
      </c>
      <c r="C338" s="4">
        <v>45082</v>
      </c>
      <c r="D338" s="4">
        <v>45091</v>
      </c>
      <c r="E338" s="3" t="s">
        <v>45</v>
      </c>
      <c r="F338" s="3" t="s">
        <v>22</v>
      </c>
      <c r="G338" s="3" t="s">
        <v>29</v>
      </c>
      <c r="H338" s="3" t="s">
        <v>17</v>
      </c>
      <c r="I338" s="3" t="s">
        <v>25</v>
      </c>
      <c r="J338" s="3" t="s">
        <v>60</v>
      </c>
      <c r="K338" s="3" t="s">
        <v>46</v>
      </c>
      <c r="L338" s="3">
        <v>5</v>
      </c>
      <c r="M338" s="3">
        <v>3116.22</v>
      </c>
      <c r="N338" s="3">
        <v>10</v>
      </c>
      <c r="O338" s="3">
        <f t="shared" si="15"/>
        <v>14022.99</v>
      </c>
      <c r="P338" s="3" t="str">
        <f t="shared" si="16"/>
        <v>Low Price</v>
      </c>
      <c r="Q338" s="3" t="str" cm="1">
        <f t="array" ref="Q338">_xlfn.IFS(N338&gt;=10,"High",N338&gt;=5,"Medium",N338&lt;5,"Low")</f>
        <v>High</v>
      </c>
      <c r="R338" s="3" t="str">
        <f t="shared" si="17"/>
        <v>Medium</v>
      </c>
    </row>
    <row r="339" spans="1:18" x14ac:dyDescent="0.25">
      <c r="A339" s="3">
        <v>10439</v>
      </c>
      <c r="B339" s="3">
        <v>1669</v>
      </c>
      <c r="C339" s="4">
        <v>45174</v>
      </c>
      <c r="D339" s="4">
        <v>45179</v>
      </c>
      <c r="E339" s="3" t="s">
        <v>33</v>
      </c>
      <c r="F339" s="3" t="s">
        <v>28</v>
      </c>
      <c r="G339" s="3" t="s">
        <v>23</v>
      </c>
      <c r="H339" s="3" t="s">
        <v>34</v>
      </c>
      <c r="I339" s="3" t="s">
        <v>48</v>
      </c>
      <c r="J339" s="3" t="s">
        <v>50</v>
      </c>
      <c r="K339" s="3" t="s">
        <v>27</v>
      </c>
      <c r="L339" s="3">
        <v>3</v>
      </c>
      <c r="M339" s="3">
        <v>1448.62</v>
      </c>
      <c r="N339" s="3">
        <v>10</v>
      </c>
      <c r="O339" s="3">
        <f t="shared" si="15"/>
        <v>3911.2739999999999</v>
      </c>
      <c r="P339" s="3" t="str">
        <f t="shared" si="16"/>
        <v>Low Price</v>
      </c>
      <c r="Q339" s="3" t="str" cm="1">
        <f t="array" ref="Q339">_xlfn.IFS(N339&gt;=10,"High",N339&gt;=5,"Medium",N339&lt;5,"Low")</f>
        <v>High</v>
      </c>
      <c r="R339" s="3" t="str">
        <f t="shared" si="17"/>
        <v>Low</v>
      </c>
    </row>
    <row r="340" spans="1:18" x14ac:dyDescent="0.25">
      <c r="A340" s="3">
        <v>10440</v>
      </c>
      <c r="B340" s="3">
        <v>1037</v>
      </c>
      <c r="C340" s="4">
        <v>45144</v>
      </c>
      <c r="D340" s="4">
        <v>45149</v>
      </c>
      <c r="E340" s="3" t="s">
        <v>36</v>
      </c>
      <c r="F340" s="3" t="s">
        <v>53</v>
      </c>
      <c r="G340" s="3" t="s">
        <v>16</v>
      </c>
      <c r="H340" s="3" t="s">
        <v>41</v>
      </c>
      <c r="I340" s="3" t="s">
        <v>48</v>
      </c>
      <c r="J340" s="3" t="s">
        <v>49</v>
      </c>
      <c r="K340" s="3" t="s">
        <v>32</v>
      </c>
      <c r="L340" s="3">
        <v>1</v>
      </c>
      <c r="M340" s="3">
        <v>3775.07</v>
      </c>
      <c r="N340" s="3">
        <v>10</v>
      </c>
      <c r="O340" s="3">
        <f t="shared" si="15"/>
        <v>3397.5630000000001</v>
      </c>
      <c r="P340" s="3" t="str">
        <f t="shared" si="16"/>
        <v>Low Price</v>
      </c>
      <c r="Q340" s="3" t="str" cm="1">
        <f t="array" ref="Q340">_xlfn.IFS(N340&gt;=10,"High",N340&gt;=5,"Medium",N340&lt;5,"Low")</f>
        <v>High</v>
      </c>
      <c r="R340" s="3" t="str">
        <f t="shared" si="17"/>
        <v>Low</v>
      </c>
    </row>
    <row r="341" spans="1:18" x14ac:dyDescent="0.25">
      <c r="A341" s="3">
        <v>10441</v>
      </c>
      <c r="B341" s="3">
        <v>1229</v>
      </c>
      <c r="C341" s="4">
        <v>45116</v>
      </c>
      <c r="D341" s="4">
        <v>45119</v>
      </c>
      <c r="E341" s="3" t="s">
        <v>15</v>
      </c>
      <c r="F341" s="3" t="s">
        <v>22</v>
      </c>
      <c r="G341" s="3" t="s">
        <v>16</v>
      </c>
      <c r="H341" s="3" t="s">
        <v>41</v>
      </c>
      <c r="I341" s="3" t="s">
        <v>30</v>
      </c>
      <c r="J341" s="3" t="s">
        <v>64</v>
      </c>
      <c r="K341" s="3" t="s">
        <v>44</v>
      </c>
      <c r="L341" s="3">
        <v>3</v>
      </c>
      <c r="M341" s="3">
        <v>2189.4</v>
      </c>
      <c r="N341" s="3">
        <v>20</v>
      </c>
      <c r="O341" s="3">
        <f t="shared" si="15"/>
        <v>5254.5600000000013</v>
      </c>
      <c r="P341" s="3" t="str">
        <f t="shared" si="16"/>
        <v>Low Price</v>
      </c>
      <c r="Q341" s="3" t="str" cm="1">
        <f t="array" ref="Q341">_xlfn.IFS(N341&gt;=10,"High",N341&gt;=5,"Medium",N341&lt;5,"Low")</f>
        <v>High</v>
      </c>
      <c r="R341" s="3" t="str">
        <f t="shared" si="17"/>
        <v>Low</v>
      </c>
    </row>
    <row r="342" spans="1:18" x14ac:dyDescent="0.25">
      <c r="A342" s="3">
        <v>10442</v>
      </c>
      <c r="B342" s="3">
        <v>1364</v>
      </c>
      <c r="C342" s="4">
        <v>45089</v>
      </c>
      <c r="D342" s="4">
        <v>45094</v>
      </c>
      <c r="E342" s="3" t="s">
        <v>14</v>
      </c>
      <c r="F342" s="3" t="s">
        <v>22</v>
      </c>
      <c r="G342" s="3" t="s">
        <v>23</v>
      </c>
      <c r="H342" s="3" t="s">
        <v>34</v>
      </c>
      <c r="I342" s="3" t="s">
        <v>56</v>
      </c>
      <c r="J342" s="3" t="s">
        <v>57</v>
      </c>
      <c r="K342" s="3" t="s">
        <v>44</v>
      </c>
      <c r="L342" s="3">
        <v>9</v>
      </c>
      <c r="M342" s="3">
        <v>2969.7</v>
      </c>
      <c r="N342" s="3">
        <v>10</v>
      </c>
      <c r="O342" s="3">
        <f t="shared" si="15"/>
        <v>24054.57</v>
      </c>
      <c r="P342" s="3" t="str">
        <f t="shared" si="16"/>
        <v>High Price</v>
      </c>
      <c r="Q342" s="3" t="str" cm="1">
        <f t="array" ref="Q342">_xlfn.IFS(N342&gt;=10,"High",N342&gt;=5,"Medium",N342&lt;5,"Low")</f>
        <v>High</v>
      </c>
      <c r="R342" s="3" t="str">
        <f t="shared" si="17"/>
        <v>High</v>
      </c>
    </row>
    <row r="343" spans="1:18" x14ac:dyDescent="0.25">
      <c r="A343" s="3">
        <v>10444</v>
      </c>
      <c r="B343" s="3">
        <v>1437</v>
      </c>
      <c r="C343" s="4">
        <v>44960</v>
      </c>
      <c r="D343" s="4">
        <v>44969</v>
      </c>
      <c r="E343" s="3" t="s">
        <v>39</v>
      </c>
      <c r="F343" s="3" t="s">
        <v>37</v>
      </c>
      <c r="G343" s="3" t="s">
        <v>29</v>
      </c>
      <c r="H343" s="3" t="s">
        <v>17</v>
      </c>
      <c r="I343" s="3" t="s">
        <v>30</v>
      </c>
      <c r="J343" s="3" t="s">
        <v>31</v>
      </c>
      <c r="K343" s="3" t="s">
        <v>20</v>
      </c>
      <c r="L343" s="3">
        <v>2</v>
      </c>
      <c r="M343" s="3">
        <v>3904.44</v>
      </c>
      <c r="N343" s="3">
        <v>10</v>
      </c>
      <c r="O343" s="3">
        <f t="shared" si="15"/>
        <v>7027.9920000000002</v>
      </c>
      <c r="P343" s="3" t="str">
        <f t="shared" si="16"/>
        <v>Low Price</v>
      </c>
      <c r="Q343" s="3" t="str" cm="1">
        <f t="array" ref="Q343">_xlfn.IFS(N343&gt;=10,"High",N343&gt;=5,"Medium",N343&lt;5,"Low")</f>
        <v>High</v>
      </c>
      <c r="R343" s="3" t="str">
        <f t="shared" si="17"/>
        <v>Low</v>
      </c>
    </row>
    <row r="344" spans="1:18" x14ac:dyDescent="0.25">
      <c r="A344" s="3">
        <v>10447</v>
      </c>
      <c r="B344" s="3">
        <v>1026</v>
      </c>
      <c r="C344" s="4">
        <v>45264</v>
      </c>
      <c r="D344" s="4">
        <v>45265</v>
      </c>
      <c r="E344" s="3" t="s">
        <v>33</v>
      </c>
      <c r="F344" s="3" t="s">
        <v>37</v>
      </c>
      <c r="G344" s="3" t="s">
        <v>16</v>
      </c>
      <c r="H344" s="3" t="s">
        <v>34</v>
      </c>
      <c r="I344" s="3" t="s">
        <v>25</v>
      </c>
      <c r="J344" s="3" t="s">
        <v>68</v>
      </c>
      <c r="K344" s="3" t="s">
        <v>27</v>
      </c>
      <c r="L344" s="3">
        <v>4</v>
      </c>
      <c r="M344" s="3">
        <v>3871.21</v>
      </c>
      <c r="N344" s="3">
        <v>10</v>
      </c>
      <c r="O344" s="3">
        <f t="shared" si="15"/>
        <v>13936.356</v>
      </c>
      <c r="P344" s="3" t="str">
        <f t="shared" si="16"/>
        <v>Low Price</v>
      </c>
      <c r="Q344" s="3" t="str" cm="1">
        <f t="array" ref="Q344">_xlfn.IFS(N344&gt;=10,"High",N344&gt;=5,"Medium",N344&lt;5,"Low")</f>
        <v>High</v>
      </c>
      <c r="R344" s="3" t="str">
        <f t="shared" si="17"/>
        <v>Low</v>
      </c>
    </row>
    <row r="345" spans="1:18" x14ac:dyDescent="0.25">
      <c r="A345" s="3">
        <v>10448</v>
      </c>
      <c r="B345" s="3">
        <v>1225</v>
      </c>
      <c r="C345" s="4">
        <v>45240</v>
      </c>
      <c r="D345" s="4">
        <v>45247</v>
      </c>
      <c r="E345" s="3" t="s">
        <v>39</v>
      </c>
      <c r="F345" s="3" t="s">
        <v>37</v>
      </c>
      <c r="G345" s="3" t="s">
        <v>29</v>
      </c>
      <c r="H345" s="3" t="s">
        <v>17</v>
      </c>
      <c r="I345" s="3" t="s">
        <v>18</v>
      </c>
      <c r="J345" s="3" t="s">
        <v>19</v>
      </c>
      <c r="K345" s="3" t="s">
        <v>32</v>
      </c>
      <c r="L345" s="3">
        <v>7</v>
      </c>
      <c r="M345" s="3">
        <v>2568.2600000000002</v>
      </c>
      <c r="N345" s="3">
        <v>10</v>
      </c>
      <c r="O345" s="3">
        <f t="shared" si="15"/>
        <v>16180.038</v>
      </c>
      <c r="P345" s="3" t="str">
        <f t="shared" si="16"/>
        <v>High Price</v>
      </c>
      <c r="Q345" s="3" t="str" cm="1">
        <f t="array" ref="Q345">_xlfn.IFS(N345&gt;=10,"High",N345&gt;=5,"Medium",N345&lt;5,"Low")</f>
        <v>High</v>
      </c>
      <c r="R345" s="3" t="str">
        <f t="shared" si="17"/>
        <v>Medium</v>
      </c>
    </row>
    <row r="346" spans="1:18" x14ac:dyDescent="0.25">
      <c r="A346" s="3">
        <v>10452</v>
      </c>
      <c r="B346" s="3">
        <v>1283</v>
      </c>
      <c r="C346" s="4">
        <v>45076</v>
      </c>
      <c r="D346" s="4">
        <v>45082</v>
      </c>
      <c r="E346" s="3" t="s">
        <v>45</v>
      </c>
      <c r="F346" s="3" t="s">
        <v>22</v>
      </c>
      <c r="G346" s="3" t="s">
        <v>23</v>
      </c>
      <c r="H346" s="3" t="s">
        <v>41</v>
      </c>
      <c r="I346" s="3" t="s">
        <v>48</v>
      </c>
      <c r="J346" s="3" t="s">
        <v>67</v>
      </c>
      <c r="K346" s="3" t="s">
        <v>27</v>
      </c>
      <c r="L346" s="3">
        <v>1</v>
      </c>
      <c r="M346" s="3">
        <v>1574.59</v>
      </c>
      <c r="N346" s="3">
        <v>5</v>
      </c>
      <c r="O346" s="3">
        <f t="shared" si="15"/>
        <v>1495.8604999999998</v>
      </c>
      <c r="P346" s="3" t="str">
        <f t="shared" si="16"/>
        <v>Low Price</v>
      </c>
      <c r="Q346" s="3" t="str" cm="1">
        <f t="array" ref="Q346">_xlfn.IFS(N346&gt;=10,"High",N346&gt;=5,"Medium",N346&lt;5,"Low")</f>
        <v>Medium</v>
      </c>
      <c r="R346" s="3" t="str">
        <f t="shared" si="17"/>
        <v>Low</v>
      </c>
    </row>
    <row r="347" spans="1:18" x14ac:dyDescent="0.25">
      <c r="A347" s="3">
        <v>10454</v>
      </c>
      <c r="B347" s="3">
        <v>1959</v>
      </c>
      <c r="C347" s="4">
        <v>45251</v>
      </c>
      <c r="D347" s="4">
        <v>45255</v>
      </c>
      <c r="E347" s="3" t="s">
        <v>33</v>
      </c>
      <c r="F347" s="3" t="s">
        <v>40</v>
      </c>
      <c r="G347" s="3" t="s">
        <v>16</v>
      </c>
      <c r="H347" s="3" t="s">
        <v>24</v>
      </c>
      <c r="I347" s="3" t="s">
        <v>56</v>
      </c>
      <c r="J347" s="3" t="s">
        <v>57</v>
      </c>
      <c r="K347" s="3" t="s">
        <v>27</v>
      </c>
      <c r="L347" s="3">
        <v>9</v>
      </c>
      <c r="M347" s="3">
        <v>3191.56</v>
      </c>
      <c r="N347" s="3">
        <v>20</v>
      </c>
      <c r="O347" s="3">
        <f t="shared" si="15"/>
        <v>22979.232000000004</v>
      </c>
      <c r="P347" s="3" t="str">
        <f t="shared" si="16"/>
        <v>High Price</v>
      </c>
      <c r="Q347" s="3" t="str" cm="1">
        <f t="array" ref="Q347">_xlfn.IFS(N347&gt;=10,"High",N347&gt;=5,"Medium",N347&lt;5,"Low")</f>
        <v>High</v>
      </c>
      <c r="R347" s="3" t="str">
        <f t="shared" si="17"/>
        <v>High</v>
      </c>
    </row>
    <row r="348" spans="1:18" x14ac:dyDescent="0.25">
      <c r="A348" s="3">
        <v>10455</v>
      </c>
      <c r="B348" s="3">
        <v>1480</v>
      </c>
      <c r="C348" s="4">
        <v>45034</v>
      </c>
      <c r="D348" s="4">
        <v>45036</v>
      </c>
      <c r="E348" s="3" t="s">
        <v>14</v>
      </c>
      <c r="F348" s="3" t="s">
        <v>28</v>
      </c>
      <c r="G348" s="3" t="s">
        <v>16</v>
      </c>
      <c r="H348" s="3" t="s">
        <v>17</v>
      </c>
      <c r="I348" s="3" t="s">
        <v>51</v>
      </c>
      <c r="J348" s="3" t="s">
        <v>63</v>
      </c>
      <c r="K348" s="3" t="s">
        <v>44</v>
      </c>
      <c r="L348" s="3">
        <v>2</v>
      </c>
      <c r="M348" s="3">
        <v>1374.23</v>
      </c>
      <c r="N348" s="3">
        <v>0</v>
      </c>
      <c r="O348" s="3">
        <f t="shared" si="15"/>
        <v>2748.46</v>
      </c>
      <c r="P348" s="3" t="str">
        <f t="shared" si="16"/>
        <v>Low Price</v>
      </c>
      <c r="Q348" s="3" t="str" cm="1">
        <f t="array" ref="Q348">_xlfn.IFS(N348&gt;=10,"High",N348&gt;=5,"Medium",N348&lt;5,"Low")</f>
        <v>Low</v>
      </c>
      <c r="R348" s="3" t="str">
        <f t="shared" si="17"/>
        <v>Low</v>
      </c>
    </row>
    <row r="349" spans="1:18" x14ac:dyDescent="0.25">
      <c r="A349" s="3">
        <v>10457</v>
      </c>
      <c r="B349" s="3">
        <v>1828</v>
      </c>
      <c r="C349" s="4">
        <v>45276</v>
      </c>
      <c r="D349" s="4">
        <v>45280</v>
      </c>
      <c r="E349" s="3" t="s">
        <v>45</v>
      </c>
      <c r="F349" s="3" t="s">
        <v>28</v>
      </c>
      <c r="G349" s="3" t="s">
        <v>23</v>
      </c>
      <c r="H349" s="3" t="s">
        <v>43</v>
      </c>
      <c r="I349" s="3" t="s">
        <v>25</v>
      </c>
      <c r="J349" s="3" t="s">
        <v>26</v>
      </c>
      <c r="K349" s="3" t="s">
        <v>27</v>
      </c>
      <c r="L349" s="3">
        <v>5</v>
      </c>
      <c r="M349" s="3">
        <v>1480.66</v>
      </c>
      <c r="N349" s="3">
        <v>0</v>
      </c>
      <c r="O349" s="3">
        <f t="shared" si="15"/>
        <v>7403.3</v>
      </c>
      <c r="P349" s="3" t="str">
        <f t="shared" si="16"/>
        <v>Low Price</v>
      </c>
      <c r="Q349" s="3" t="str" cm="1">
        <f t="array" ref="Q349">_xlfn.IFS(N349&gt;=10,"High",N349&gt;=5,"Medium",N349&lt;5,"Low")</f>
        <v>Low</v>
      </c>
      <c r="R349" s="3" t="str">
        <f t="shared" si="17"/>
        <v>Medium</v>
      </c>
    </row>
    <row r="350" spans="1:18" x14ac:dyDescent="0.25">
      <c r="A350" s="3">
        <v>10460</v>
      </c>
      <c r="B350" s="3">
        <v>1515</v>
      </c>
      <c r="C350" s="4">
        <v>45215</v>
      </c>
      <c r="D350" s="4">
        <v>45221</v>
      </c>
      <c r="E350" s="3" t="s">
        <v>21</v>
      </c>
      <c r="F350" s="3" t="s">
        <v>28</v>
      </c>
      <c r="G350" s="3" t="s">
        <v>23</v>
      </c>
      <c r="H350" s="3" t="s">
        <v>24</v>
      </c>
      <c r="I350" s="3" t="s">
        <v>48</v>
      </c>
      <c r="J350" s="3" t="s">
        <v>49</v>
      </c>
      <c r="K350" s="3" t="s">
        <v>20</v>
      </c>
      <c r="L350" s="3">
        <v>1</v>
      </c>
      <c r="M350" s="3">
        <v>445.38</v>
      </c>
      <c r="N350" s="3">
        <v>10</v>
      </c>
      <c r="O350" s="3">
        <f t="shared" si="15"/>
        <v>400.84199999999998</v>
      </c>
      <c r="P350" s="3" t="str">
        <f t="shared" si="16"/>
        <v>Low Price</v>
      </c>
      <c r="Q350" s="3" t="str" cm="1">
        <f t="array" ref="Q350">_xlfn.IFS(N350&gt;=10,"High",N350&gt;=5,"Medium",N350&lt;5,"Low")</f>
        <v>High</v>
      </c>
      <c r="R350" s="3" t="str">
        <f t="shared" si="17"/>
        <v>Low</v>
      </c>
    </row>
    <row r="351" spans="1:18" x14ac:dyDescent="0.25">
      <c r="A351" s="3">
        <v>10463</v>
      </c>
      <c r="B351" s="3">
        <v>1048</v>
      </c>
      <c r="C351" s="4">
        <v>44992</v>
      </c>
      <c r="D351" s="4">
        <v>45000</v>
      </c>
      <c r="E351" s="3" t="s">
        <v>21</v>
      </c>
      <c r="F351" s="3" t="s">
        <v>15</v>
      </c>
      <c r="G351" s="3" t="s">
        <v>23</v>
      </c>
      <c r="H351" s="3" t="s">
        <v>34</v>
      </c>
      <c r="I351" s="3" t="s">
        <v>25</v>
      </c>
      <c r="J351" s="3" t="s">
        <v>35</v>
      </c>
      <c r="K351" s="3" t="s">
        <v>46</v>
      </c>
      <c r="L351" s="3">
        <v>5</v>
      </c>
      <c r="M351" s="3">
        <v>2072.3200000000002</v>
      </c>
      <c r="N351" s="3">
        <v>15</v>
      </c>
      <c r="O351" s="3">
        <f t="shared" si="15"/>
        <v>8807.36</v>
      </c>
      <c r="P351" s="3" t="str">
        <f t="shared" si="16"/>
        <v>Low Price</v>
      </c>
      <c r="Q351" s="3" t="str" cm="1">
        <f t="array" ref="Q351">_xlfn.IFS(N351&gt;=10,"High",N351&gt;=5,"Medium",N351&lt;5,"Low")</f>
        <v>High</v>
      </c>
      <c r="R351" s="3" t="str">
        <f t="shared" si="17"/>
        <v>Medium</v>
      </c>
    </row>
    <row r="352" spans="1:18" x14ac:dyDescent="0.25">
      <c r="A352" s="3">
        <v>10464</v>
      </c>
      <c r="B352" s="3">
        <v>1511</v>
      </c>
      <c r="C352" s="4">
        <v>45174</v>
      </c>
      <c r="D352" s="4">
        <v>45176</v>
      </c>
      <c r="E352" s="3" t="s">
        <v>45</v>
      </c>
      <c r="F352" s="3" t="s">
        <v>22</v>
      </c>
      <c r="G352" s="3" t="s">
        <v>29</v>
      </c>
      <c r="H352" s="3" t="s">
        <v>41</v>
      </c>
      <c r="I352" s="3" t="s">
        <v>30</v>
      </c>
      <c r="J352" s="3" t="s">
        <v>64</v>
      </c>
      <c r="K352" s="3" t="s">
        <v>46</v>
      </c>
      <c r="L352" s="3">
        <v>1</v>
      </c>
      <c r="M352" s="3">
        <v>559.4</v>
      </c>
      <c r="N352" s="3">
        <v>20</v>
      </c>
      <c r="O352" s="3">
        <f t="shared" si="15"/>
        <v>447.52</v>
      </c>
      <c r="P352" s="3" t="str">
        <f t="shared" si="16"/>
        <v>Low Price</v>
      </c>
      <c r="Q352" s="3" t="str" cm="1">
        <f t="array" ref="Q352">_xlfn.IFS(N352&gt;=10,"High",N352&gt;=5,"Medium",N352&lt;5,"Low")</f>
        <v>High</v>
      </c>
      <c r="R352" s="3" t="str">
        <f t="shared" si="17"/>
        <v>Low</v>
      </c>
    </row>
    <row r="353" spans="1:18" x14ac:dyDescent="0.25">
      <c r="A353" s="3">
        <v>10465</v>
      </c>
      <c r="B353" s="3">
        <v>1016</v>
      </c>
      <c r="C353" s="4">
        <v>45082</v>
      </c>
      <c r="D353" s="4">
        <v>45089</v>
      </c>
      <c r="E353" s="3" t="s">
        <v>36</v>
      </c>
      <c r="F353" s="3" t="s">
        <v>22</v>
      </c>
      <c r="G353" s="3" t="s">
        <v>29</v>
      </c>
      <c r="H353" s="3" t="s">
        <v>43</v>
      </c>
      <c r="I353" s="3" t="s">
        <v>18</v>
      </c>
      <c r="J353" s="3" t="s">
        <v>42</v>
      </c>
      <c r="K353" s="3" t="s">
        <v>32</v>
      </c>
      <c r="L353" s="3">
        <v>4</v>
      </c>
      <c r="M353" s="3">
        <v>589.44000000000005</v>
      </c>
      <c r="N353" s="3">
        <v>20</v>
      </c>
      <c r="O353" s="3">
        <f t="shared" si="15"/>
        <v>1886.2080000000003</v>
      </c>
      <c r="P353" s="3" t="str">
        <f t="shared" si="16"/>
        <v>Low Price</v>
      </c>
      <c r="Q353" s="3" t="str" cm="1">
        <f t="array" ref="Q353">_xlfn.IFS(N353&gt;=10,"High",N353&gt;=5,"Medium",N353&lt;5,"Low")</f>
        <v>High</v>
      </c>
      <c r="R353" s="3" t="str">
        <f t="shared" si="17"/>
        <v>Low</v>
      </c>
    </row>
    <row r="354" spans="1:18" x14ac:dyDescent="0.25">
      <c r="A354" s="3">
        <v>10466</v>
      </c>
      <c r="B354" s="3">
        <v>1171</v>
      </c>
      <c r="C354" s="4">
        <v>44973</v>
      </c>
      <c r="D354" s="4">
        <v>44975</v>
      </c>
      <c r="E354" s="3" t="s">
        <v>15</v>
      </c>
      <c r="F354" s="3" t="s">
        <v>40</v>
      </c>
      <c r="G354" s="3" t="s">
        <v>29</v>
      </c>
      <c r="H354" s="3" t="s">
        <v>34</v>
      </c>
      <c r="I354" s="3" t="s">
        <v>18</v>
      </c>
      <c r="J354" s="3" t="s">
        <v>42</v>
      </c>
      <c r="K354" s="3" t="s">
        <v>27</v>
      </c>
      <c r="L354" s="3">
        <v>6</v>
      </c>
      <c r="M354" s="3">
        <v>3773.04</v>
      </c>
      <c r="N354" s="3">
        <v>0</v>
      </c>
      <c r="O354" s="3">
        <f t="shared" si="15"/>
        <v>22638.239999999998</v>
      </c>
      <c r="P354" s="3" t="str">
        <f t="shared" si="16"/>
        <v>High Price</v>
      </c>
      <c r="Q354" s="3" t="str" cm="1">
        <f t="array" ref="Q354">_xlfn.IFS(N354&gt;=10,"High",N354&gt;=5,"Medium",N354&lt;5,"Low")</f>
        <v>Low</v>
      </c>
      <c r="R354" s="3" t="str">
        <f t="shared" si="17"/>
        <v>Medium</v>
      </c>
    </row>
    <row r="355" spans="1:18" x14ac:dyDescent="0.25">
      <c r="A355" s="3">
        <v>10468</v>
      </c>
      <c r="B355" s="3">
        <v>1157</v>
      </c>
      <c r="C355" s="4">
        <v>45074</v>
      </c>
      <c r="D355" s="4">
        <v>45082</v>
      </c>
      <c r="E355" s="3" t="s">
        <v>21</v>
      </c>
      <c r="F355" s="3" t="s">
        <v>15</v>
      </c>
      <c r="G355" s="3" t="s">
        <v>16</v>
      </c>
      <c r="H355" s="3" t="s">
        <v>17</v>
      </c>
      <c r="I355" s="3" t="s">
        <v>56</v>
      </c>
      <c r="J355" s="3" t="s">
        <v>58</v>
      </c>
      <c r="K355" s="3" t="s">
        <v>44</v>
      </c>
      <c r="L355" s="3">
        <v>9</v>
      </c>
      <c r="M355" s="3">
        <v>1890.53</v>
      </c>
      <c r="N355" s="3">
        <v>15</v>
      </c>
      <c r="O355" s="3">
        <f t="shared" si="15"/>
        <v>14462.5545</v>
      </c>
      <c r="P355" s="3" t="str">
        <f t="shared" si="16"/>
        <v>Low Price</v>
      </c>
      <c r="Q355" s="3" t="str" cm="1">
        <f t="array" ref="Q355">_xlfn.IFS(N355&gt;=10,"High",N355&gt;=5,"Medium",N355&lt;5,"Low")</f>
        <v>High</v>
      </c>
      <c r="R355" s="3" t="str">
        <f t="shared" si="17"/>
        <v>High</v>
      </c>
    </row>
    <row r="356" spans="1:18" x14ac:dyDescent="0.25">
      <c r="A356" s="3">
        <v>10470</v>
      </c>
      <c r="B356" s="3">
        <v>1045</v>
      </c>
      <c r="C356" s="4">
        <v>44927</v>
      </c>
      <c r="D356" s="4">
        <v>44936</v>
      </c>
      <c r="E356" s="3" t="s">
        <v>33</v>
      </c>
      <c r="F356" s="3" t="s">
        <v>28</v>
      </c>
      <c r="G356" s="3" t="s">
        <v>29</v>
      </c>
      <c r="H356" s="3" t="s">
        <v>17</v>
      </c>
      <c r="I356" s="3" t="s">
        <v>25</v>
      </c>
      <c r="J356" s="3" t="s">
        <v>35</v>
      </c>
      <c r="K356" s="3" t="s">
        <v>27</v>
      </c>
      <c r="L356" s="3">
        <v>8</v>
      </c>
      <c r="M356" s="3">
        <v>150.72</v>
      </c>
      <c r="N356" s="3">
        <v>5</v>
      </c>
      <c r="O356" s="3">
        <f t="shared" si="15"/>
        <v>1145.472</v>
      </c>
      <c r="P356" s="3" t="str">
        <f t="shared" si="16"/>
        <v>Low Price</v>
      </c>
      <c r="Q356" s="3" t="str" cm="1">
        <f t="array" ref="Q356">_xlfn.IFS(N356&gt;=10,"High",N356&gt;=5,"Medium",N356&lt;5,"Low")</f>
        <v>Medium</v>
      </c>
      <c r="R356" s="3" t="str">
        <f t="shared" si="17"/>
        <v>Medium</v>
      </c>
    </row>
    <row r="357" spans="1:18" x14ac:dyDescent="0.25">
      <c r="A357" s="3">
        <v>10472</v>
      </c>
      <c r="B357" s="3">
        <v>1517</v>
      </c>
      <c r="C357" s="4">
        <v>45269</v>
      </c>
      <c r="D357" s="4">
        <v>45278</v>
      </c>
      <c r="E357" s="3" t="s">
        <v>14</v>
      </c>
      <c r="F357" s="3" t="s">
        <v>53</v>
      </c>
      <c r="G357" s="3" t="s">
        <v>29</v>
      </c>
      <c r="H357" s="3" t="s">
        <v>34</v>
      </c>
      <c r="I357" s="3" t="s">
        <v>30</v>
      </c>
      <c r="J357" s="3" t="s">
        <v>47</v>
      </c>
      <c r="K357" s="3" t="s">
        <v>27</v>
      </c>
      <c r="L357" s="3">
        <v>5</v>
      </c>
      <c r="M357" s="3">
        <v>2523.25</v>
      </c>
      <c r="N357" s="3">
        <v>10</v>
      </c>
      <c r="O357" s="3">
        <f t="shared" si="15"/>
        <v>11354.625</v>
      </c>
      <c r="P357" s="3" t="str">
        <f t="shared" si="16"/>
        <v>Low Price</v>
      </c>
      <c r="Q357" s="3" t="str" cm="1">
        <f t="array" ref="Q357">_xlfn.IFS(N357&gt;=10,"High",N357&gt;=5,"Medium",N357&lt;5,"Low")</f>
        <v>High</v>
      </c>
      <c r="R357" s="3" t="str">
        <f t="shared" si="17"/>
        <v>Medium</v>
      </c>
    </row>
    <row r="358" spans="1:18" x14ac:dyDescent="0.25">
      <c r="A358" s="3">
        <v>10480</v>
      </c>
      <c r="B358" s="3">
        <v>1301</v>
      </c>
      <c r="C358" s="4">
        <v>45117</v>
      </c>
      <c r="D358" s="4">
        <v>45119</v>
      </c>
      <c r="E358" s="3" t="s">
        <v>15</v>
      </c>
      <c r="F358" s="3" t="s">
        <v>28</v>
      </c>
      <c r="G358" s="3" t="s">
        <v>16</v>
      </c>
      <c r="H358" s="3" t="s">
        <v>43</v>
      </c>
      <c r="I358" s="3" t="s">
        <v>25</v>
      </c>
      <c r="J358" s="3" t="s">
        <v>35</v>
      </c>
      <c r="K358" s="3" t="s">
        <v>46</v>
      </c>
      <c r="L358" s="3">
        <v>6</v>
      </c>
      <c r="M358" s="3">
        <v>845</v>
      </c>
      <c r="N358" s="3">
        <v>15</v>
      </c>
      <c r="O358" s="3">
        <f t="shared" si="15"/>
        <v>4309.5</v>
      </c>
      <c r="P358" s="3" t="str">
        <f t="shared" si="16"/>
        <v>Low Price</v>
      </c>
      <c r="Q358" s="3" t="str" cm="1">
        <f t="array" ref="Q358">_xlfn.IFS(N358&gt;=10,"High",N358&gt;=5,"Medium",N358&lt;5,"Low")</f>
        <v>High</v>
      </c>
      <c r="R358" s="3" t="str">
        <f t="shared" si="17"/>
        <v>Medium</v>
      </c>
    </row>
    <row r="359" spans="1:18" x14ac:dyDescent="0.25">
      <c r="A359" s="3">
        <v>10481</v>
      </c>
      <c r="B359" s="3">
        <v>1180</v>
      </c>
      <c r="C359" s="4">
        <v>44947</v>
      </c>
      <c r="D359" s="4">
        <v>44955</v>
      </c>
      <c r="E359" s="3" t="s">
        <v>33</v>
      </c>
      <c r="F359" s="3" t="s">
        <v>40</v>
      </c>
      <c r="G359" s="3" t="s">
        <v>16</v>
      </c>
      <c r="H359" s="3" t="s">
        <v>43</v>
      </c>
      <c r="I359" s="3" t="s">
        <v>48</v>
      </c>
      <c r="J359" s="3" t="s">
        <v>49</v>
      </c>
      <c r="K359" s="3" t="s">
        <v>46</v>
      </c>
      <c r="L359" s="3">
        <v>8</v>
      </c>
      <c r="M359" s="3">
        <v>1160.51</v>
      </c>
      <c r="N359" s="3">
        <v>0</v>
      </c>
      <c r="O359" s="3">
        <f t="shared" si="15"/>
        <v>9284.08</v>
      </c>
      <c r="P359" s="3" t="str">
        <f t="shared" si="16"/>
        <v>Low Price</v>
      </c>
      <c r="Q359" s="3" t="str" cm="1">
        <f t="array" ref="Q359">_xlfn.IFS(N359&gt;=10,"High",N359&gt;=5,"Medium",N359&lt;5,"Low")</f>
        <v>Low</v>
      </c>
      <c r="R359" s="3" t="str">
        <f t="shared" si="17"/>
        <v>Medium</v>
      </c>
    </row>
    <row r="360" spans="1:18" x14ac:dyDescent="0.25">
      <c r="A360" s="3">
        <v>10482</v>
      </c>
      <c r="B360" s="3">
        <v>1606</v>
      </c>
      <c r="C360" s="4">
        <v>45153</v>
      </c>
      <c r="D360" s="4">
        <v>45162</v>
      </c>
      <c r="E360" s="3" t="s">
        <v>33</v>
      </c>
      <c r="F360" s="3" t="s">
        <v>53</v>
      </c>
      <c r="G360" s="3" t="s">
        <v>23</v>
      </c>
      <c r="H360" s="3" t="s">
        <v>24</v>
      </c>
      <c r="I360" s="3" t="s">
        <v>56</v>
      </c>
      <c r="J360" s="3" t="s">
        <v>66</v>
      </c>
      <c r="K360" s="3" t="s">
        <v>32</v>
      </c>
      <c r="L360" s="3">
        <v>7</v>
      </c>
      <c r="M360" s="3">
        <v>2172.2399999999998</v>
      </c>
      <c r="N360" s="3">
        <v>20</v>
      </c>
      <c r="O360" s="3">
        <f t="shared" si="15"/>
        <v>12164.544</v>
      </c>
      <c r="P360" s="3" t="str">
        <f t="shared" si="16"/>
        <v>Low Price</v>
      </c>
      <c r="Q360" s="3" t="str" cm="1">
        <f t="array" ref="Q360">_xlfn.IFS(N360&gt;=10,"High",N360&gt;=5,"Medium",N360&lt;5,"Low")</f>
        <v>High</v>
      </c>
      <c r="R360" s="3" t="str">
        <f t="shared" si="17"/>
        <v>Medium</v>
      </c>
    </row>
    <row r="361" spans="1:18" x14ac:dyDescent="0.25">
      <c r="A361" s="3">
        <v>10485</v>
      </c>
      <c r="B361" s="3">
        <v>1992</v>
      </c>
      <c r="C361" s="4">
        <v>45228</v>
      </c>
      <c r="D361" s="4">
        <v>45237</v>
      </c>
      <c r="E361" s="3" t="s">
        <v>15</v>
      </c>
      <c r="F361" s="3" t="s">
        <v>15</v>
      </c>
      <c r="G361" s="3" t="s">
        <v>16</v>
      </c>
      <c r="H361" s="3" t="s">
        <v>41</v>
      </c>
      <c r="I361" s="3" t="s">
        <v>18</v>
      </c>
      <c r="J361" s="3" t="s">
        <v>42</v>
      </c>
      <c r="K361" s="3" t="s">
        <v>44</v>
      </c>
      <c r="L361" s="3">
        <v>2</v>
      </c>
      <c r="M361" s="3">
        <v>1294.8399999999999</v>
      </c>
      <c r="N361" s="3">
        <v>15</v>
      </c>
      <c r="O361" s="3">
        <f t="shared" si="15"/>
        <v>2201.2279999999996</v>
      </c>
      <c r="P361" s="3" t="str">
        <f t="shared" si="16"/>
        <v>Low Price</v>
      </c>
      <c r="Q361" s="3" t="str" cm="1">
        <f t="array" ref="Q361">_xlfn.IFS(N361&gt;=10,"High",N361&gt;=5,"Medium",N361&lt;5,"Low")</f>
        <v>High</v>
      </c>
      <c r="R361" s="3" t="str">
        <f t="shared" si="17"/>
        <v>Low</v>
      </c>
    </row>
    <row r="362" spans="1:18" x14ac:dyDescent="0.25">
      <c r="A362" s="3">
        <v>10486</v>
      </c>
      <c r="B362" s="3">
        <v>1115</v>
      </c>
      <c r="C362" s="4">
        <v>45068</v>
      </c>
      <c r="D362" s="4">
        <v>45077</v>
      </c>
      <c r="E362" s="3" t="s">
        <v>15</v>
      </c>
      <c r="F362" s="3" t="s">
        <v>40</v>
      </c>
      <c r="G362" s="3" t="s">
        <v>23</v>
      </c>
      <c r="H362" s="3" t="s">
        <v>41</v>
      </c>
      <c r="I362" s="3" t="s">
        <v>48</v>
      </c>
      <c r="J362" s="3" t="s">
        <v>62</v>
      </c>
      <c r="K362" s="3" t="s">
        <v>32</v>
      </c>
      <c r="L362" s="3">
        <v>9</v>
      </c>
      <c r="M362" s="3">
        <v>775.77</v>
      </c>
      <c r="N362" s="3">
        <v>0</v>
      </c>
      <c r="O362" s="3">
        <f t="shared" si="15"/>
        <v>6981.93</v>
      </c>
      <c r="P362" s="3" t="str">
        <f t="shared" si="16"/>
        <v>Low Price</v>
      </c>
      <c r="Q362" s="3" t="str" cm="1">
        <f t="array" ref="Q362">_xlfn.IFS(N362&gt;=10,"High",N362&gt;=5,"Medium",N362&lt;5,"Low")</f>
        <v>Low</v>
      </c>
      <c r="R362" s="3" t="str">
        <f t="shared" si="17"/>
        <v>High</v>
      </c>
    </row>
    <row r="363" spans="1:18" x14ac:dyDescent="0.25">
      <c r="A363" s="3">
        <v>10487</v>
      </c>
      <c r="B363" s="3">
        <v>1190</v>
      </c>
      <c r="C363" s="4">
        <v>44965</v>
      </c>
      <c r="D363" s="4">
        <v>44966</v>
      </c>
      <c r="E363" s="3" t="s">
        <v>39</v>
      </c>
      <c r="F363" s="3" t="s">
        <v>15</v>
      </c>
      <c r="G363" s="3" t="s">
        <v>29</v>
      </c>
      <c r="H363" s="3" t="s">
        <v>24</v>
      </c>
      <c r="I363" s="3" t="s">
        <v>51</v>
      </c>
      <c r="J363" s="3" t="s">
        <v>52</v>
      </c>
      <c r="K363" s="3" t="s">
        <v>20</v>
      </c>
      <c r="L363" s="3">
        <v>4</v>
      </c>
      <c r="M363" s="3">
        <v>2751.14</v>
      </c>
      <c r="N363" s="3">
        <v>20</v>
      </c>
      <c r="O363" s="3">
        <f t="shared" si="15"/>
        <v>8803.6479999999992</v>
      </c>
      <c r="P363" s="3" t="str">
        <f t="shared" si="16"/>
        <v>Low Price</v>
      </c>
      <c r="Q363" s="3" t="str" cm="1">
        <f t="array" ref="Q363">_xlfn.IFS(N363&gt;=10,"High",N363&gt;=5,"Medium",N363&lt;5,"Low")</f>
        <v>High</v>
      </c>
      <c r="R363" s="3" t="str">
        <f t="shared" si="17"/>
        <v>Low</v>
      </c>
    </row>
    <row r="364" spans="1:18" x14ac:dyDescent="0.25">
      <c r="A364" s="3">
        <v>10489</v>
      </c>
      <c r="B364" s="3">
        <v>1980</v>
      </c>
      <c r="C364" s="4">
        <v>45178</v>
      </c>
      <c r="D364" s="4">
        <v>45187</v>
      </c>
      <c r="E364" s="3" t="s">
        <v>33</v>
      </c>
      <c r="F364" s="3" t="s">
        <v>22</v>
      </c>
      <c r="G364" s="3" t="s">
        <v>23</v>
      </c>
      <c r="H364" s="3" t="s">
        <v>17</v>
      </c>
      <c r="I364" s="3" t="s">
        <v>56</v>
      </c>
      <c r="J364" s="3" t="s">
        <v>61</v>
      </c>
      <c r="K364" s="3" t="s">
        <v>32</v>
      </c>
      <c r="L364" s="3">
        <v>8</v>
      </c>
      <c r="M364" s="3">
        <v>2536.88</v>
      </c>
      <c r="N364" s="3">
        <v>5</v>
      </c>
      <c r="O364" s="3">
        <f t="shared" si="15"/>
        <v>19280.288</v>
      </c>
      <c r="P364" s="3" t="str">
        <f t="shared" si="16"/>
        <v>High Price</v>
      </c>
      <c r="Q364" s="3" t="str" cm="1">
        <f t="array" ref="Q364">_xlfn.IFS(N364&gt;=10,"High",N364&gt;=5,"Medium",N364&lt;5,"Low")</f>
        <v>Medium</v>
      </c>
      <c r="R364" s="3" t="str">
        <f t="shared" si="17"/>
        <v>Medium</v>
      </c>
    </row>
    <row r="365" spans="1:18" x14ac:dyDescent="0.25">
      <c r="A365" s="3">
        <v>10490</v>
      </c>
      <c r="B365" s="3">
        <v>1927</v>
      </c>
      <c r="C365" s="4">
        <v>45259</v>
      </c>
      <c r="D365" s="4">
        <v>45261</v>
      </c>
      <c r="E365" s="3" t="s">
        <v>14</v>
      </c>
      <c r="F365" s="3" t="s">
        <v>28</v>
      </c>
      <c r="G365" s="3" t="s">
        <v>16</v>
      </c>
      <c r="H365" s="3" t="s">
        <v>34</v>
      </c>
      <c r="I365" s="3" t="s">
        <v>30</v>
      </c>
      <c r="J365" s="3" t="s">
        <v>31</v>
      </c>
      <c r="K365" s="3" t="s">
        <v>44</v>
      </c>
      <c r="L365" s="3">
        <v>7</v>
      </c>
      <c r="M365" s="3">
        <v>2838.06</v>
      </c>
      <c r="N365" s="3">
        <v>20</v>
      </c>
      <c r="O365" s="3">
        <f t="shared" si="15"/>
        <v>15893.135999999999</v>
      </c>
      <c r="P365" s="3" t="str">
        <f t="shared" si="16"/>
        <v>High Price</v>
      </c>
      <c r="Q365" s="3" t="str" cm="1">
        <f t="array" ref="Q365">_xlfn.IFS(N365&gt;=10,"High",N365&gt;=5,"Medium",N365&lt;5,"Low")</f>
        <v>High</v>
      </c>
      <c r="R365" s="3" t="str">
        <f t="shared" si="17"/>
        <v>Medium</v>
      </c>
    </row>
    <row r="366" spans="1:18" x14ac:dyDescent="0.25">
      <c r="A366" s="3">
        <v>10491</v>
      </c>
      <c r="B366" s="3">
        <v>1982</v>
      </c>
      <c r="C366" s="4">
        <v>45133</v>
      </c>
      <c r="D366" s="4">
        <v>45137</v>
      </c>
      <c r="E366" s="3" t="s">
        <v>15</v>
      </c>
      <c r="F366" s="3" t="s">
        <v>28</v>
      </c>
      <c r="G366" s="3" t="s">
        <v>16</v>
      </c>
      <c r="H366" s="3" t="s">
        <v>43</v>
      </c>
      <c r="I366" s="3" t="s">
        <v>48</v>
      </c>
      <c r="J366" s="3" t="s">
        <v>62</v>
      </c>
      <c r="K366" s="3" t="s">
        <v>27</v>
      </c>
      <c r="L366" s="3">
        <v>5</v>
      </c>
      <c r="M366" s="3">
        <v>977.43</v>
      </c>
      <c r="N366" s="3">
        <v>20</v>
      </c>
      <c r="O366" s="3">
        <f t="shared" si="15"/>
        <v>3909.72</v>
      </c>
      <c r="P366" s="3" t="str">
        <f t="shared" si="16"/>
        <v>Low Price</v>
      </c>
      <c r="Q366" s="3" t="str" cm="1">
        <f t="array" ref="Q366">_xlfn.IFS(N366&gt;=10,"High",N366&gt;=5,"Medium",N366&lt;5,"Low")</f>
        <v>High</v>
      </c>
      <c r="R366" s="3" t="str">
        <f t="shared" si="17"/>
        <v>Medium</v>
      </c>
    </row>
    <row r="367" spans="1:18" x14ac:dyDescent="0.25">
      <c r="A367" s="3">
        <v>10493</v>
      </c>
      <c r="B367" s="3">
        <v>1255</v>
      </c>
      <c r="C367" s="4">
        <v>45041</v>
      </c>
      <c r="D367" s="4">
        <v>45043</v>
      </c>
      <c r="E367" s="3" t="s">
        <v>39</v>
      </c>
      <c r="F367" s="3" t="s">
        <v>15</v>
      </c>
      <c r="G367" s="3" t="s">
        <v>23</v>
      </c>
      <c r="H367" s="3" t="s">
        <v>43</v>
      </c>
      <c r="I367" s="3" t="s">
        <v>48</v>
      </c>
      <c r="J367" s="3" t="s">
        <v>67</v>
      </c>
      <c r="K367" s="3" t="s">
        <v>27</v>
      </c>
      <c r="L367" s="3">
        <v>7</v>
      </c>
      <c r="M367" s="3">
        <v>1550.03</v>
      </c>
      <c r="N367" s="3">
        <v>10</v>
      </c>
      <c r="O367" s="3">
        <f t="shared" si="15"/>
        <v>9765.1890000000003</v>
      </c>
      <c r="P367" s="3" t="str">
        <f t="shared" si="16"/>
        <v>Low Price</v>
      </c>
      <c r="Q367" s="3" t="str" cm="1">
        <f t="array" ref="Q367">_xlfn.IFS(N367&gt;=10,"High",N367&gt;=5,"Medium",N367&lt;5,"Low")</f>
        <v>High</v>
      </c>
      <c r="R367" s="3" t="str">
        <f t="shared" si="17"/>
        <v>Medium</v>
      </c>
    </row>
    <row r="368" spans="1:18" x14ac:dyDescent="0.25">
      <c r="A368" s="3">
        <v>10494</v>
      </c>
      <c r="B368" s="3">
        <v>1322</v>
      </c>
      <c r="C368" s="4">
        <v>45151</v>
      </c>
      <c r="D368" s="4">
        <v>45154</v>
      </c>
      <c r="E368" s="3" t="s">
        <v>36</v>
      </c>
      <c r="F368" s="3" t="s">
        <v>40</v>
      </c>
      <c r="G368" s="3" t="s">
        <v>16</v>
      </c>
      <c r="H368" s="3" t="s">
        <v>43</v>
      </c>
      <c r="I368" s="3" t="s">
        <v>56</v>
      </c>
      <c r="J368" s="3" t="s">
        <v>66</v>
      </c>
      <c r="K368" s="3" t="s">
        <v>44</v>
      </c>
      <c r="L368" s="3">
        <v>5</v>
      </c>
      <c r="M368" s="3">
        <v>529.59</v>
      </c>
      <c r="N368" s="3">
        <v>5</v>
      </c>
      <c r="O368" s="3">
        <f t="shared" si="15"/>
        <v>2515.5525000000002</v>
      </c>
      <c r="P368" s="3" t="str">
        <f t="shared" si="16"/>
        <v>Low Price</v>
      </c>
      <c r="Q368" s="3" t="str" cm="1">
        <f t="array" ref="Q368">_xlfn.IFS(N368&gt;=10,"High",N368&gt;=5,"Medium",N368&lt;5,"Low")</f>
        <v>Medium</v>
      </c>
      <c r="R368" s="3" t="str">
        <f t="shared" si="17"/>
        <v>Medium</v>
      </c>
    </row>
    <row r="369" spans="1:18" x14ac:dyDescent="0.25">
      <c r="A369" s="3">
        <v>10495</v>
      </c>
      <c r="B369" s="3">
        <v>1127</v>
      </c>
      <c r="C369" s="4">
        <v>45060</v>
      </c>
      <c r="D369" s="4">
        <v>45063</v>
      </c>
      <c r="E369" s="3" t="s">
        <v>14</v>
      </c>
      <c r="F369" s="3" t="s">
        <v>22</v>
      </c>
      <c r="G369" s="3" t="s">
        <v>29</v>
      </c>
      <c r="H369" s="3" t="s">
        <v>24</v>
      </c>
      <c r="I369" s="3" t="s">
        <v>56</v>
      </c>
      <c r="J369" s="3" t="s">
        <v>58</v>
      </c>
      <c r="K369" s="3" t="s">
        <v>44</v>
      </c>
      <c r="L369" s="3">
        <v>8</v>
      </c>
      <c r="M369" s="3">
        <v>598.44000000000005</v>
      </c>
      <c r="N369" s="3">
        <v>0</v>
      </c>
      <c r="O369" s="3">
        <f t="shared" si="15"/>
        <v>4787.5200000000004</v>
      </c>
      <c r="P369" s="3" t="str">
        <f t="shared" si="16"/>
        <v>Low Price</v>
      </c>
      <c r="Q369" s="3" t="str" cm="1">
        <f t="array" ref="Q369">_xlfn.IFS(N369&gt;=10,"High",N369&gt;=5,"Medium",N369&lt;5,"Low")</f>
        <v>Low</v>
      </c>
      <c r="R369" s="3" t="str">
        <f t="shared" si="17"/>
        <v>Medium</v>
      </c>
    </row>
    <row r="370" spans="1:18" x14ac:dyDescent="0.25">
      <c r="A370" s="3">
        <v>10496</v>
      </c>
      <c r="B370" s="3">
        <v>1017</v>
      </c>
      <c r="C370" s="4">
        <v>45177</v>
      </c>
      <c r="D370" s="4">
        <v>45178</v>
      </c>
      <c r="E370" s="3" t="s">
        <v>14</v>
      </c>
      <c r="F370" s="3" t="s">
        <v>22</v>
      </c>
      <c r="G370" s="3" t="s">
        <v>16</v>
      </c>
      <c r="H370" s="3" t="s">
        <v>41</v>
      </c>
      <c r="I370" s="3" t="s">
        <v>51</v>
      </c>
      <c r="J370" s="3" t="s">
        <v>59</v>
      </c>
      <c r="K370" s="3" t="s">
        <v>44</v>
      </c>
      <c r="L370" s="3">
        <v>6</v>
      </c>
      <c r="M370" s="3">
        <v>1128.9100000000001</v>
      </c>
      <c r="N370" s="3">
        <v>20</v>
      </c>
      <c r="O370" s="3">
        <f t="shared" si="15"/>
        <v>5418.7680000000009</v>
      </c>
      <c r="P370" s="3" t="str">
        <f t="shared" si="16"/>
        <v>Low Price</v>
      </c>
      <c r="Q370" s="3" t="str" cm="1">
        <f t="array" ref="Q370">_xlfn.IFS(N370&gt;=10,"High",N370&gt;=5,"Medium",N370&lt;5,"Low")</f>
        <v>High</v>
      </c>
      <c r="R370" s="3" t="str">
        <f t="shared" si="17"/>
        <v>Medium</v>
      </c>
    </row>
    <row r="371" spans="1:18" x14ac:dyDescent="0.25">
      <c r="A371" s="3">
        <v>10497</v>
      </c>
      <c r="B371" s="3">
        <v>1792</v>
      </c>
      <c r="C371" s="4">
        <v>45145</v>
      </c>
      <c r="D371" s="4">
        <v>45151</v>
      </c>
      <c r="E371" s="3" t="s">
        <v>15</v>
      </c>
      <c r="F371" s="3" t="s">
        <v>28</v>
      </c>
      <c r="G371" s="3" t="s">
        <v>23</v>
      </c>
      <c r="H371" s="3" t="s">
        <v>41</v>
      </c>
      <c r="I371" s="3" t="s">
        <v>30</v>
      </c>
      <c r="J371" s="3" t="s">
        <v>38</v>
      </c>
      <c r="K371" s="3" t="s">
        <v>20</v>
      </c>
      <c r="L371" s="3">
        <v>5</v>
      </c>
      <c r="M371" s="3">
        <v>1287.55</v>
      </c>
      <c r="N371" s="3">
        <v>0</v>
      </c>
      <c r="O371" s="3">
        <f t="shared" si="15"/>
        <v>6437.75</v>
      </c>
      <c r="P371" s="3" t="str">
        <f t="shared" si="16"/>
        <v>Low Price</v>
      </c>
      <c r="Q371" s="3" t="str" cm="1">
        <f t="array" ref="Q371">_xlfn.IFS(N371&gt;=10,"High",N371&gt;=5,"Medium",N371&lt;5,"Low")</f>
        <v>Low</v>
      </c>
      <c r="R371" s="3" t="str">
        <f t="shared" si="17"/>
        <v>Medium</v>
      </c>
    </row>
    <row r="372" spans="1:18" x14ac:dyDescent="0.25">
      <c r="A372" s="3">
        <v>10498</v>
      </c>
      <c r="B372" s="3">
        <v>1734</v>
      </c>
      <c r="C372" s="4">
        <v>45017</v>
      </c>
      <c r="D372" s="4">
        <v>45025</v>
      </c>
      <c r="E372" s="3" t="s">
        <v>45</v>
      </c>
      <c r="F372" s="3" t="s">
        <v>15</v>
      </c>
      <c r="G372" s="3" t="s">
        <v>29</v>
      </c>
      <c r="H372" s="3" t="s">
        <v>17</v>
      </c>
      <c r="I372" s="3" t="s">
        <v>25</v>
      </c>
      <c r="J372" s="3" t="s">
        <v>35</v>
      </c>
      <c r="K372" s="3" t="s">
        <v>27</v>
      </c>
      <c r="L372" s="3">
        <v>9</v>
      </c>
      <c r="M372" s="3">
        <v>2190.39</v>
      </c>
      <c r="N372" s="3">
        <v>20</v>
      </c>
      <c r="O372" s="3">
        <f t="shared" si="15"/>
        <v>15770.807999999999</v>
      </c>
      <c r="P372" s="3" t="str">
        <f t="shared" si="16"/>
        <v>High Price</v>
      </c>
      <c r="Q372" s="3" t="str" cm="1">
        <f t="array" ref="Q372">_xlfn.IFS(N372&gt;=10,"High",N372&gt;=5,"Medium",N372&lt;5,"Low")</f>
        <v>High</v>
      </c>
      <c r="R372" s="3" t="str">
        <f t="shared" si="17"/>
        <v>High</v>
      </c>
    </row>
    <row r="373" spans="1:18" x14ac:dyDescent="0.25">
      <c r="A373" s="3">
        <v>10500</v>
      </c>
      <c r="B373" s="3">
        <v>1569</v>
      </c>
      <c r="C373" s="4">
        <v>44972</v>
      </c>
      <c r="D373" s="4">
        <v>44977</v>
      </c>
      <c r="E373" s="3" t="s">
        <v>14</v>
      </c>
      <c r="F373" s="3" t="s">
        <v>15</v>
      </c>
      <c r="G373" s="3" t="s">
        <v>29</v>
      </c>
      <c r="H373" s="3" t="s">
        <v>41</v>
      </c>
      <c r="I373" s="3" t="s">
        <v>30</v>
      </c>
      <c r="J373" s="3" t="s">
        <v>64</v>
      </c>
      <c r="K373" s="3" t="s">
        <v>32</v>
      </c>
      <c r="L373" s="3">
        <v>1</v>
      </c>
      <c r="M373" s="3">
        <v>2432.17</v>
      </c>
      <c r="N373" s="3">
        <v>20</v>
      </c>
      <c r="O373" s="3">
        <f t="shared" si="15"/>
        <v>1945.7360000000001</v>
      </c>
      <c r="P373" s="3" t="str">
        <f t="shared" si="16"/>
        <v>Low Price</v>
      </c>
      <c r="Q373" s="3" t="str" cm="1">
        <f t="array" ref="Q373">_xlfn.IFS(N373&gt;=10,"High",N373&gt;=5,"Medium",N373&lt;5,"Low")</f>
        <v>High</v>
      </c>
      <c r="R373" s="3" t="str">
        <f t="shared" si="17"/>
        <v>Low</v>
      </c>
    </row>
  </sheetData>
  <mergeCells count="2">
    <mergeCell ref="U10:V10"/>
    <mergeCell ref="U11:V19"/>
  </mergeCells>
  <conditionalFormatting sqref="A2:R373">
    <cfRule type="expression" dxfId="0" priority="1">
      <formula>$F2=$V$8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26.06.2026</vt:lpstr>
      <vt:lpstr>26.06.26</vt:lpstr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jit</cp:lastModifiedBy>
  <dcterms:created xsi:type="dcterms:W3CDTF">2025-12-08T11:58:47Z</dcterms:created>
  <dcterms:modified xsi:type="dcterms:W3CDTF">2026-02-26T16:09:39Z</dcterms:modified>
</cp:coreProperties>
</file>