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8_{6B098469-38BE-4C04-B543-BDF122C862E0}" xr6:coauthVersionLast="47" xr6:coauthVersionMax="47" xr10:uidLastSave="{00000000-0000-0000-0000-000000000000}"/>
  <bookViews>
    <workbookView xWindow="-120" yWindow="-120" windowWidth="20730" windowHeight="11160" xr2:uid="{7D98A82A-FA4B-4A48-B5E9-B170BF12BA54}"/>
  </bookViews>
  <sheets>
    <sheet name="24.02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4" i="1" l="1"/>
  <c r="K25" i="1"/>
  <c r="K26" i="1"/>
  <c r="K27" i="1"/>
  <c r="K23" i="1"/>
  <c r="K19" i="1"/>
  <c r="K18" i="1"/>
  <c r="K16" i="1"/>
  <c r="L14" i="1"/>
  <c r="L13" i="1"/>
  <c r="L11" i="1"/>
  <c r="K8" i="1"/>
  <c r="K5" i="1"/>
  <c r="G27" i="1" l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<sst xmlns="http://schemas.openxmlformats.org/spreadsheetml/2006/main" count="101" uniqueCount="46">
  <si>
    <t>Product Category</t>
  </si>
  <si>
    <t>Product Name</t>
  </si>
  <si>
    <t>Brand</t>
  </si>
  <si>
    <t>Units Sold</t>
  </si>
  <si>
    <t>Unit Price</t>
  </si>
  <si>
    <t>Discount %</t>
  </si>
  <si>
    <t>Total Price</t>
  </si>
  <si>
    <t>Home &amp; Kitchen</t>
  </si>
  <si>
    <t>Mixer Grinder</t>
  </si>
  <si>
    <t>BrandA</t>
  </si>
  <si>
    <t>Sports</t>
  </si>
  <si>
    <t>Football</t>
  </si>
  <si>
    <t>BrandD</t>
  </si>
  <si>
    <t>Fashion</t>
  </si>
  <si>
    <t>Sneakers</t>
  </si>
  <si>
    <t>BrandE</t>
  </si>
  <si>
    <t>Yoga Mat</t>
  </si>
  <si>
    <t>Jacket</t>
  </si>
  <si>
    <t>Bedsheet</t>
  </si>
  <si>
    <t>BrandC</t>
  </si>
  <si>
    <t>BrandB</t>
  </si>
  <si>
    <t>T-Shirt</t>
  </si>
  <si>
    <t>Electronics</t>
  </si>
  <si>
    <t>Headphones</t>
  </si>
  <si>
    <t>Smartwatch</t>
  </si>
  <si>
    <t>Beauty</t>
  </si>
  <si>
    <t>Shampoo</t>
  </si>
  <si>
    <t>Curtains</t>
  </si>
  <si>
    <t>Lipstick</t>
  </si>
  <si>
    <t>Books</t>
  </si>
  <si>
    <t>Fiction Novel</t>
  </si>
  <si>
    <t>Comics</t>
  </si>
  <si>
    <t>average unit price</t>
  </si>
  <si>
    <t>Brand name</t>
  </si>
  <si>
    <t>Unit average price</t>
  </si>
  <si>
    <t>PRODUCT CATEGORY</t>
  </si>
  <si>
    <t>BREND NAME</t>
  </si>
  <si>
    <t>AVERAGE UNIT PRICE</t>
  </si>
  <si>
    <t>COUNTA</t>
  </si>
  <si>
    <t>PRODUCT ROWS</t>
  </si>
  <si>
    <t>COUNT</t>
  </si>
  <si>
    <t>UNIT SOLD ROWS</t>
  </si>
  <si>
    <t>COUNT BLANK</t>
  </si>
  <si>
    <t>TRUE &amp; FALSE FUNCTION</t>
  </si>
  <si>
    <t>AGE</t>
  </si>
  <si>
    <t>ADULT?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</si>
</sst>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2C03-182F-4694-9EDC-C79C2AA11532}">
  <dimension ref="A2:L27"/>
  <sheetViews>
    <sheetView tabSelected="1" workbookViewId="0">
      <selection activeCell="K26" sqref="K26"/>
    </sheetView>
  </sheetViews>
  <sheetFormatPr defaultRowHeight="15" x14ac:dyDescent="0.25"/>
  <cols>
    <col min="1" max="1" width="20.7109375" bestFit="1" customWidth="1"/>
    <col min="2" max="2" width="17.140625" bestFit="1" customWidth="1"/>
    <col min="3" max="3" width="7.85546875" bestFit="1" customWidth="1"/>
    <col min="4" max="4" width="12.7109375" bestFit="1" customWidth="1"/>
    <col min="5" max="5" width="12.140625" bestFit="1" customWidth="1"/>
    <col min="6" max="6" width="14" bestFit="1" customWidth="1"/>
    <col min="7" max="7" width="13" bestFit="1" customWidth="1"/>
    <col min="10" max="10" width="19.28515625" bestFit="1" customWidth="1"/>
    <col min="11" max="11" width="16.85546875" bestFit="1" customWidth="1"/>
    <col min="12" max="12" width="19.28515625" bestFit="1" customWidth="1"/>
  </cols>
  <sheetData>
    <row r="2" spans="1:12" ht="18.75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12" x14ac:dyDescent="0.25">
      <c r="A3" s="2" t="s">
        <v>7</v>
      </c>
      <c r="B3" s="2" t="s">
        <v>8</v>
      </c>
      <c r="C3" s="2" t="s">
        <v>9</v>
      </c>
      <c r="D3" s="2">
        <v>7</v>
      </c>
      <c r="E3" s="2">
        <v>2843.87</v>
      </c>
      <c r="F3" s="2">
        <v>0</v>
      </c>
      <c r="G3" s="2">
        <f>(D3*E3)*(1-F3/100)</f>
        <v>19907.09</v>
      </c>
    </row>
    <row r="4" spans="1:12" x14ac:dyDescent="0.25">
      <c r="A4" s="2" t="s">
        <v>10</v>
      </c>
      <c r="B4" s="2" t="s">
        <v>11</v>
      </c>
      <c r="C4" s="2" t="s">
        <v>12</v>
      </c>
      <c r="D4" s="2">
        <v>9</v>
      </c>
      <c r="E4" s="2">
        <v>2525.23</v>
      </c>
      <c r="F4" s="2">
        <v>5</v>
      </c>
      <c r="G4" s="2">
        <f t="shared" ref="G4:G27" si="0">(D4*E4)*(1-F4/100)</f>
        <v>21590.716499999999</v>
      </c>
    </row>
    <row r="5" spans="1:12" x14ac:dyDescent="0.25">
      <c r="A5" s="2" t="s">
        <v>13</v>
      </c>
      <c r="B5" s="2" t="s">
        <v>14</v>
      </c>
      <c r="C5" s="2" t="s">
        <v>15</v>
      </c>
      <c r="D5" s="2">
        <v>6</v>
      </c>
      <c r="E5" s="2">
        <v>3474.34</v>
      </c>
      <c r="F5" s="2">
        <v>15</v>
      </c>
      <c r="G5" s="2">
        <f t="shared" si="0"/>
        <v>17719.134000000002</v>
      </c>
      <c r="J5" s="1" t="s">
        <v>32</v>
      </c>
      <c r="K5" s="1">
        <f>AVERAGE(E3:E27)</f>
        <v>2145.0708</v>
      </c>
    </row>
    <row r="6" spans="1:12" x14ac:dyDescent="0.25">
      <c r="A6" s="2" t="s">
        <v>10</v>
      </c>
      <c r="B6" s="2" t="s">
        <v>16</v>
      </c>
      <c r="C6" s="2" t="s">
        <v>9</v>
      </c>
      <c r="D6" s="2">
        <v>1</v>
      </c>
      <c r="E6" s="2">
        <v>1008.79</v>
      </c>
      <c r="F6" s="2">
        <v>15</v>
      </c>
      <c r="G6" s="2">
        <f t="shared" si="0"/>
        <v>857.47149999999999</v>
      </c>
    </row>
    <row r="7" spans="1:12" x14ac:dyDescent="0.25">
      <c r="A7" s="2" t="s">
        <v>13</v>
      </c>
      <c r="B7" s="2" t="s">
        <v>17</v>
      </c>
      <c r="C7" s="2" t="s">
        <v>9</v>
      </c>
      <c r="D7" s="2">
        <v>7</v>
      </c>
      <c r="E7" s="2">
        <v>3511.47</v>
      </c>
      <c r="F7" s="2">
        <v>20</v>
      </c>
      <c r="G7" s="2">
        <f t="shared" si="0"/>
        <v>19664.232</v>
      </c>
      <c r="J7" s="1" t="s">
        <v>33</v>
      </c>
      <c r="K7" s="1" t="s">
        <v>34</v>
      </c>
    </row>
    <row r="8" spans="1:12" x14ac:dyDescent="0.25">
      <c r="A8" s="2" t="s">
        <v>7</v>
      </c>
      <c r="B8" s="2" t="s">
        <v>18</v>
      </c>
      <c r="C8" s="2" t="s">
        <v>15</v>
      </c>
      <c r="D8" s="2">
        <v>3</v>
      </c>
      <c r="E8" s="2">
        <v>3189.55</v>
      </c>
      <c r="F8" s="2">
        <v>10</v>
      </c>
      <c r="G8" s="2">
        <f t="shared" si="0"/>
        <v>8611.7850000000017</v>
      </c>
      <c r="J8" s="1" t="s">
        <v>19</v>
      </c>
      <c r="K8" s="1">
        <f>AVERAGEIF(C3:C27,J8,E3:E27)</f>
        <v>3114.3525</v>
      </c>
    </row>
    <row r="9" spans="1:12" x14ac:dyDescent="0.25">
      <c r="A9" s="2" t="s">
        <v>13</v>
      </c>
      <c r="B9" s="2" t="s">
        <v>14</v>
      </c>
      <c r="C9" s="2" t="s">
        <v>19</v>
      </c>
      <c r="D9" s="2">
        <v>5</v>
      </c>
      <c r="E9" s="2">
        <v>3030.42</v>
      </c>
      <c r="F9" s="2">
        <v>10</v>
      </c>
      <c r="G9" s="2">
        <f t="shared" si="0"/>
        <v>13636.890000000001</v>
      </c>
    </row>
    <row r="10" spans="1:12" x14ac:dyDescent="0.25">
      <c r="A10" s="2" t="s">
        <v>13</v>
      </c>
      <c r="B10" s="2" t="s">
        <v>14</v>
      </c>
      <c r="C10" s="2" t="s">
        <v>20</v>
      </c>
      <c r="D10" s="2">
        <v>4</v>
      </c>
      <c r="E10" s="2">
        <v>2310.83</v>
      </c>
      <c r="F10" s="2">
        <v>10</v>
      </c>
      <c r="G10" s="2">
        <f t="shared" si="0"/>
        <v>8318.9879999999994</v>
      </c>
      <c r="J10" s="1" t="s">
        <v>35</v>
      </c>
      <c r="K10" s="1" t="s">
        <v>36</v>
      </c>
      <c r="L10" s="1" t="s">
        <v>37</v>
      </c>
    </row>
    <row r="11" spans="1:12" x14ac:dyDescent="0.25">
      <c r="A11" s="2" t="s">
        <v>13</v>
      </c>
      <c r="B11" s="2" t="s">
        <v>21</v>
      </c>
      <c r="C11" s="2" t="s">
        <v>12</v>
      </c>
      <c r="D11" s="2">
        <v>5</v>
      </c>
      <c r="E11" s="2">
        <v>1098.04</v>
      </c>
      <c r="F11" s="2">
        <v>15</v>
      </c>
      <c r="G11" s="2">
        <f t="shared" si="0"/>
        <v>4666.67</v>
      </c>
      <c r="J11" s="1" t="s">
        <v>7</v>
      </c>
      <c r="K11" s="1" t="s">
        <v>9</v>
      </c>
      <c r="L11" s="1">
        <f>AVERAGEIFS(E3:E27,A3:A27,J11,C3:C27,K11)</f>
        <v>3002.3850000000002</v>
      </c>
    </row>
    <row r="12" spans="1:12" x14ac:dyDescent="0.25">
      <c r="A12" s="2" t="s">
        <v>22</v>
      </c>
      <c r="B12" s="2" t="s">
        <v>23</v>
      </c>
      <c r="C12" s="2" t="s">
        <v>20</v>
      </c>
      <c r="D12" s="2">
        <v>5</v>
      </c>
      <c r="E12" s="2">
        <v>1780.66</v>
      </c>
      <c r="F12" s="2">
        <v>20</v>
      </c>
      <c r="G12" s="2">
        <f t="shared" si="0"/>
        <v>7122.6400000000012</v>
      </c>
    </row>
    <row r="13" spans="1:12" x14ac:dyDescent="0.25">
      <c r="A13" s="2" t="s">
        <v>22</v>
      </c>
      <c r="B13" s="2" t="s">
        <v>23</v>
      </c>
      <c r="C13" s="2" t="s">
        <v>15</v>
      </c>
      <c r="D13" s="2">
        <v>6</v>
      </c>
      <c r="E13" s="2">
        <v>3205.25</v>
      </c>
      <c r="F13" s="2">
        <v>0</v>
      </c>
      <c r="G13" s="2">
        <f t="shared" si="0"/>
        <v>19231.5</v>
      </c>
      <c r="J13" s="1" t="s">
        <v>38</v>
      </c>
      <c r="K13" s="1" t="s">
        <v>39</v>
      </c>
      <c r="L13" s="1">
        <f>COUNTA(A3:A27)</f>
        <v>25</v>
      </c>
    </row>
    <row r="14" spans="1:12" x14ac:dyDescent="0.25">
      <c r="A14" s="2" t="s">
        <v>22</v>
      </c>
      <c r="B14" s="2" t="s">
        <v>24</v>
      </c>
      <c r="C14" s="2" t="s">
        <v>9</v>
      </c>
      <c r="D14" s="2">
        <v>6</v>
      </c>
      <c r="E14" s="2">
        <v>272.35000000000002</v>
      </c>
      <c r="F14" s="2">
        <v>5</v>
      </c>
      <c r="G14" s="2">
        <f t="shared" si="0"/>
        <v>1552.395</v>
      </c>
      <c r="J14" s="1" t="s">
        <v>40</v>
      </c>
      <c r="K14" s="1" t="s">
        <v>41</v>
      </c>
      <c r="L14" s="1">
        <f>COUNT(D3:D27)</f>
        <v>25</v>
      </c>
    </row>
    <row r="15" spans="1:12" x14ac:dyDescent="0.25">
      <c r="A15" s="2" t="s">
        <v>7</v>
      </c>
      <c r="B15" s="2" t="s">
        <v>18</v>
      </c>
      <c r="C15" s="2" t="s">
        <v>9</v>
      </c>
      <c r="D15" s="2">
        <v>8</v>
      </c>
      <c r="E15" s="2">
        <v>3160.9</v>
      </c>
      <c r="F15" s="2">
        <v>0</v>
      </c>
      <c r="G15" s="2">
        <f t="shared" si="0"/>
        <v>25287.200000000001</v>
      </c>
    </row>
    <row r="16" spans="1:12" x14ac:dyDescent="0.25">
      <c r="A16" s="2" t="s">
        <v>10</v>
      </c>
      <c r="B16" s="2" t="s">
        <v>16</v>
      </c>
      <c r="C16" s="2" t="s">
        <v>12</v>
      </c>
      <c r="D16" s="2">
        <v>8</v>
      </c>
      <c r="E16" s="2">
        <v>1074.27</v>
      </c>
      <c r="F16" s="2">
        <v>15</v>
      </c>
      <c r="G16" s="2">
        <f t="shared" si="0"/>
        <v>7305.0360000000001</v>
      </c>
      <c r="J16" s="1" t="s">
        <v>42</v>
      </c>
      <c r="K16" s="1">
        <f>COUNTBLANK(A3:A27)</f>
        <v>0</v>
      </c>
    </row>
    <row r="17" spans="1:11" x14ac:dyDescent="0.25">
      <c r="A17" s="2" t="s">
        <v>25</v>
      </c>
      <c r="B17" s="2" t="s">
        <v>26</v>
      </c>
      <c r="C17" s="2" t="s">
        <v>9</v>
      </c>
      <c r="D17" s="2">
        <v>9</v>
      </c>
      <c r="E17" s="2">
        <v>705.59</v>
      </c>
      <c r="F17" s="2">
        <v>10</v>
      </c>
      <c r="G17" s="2">
        <f t="shared" si="0"/>
        <v>5715.2790000000005</v>
      </c>
    </row>
    <row r="18" spans="1:11" x14ac:dyDescent="0.25">
      <c r="A18" s="2" t="s">
        <v>13</v>
      </c>
      <c r="B18" s="2" t="s">
        <v>17</v>
      </c>
      <c r="C18" s="2" t="s">
        <v>9</v>
      </c>
      <c r="D18" s="2">
        <v>8</v>
      </c>
      <c r="E18" s="2">
        <v>595.45000000000005</v>
      </c>
      <c r="F18" s="2">
        <v>5</v>
      </c>
      <c r="G18" s="2">
        <f t="shared" si="0"/>
        <v>4525.42</v>
      </c>
      <c r="J18" s="1" t="s">
        <v>9</v>
      </c>
      <c r="K18" s="1">
        <f>COUNTIF(C3:C27,J18)</f>
        <v>9</v>
      </c>
    </row>
    <row r="19" spans="1:11" x14ac:dyDescent="0.25">
      <c r="A19" s="2" t="s">
        <v>13</v>
      </c>
      <c r="B19" s="2" t="s">
        <v>17</v>
      </c>
      <c r="C19" s="2" t="s">
        <v>12</v>
      </c>
      <c r="D19" s="2">
        <v>2</v>
      </c>
      <c r="E19" s="2">
        <v>254.91</v>
      </c>
      <c r="F19" s="2">
        <v>15</v>
      </c>
      <c r="G19" s="2">
        <f t="shared" si="0"/>
        <v>433.34699999999998</v>
      </c>
      <c r="J19" s="1" t="s">
        <v>20</v>
      </c>
      <c r="K19" s="1">
        <f>COUNTIF(C4:C28,J19)</f>
        <v>2</v>
      </c>
    </row>
    <row r="20" spans="1:11" x14ac:dyDescent="0.25">
      <c r="A20" s="2" t="s">
        <v>7</v>
      </c>
      <c r="B20" s="2" t="s">
        <v>27</v>
      </c>
      <c r="C20" s="2" t="s">
        <v>12</v>
      </c>
      <c r="D20" s="2">
        <v>1</v>
      </c>
      <c r="E20" s="2">
        <v>2165.81</v>
      </c>
      <c r="F20" s="2">
        <v>15</v>
      </c>
      <c r="G20" s="2">
        <f t="shared" si="0"/>
        <v>1840.9385</v>
      </c>
    </row>
    <row r="21" spans="1:11" ht="15.75" x14ac:dyDescent="0.25">
      <c r="A21" s="2" t="s">
        <v>13</v>
      </c>
      <c r="B21" s="2" t="s">
        <v>17</v>
      </c>
      <c r="C21" s="2" t="s">
        <v>15</v>
      </c>
      <c r="D21" s="2">
        <v>2</v>
      </c>
      <c r="E21" s="2">
        <v>990.3</v>
      </c>
      <c r="F21" s="2">
        <v>15</v>
      </c>
      <c r="G21" s="2">
        <f t="shared" si="0"/>
        <v>1683.51</v>
      </c>
      <c r="J21" s="4" t="s">
        <v>43</v>
      </c>
      <c r="K21" s="4"/>
    </row>
    <row r="22" spans="1:11" x14ac:dyDescent="0.25">
      <c r="A22" s="2" t="s">
        <v>22</v>
      </c>
      <c r="B22" s="2" t="s">
        <v>24</v>
      </c>
      <c r="C22" s="2" t="s">
        <v>9</v>
      </c>
      <c r="D22" s="2">
        <v>2</v>
      </c>
      <c r="E22" s="2">
        <v>3959.31</v>
      </c>
      <c r="F22" s="2">
        <v>5</v>
      </c>
      <c r="G22" s="2">
        <f t="shared" si="0"/>
        <v>7522.6889999999994</v>
      </c>
      <c r="J22" s="6" t="s">
        <v>44</v>
      </c>
      <c r="K22" s="6" t="s">
        <v>45</v>
      </c>
    </row>
    <row r="23" spans="1:11" x14ac:dyDescent="0.25">
      <c r="A23" s="2" t="s">
        <v>25</v>
      </c>
      <c r="B23" s="2" t="s">
        <v>28</v>
      </c>
      <c r="C23" s="2" t="s">
        <v>9</v>
      </c>
      <c r="D23" s="2">
        <v>3</v>
      </c>
      <c r="E23" s="2">
        <v>2361.58</v>
      </c>
      <c r="F23" s="2">
        <v>5</v>
      </c>
      <c r="G23" s="2">
        <f t="shared" si="0"/>
        <v>6730.5029999999997</v>
      </c>
      <c r="J23" s="3">
        <v>6</v>
      </c>
      <c r="K23" s="5" t="str">
        <f>IF(J23&gt;=18,"ADULT","CHILD")</f>
        <v>CHILD</v>
      </c>
    </row>
    <row r="24" spans="1:11" x14ac:dyDescent="0.25">
      <c r="A24" s="2" t="s">
        <v>29</v>
      </c>
      <c r="B24" s="2" t="s">
        <v>30</v>
      </c>
      <c r="C24" s="2" t="s">
        <v>15</v>
      </c>
      <c r="D24" s="2">
        <v>7</v>
      </c>
      <c r="E24" s="2">
        <v>680.86</v>
      </c>
      <c r="F24" s="2">
        <v>20</v>
      </c>
      <c r="G24" s="2">
        <f t="shared" si="0"/>
        <v>3812.8160000000007</v>
      </c>
      <c r="J24" s="3">
        <v>18</v>
      </c>
      <c r="K24" s="5" t="str">
        <f t="shared" ref="K24:K27" si="1">IF(J24&gt;=18,"ADULT","CHILD")</f>
        <v>ADULT</v>
      </c>
    </row>
    <row r="25" spans="1:11" x14ac:dyDescent="0.25">
      <c r="A25" s="2" t="s">
        <v>13</v>
      </c>
      <c r="B25" s="2" t="s">
        <v>14</v>
      </c>
      <c r="C25" s="2" t="s">
        <v>19</v>
      </c>
      <c r="D25" s="2">
        <v>2</v>
      </c>
      <c r="E25" s="2">
        <v>2801.74</v>
      </c>
      <c r="F25" s="2">
        <v>20</v>
      </c>
      <c r="G25" s="2">
        <f t="shared" si="0"/>
        <v>4482.7839999999997</v>
      </c>
      <c r="J25" s="3">
        <v>22</v>
      </c>
      <c r="K25" s="5" t="str">
        <f t="shared" si="1"/>
        <v>ADULT</v>
      </c>
    </row>
    <row r="26" spans="1:11" x14ac:dyDescent="0.25">
      <c r="A26" s="2" t="s">
        <v>22</v>
      </c>
      <c r="B26" s="2" t="s">
        <v>24</v>
      </c>
      <c r="C26" s="2" t="s">
        <v>19</v>
      </c>
      <c r="D26" s="2">
        <v>1</v>
      </c>
      <c r="E26" s="2">
        <v>3606.31</v>
      </c>
      <c r="F26" s="2">
        <v>0</v>
      </c>
      <c r="G26" s="2">
        <f t="shared" si="0"/>
        <v>3606.31</v>
      </c>
      <c r="J26" s="3">
        <v>12</v>
      </c>
      <c r="K26" s="5" t="str">
        <f t="shared" si="1"/>
        <v>CHILD</v>
      </c>
    </row>
    <row r="27" spans="1:11" x14ac:dyDescent="0.25">
      <c r="A27" s="2" t="s">
        <v>29</v>
      </c>
      <c r="B27" s="2" t="s">
        <v>31</v>
      </c>
      <c r="C27" s="2" t="s">
        <v>19</v>
      </c>
      <c r="D27" s="2">
        <v>6</v>
      </c>
      <c r="E27" s="2">
        <v>3018.94</v>
      </c>
      <c r="F27" s="2">
        <v>5</v>
      </c>
      <c r="G27" s="2">
        <f t="shared" si="0"/>
        <v>17207.957999999999</v>
      </c>
      <c r="J27" s="3">
        <v>78</v>
      </c>
      <c r="K27" s="5" t="str">
        <f t="shared" si="1"/>
        <v>ADULT</v>
      </c>
    </row>
  </sheetData>
  <mergeCells count="1">
    <mergeCell ref="J21:K21"/>
  </mergeCells>
  <conditionalFormatting sqref="J5:K5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{FF314DB3-AD0B-41A3-84BC-624847F5B725}</x14:id>
        </ext>
      </extLst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max"/>
        <color rgb="FFF8696B"/>
        <color rgb="FFFCFCFF"/>
      </colorScale>
    </cfRule>
  </conditionalFormatting>
  <conditionalFormatting sqref="J7:K8">
    <cfRule type="cellIs" dxfId="1" priority="10" operator="between">
      <formula>3114</formula>
      <formula>3114</formula>
    </cfRule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{2EC65BEE-9D08-4A97-AC7C-6B82F6412178}</x14:id>
        </ext>
      </extLst>
    </cfRule>
  </conditionalFormatting>
  <conditionalFormatting sqref="J10:L11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{17EE2B1A-6BEA-468E-9166-3E2D3B894309}</x14:id>
        </ext>
      </extLst>
    </cfRule>
  </conditionalFormatting>
  <conditionalFormatting sqref="J13:L14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{6EEA6EE1-A1CC-450B-8A3D-DBA21BE5128C}</x14:id>
        </ext>
      </extLst>
    </cfRule>
  </conditionalFormatting>
  <conditionalFormatting sqref="J16:K1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{E431689C-20AC-4DDF-B619-8A8DA3C8DD07}</x14:id>
        </ext>
      </extLst>
    </cfRule>
  </conditionalFormatting>
  <conditionalFormatting sqref="J19:K1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{83769674-A816-4940-92C8-30EA8024AF66}</x14:id>
        </ext>
      </extLst>
    </cfRule>
  </conditionalFormatting>
  <conditionalFormatting sqref="J16:K16">
    <cfRule type="colorScale" priority="2">
      <colorScale>
        <cfvo type="min"/>
        <cfvo type="max"/>
        <color rgb="FFFCFCFF"/>
        <color rgb="FFF8696B"/>
      </colorScale>
    </cfRule>
  </conditionalFormatting>
  <conditionalFormatting sqref="K22:K2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{28B64A8E-FE29-461D-8BCF-B9A56EE6ADD1}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314DB3-AD0B-41A3-84BC-624847F5B7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J5:K5</xm:sqref>
        </x14:conditionalFormatting>
        <x14:conditionalFormatting xmlns:xm="http://schemas.microsoft.com/office/excel/2006/main">
          <x14:cfRule type="dataBar" id="{2EC65BEE-9D08-4A97-AC7C-6B82F64121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J7:K8</xm:sqref>
        </x14:conditionalFormatting>
        <x14:conditionalFormatting xmlns:xm="http://schemas.microsoft.com/office/excel/2006/main">
          <x14:cfRule type="dataBar" id="{17EE2B1A-6BEA-468E-9166-3E2D3B894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J10:L11</xm:sqref>
        </x14:conditionalFormatting>
        <x14:conditionalFormatting xmlns:xm="http://schemas.microsoft.com/office/excel/2006/main">
          <x14:cfRule type="dataBar" id="{6EEA6EE1-A1CC-450B-8A3D-DBA21BE5128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J13:L14</xm:sqref>
        </x14:conditionalFormatting>
        <x14:conditionalFormatting xmlns:xm="http://schemas.microsoft.com/office/excel/2006/main">
          <x14:cfRule type="dataBar" id="{E431689C-20AC-4DDF-B619-8A8DA3C8DD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J16:K19</xm:sqref>
        </x14:conditionalFormatting>
        <x14:conditionalFormatting xmlns:xm="http://schemas.microsoft.com/office/excel/2006/main">
          <x14:cfRule type="dataBar" id="{83769674-A816-4940-92C8-30EA8024A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J19:K19</xm:sqref>
        </x14:conditionalFormatting>
        <x14:conditionalFormatting xmlns:xm="http://schemas.microsoft.com/office/excel/2006/main">
          <x14:cfRule type="dataBar" id="{28B64A8E-FE29-461D-8BCF-B9A56EE6AD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K22:K27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24.02.2026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</dc:creator>
  <cp:lastModifiedBy>jit</cp:lastModifiedBy>
  <dcterms:created xsi:type="dcterms:W3CDTF">2026-02-24T15:18:47Z</dcterms:created>
  <dcterms:modified xsi:type="dcterms:W3CDTF">2026-02-24T16:13:36Z</dcterms:modified>
</cp:coreProperties>
</file>