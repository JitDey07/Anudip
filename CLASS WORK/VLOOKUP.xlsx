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3900809C-6426-4C17-8183-AB2EA5E7A7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H3" i="2"/>
  <c r="H4" i="2"/>
  <c r="H5" i="2"/>
  <c r="H6" i="2"/>
  <c r="H7" i="2"/>
  <c r="H8" i="2"/>
  <c r="H2" i="2"/>
  <c r="G2" i="2"/>
  <c r="E7" i="2"/>
  <c r="G7" i="2" s="1"/>
  <c r="D7" i="2"/>
  <c r="E6" i="2"/>
  <c r="G6" i="2" s="1"/>
  <c r="D6" i="2"/>
  <c r="E5" i="2"/>
  <c r="G5" i="2" s="1"/>
  <c r="D5" i="2"/>
  <c r="E4" i="2"/>
  <c r="G4" i="2" s="1"/>
  <c r="D4" i="2"/>
  <c r="E3" i="2"/>
  <c r="G3" i="2" s="1"/>
  <c r="D3" i="2"/>
  <c r="E2" i="2"/>
  <c r="D2" i="2"/>
  <c r="F2" i="2" l="1"/>
  <c r="F3" i="2"/>
  <c r="F4" i="2"/>
  <c r="F5" i="2"/>
  <c r="F6" i="2"/>
  <c r="F7" i="2"/>
  <c r="K3" i="2" l="1"/>
</calcChain>
</file>

<file path=xl/sharedStrings.xml><?xml version="1.0" encoding="utf-8"?>
<sst xmlns="http://schemas.openxmlformats.org/spreadsheetml/2006/main" count="19" uniqueCount="16">
  <si>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</si>
  <si>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</si>
  <si>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</si>
  <si>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</si>
  <si>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</si>
  <si>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</si>
  <si>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</si>
  <si>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</si>
  <si>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</si>
  <si>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</si>
  <si>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</si>
  <si>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Max Order Value</t>
  </si>
  <si>
    <t>Discounted Price(10%)</t>
  </si>
  <si>
    <t>Total Price</t>
  </si>
  <si>
    <t>Product Name</t>
  </si>
  <si>
    <t>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</si>
</sst>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9.5703125" bestFit="1" customWidth="1"/>
    <col min="3" max="3" width="5.85546875" bestFit="1" customWidth="1"/>
    <col min="4" max="4" width="15.7109375" bestFit="1" customWidth="1"/>
  </cols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15</v>
      </c>
    </row>
    <row r="2" spans="1:4" x14ac:dyDescent="0.25">
      <c r="A2" s="1">
        <v>101</v>
      </c>
      <c r="B2" s="1" t="s">
        <v>3</v>
      </c>
      <c r="C2" s="1">
        <v>120</v>
      </c>
      <c r="D2" s="1" t="str">
        <f>IF(ISNA(VLOOKUP(A2,Orders!$B$2:$B$8,1,0)),"Not Ordered","Ordered")</f>
        <v>Ordered</v>
      </c>
    </row>
    <row r="3" spans="1:4" x14ac:dyDescent="0.25">
      <c r="A3" s="1">
        <v>102</v>
      </c>
      <c r="B3" s="1" t="s">
        <v>4</v>
      </c>
      <c r="C3" s="1">
        <v>150</v>
      </c>
      <c r="D3" s="1" t="str">
        <f>IF(ISNA(VLOOKUP(A3,Orders!$B$2:$B$8,1,0)),"Not Ordered","Ordered")</f>
        <v>Ordered</v>
      </c>
    </row>
    <row r="4" spans="1:4" x14ac:dyDescent="0.25">
      <c r="A4" s="1">
        <v>103</v>
      </c>
      <c r="B4" s="1" t="s">
        <v>5</v>
      </c>
      <c r="C4" s="1">
        <v>200</v>
      </c>
      <c r="D4" s="1" t="str">
        <f>IF(ISNA(VLOOKUP(A4,Orders!$B$2:$B$8,1,0)),"Not Ordered","Ordered")</f>
        <v>Ordered</v>
      </c>
    </row>
    <row r="5" spans="1:4" x14ac:dyDescent="0.25">
      <c r="A5" s="1">
        <v>104</v>
      </c>
      <c r="B5" s="1" t="s">
        <v>6</v>
      </c>
      <c r="C5" s="1">
        <v>90</v>
      </c>
      <c r="D5" s="1" t="str">
        <f>IF(ISNA(VLOOKUP(A5,Orders!$B$2:$B$8,1,0)),"Not Ordered","Ordered")</f>
        <v>Ordered</v>
      </c>
    </row>
    <row r="6" spans="1:4" x14ac:dyDescent="0.25">
      <c r="A6" s="1">
        <v>105</v>
      </c>
      <c r="B6" s="1" t="s">
        <v>7</v>
      </c>
      <c r="C6" s="1">
        <v>220</v>
      </c>
      <c r="D6" s="1" t="str">
        <f>IF(ISNA(VLOOKUP(A6,Orders!$B$2:$B$8,1,0)),"Not Ordered","Ordered")</f>
        <v>Ordered</v>
      </c>
    </row>
    <row r="7" spans="1:4" x14ac:dyDescent="0.25">
      <c r="A7" s="1">
        <v>106</v>
      </c>
      <c r="B7" s="1" t="s">
        <v>8</v>
      </c>
      <c r="C7" s="1">
        <v>130</v>
      </c>
      <c r="D7" s="1" t="str">
        <f>IF(ISNA(VLOOKUP(A7,Orders!$B$2:$B$8,1,0)),"Not Ordered","Ordered")</f>
        <v>Ordered</v>
      </c>
    </row>
    <row r="8" spans="1:4" x14ac:dyDescent="0.25">
      <c r="A8" s="2">
        <v>108</v>
      </c>
      <c r="B8" s="1"/>
      <c r="C8" s="1"/>
      <c r="D8" s="1" t="str">
        <f>IF(ISNA(VLOOKUP(A8,Orders!$B$2:$B$8,1,0)),"Not Ordered","Ordered")</f>
        <v>Not 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H14" sqref="H14"/>
    </sheetView>
  </sheetViews>
  <sheetFormatPr defaultRowHeight="15" x14ac:dyDescent="0.25"/>
  <cols>
    <col min="1" max="1" width="8.7109375" bestFit="1" customWidth="1"/>
    <col min="2" max="2" width="10.85546875" bestFit="1" customWidth="1"/>
    <col min="3" max="3" width="9.7109375" bestFit="1" customWidth="1"/>
    <col min="4" max="4" width="15.28515625" bestFit="1" customWidth="1"/>
    <col min="5" max="5" width="5.85546875" bestFit="1" customWidth="1"/>
    <col min="6" max="6" width="11.42578125" bestFit="1" customWidth="1"/>
    <col min="7" max="7" width="23.28515625" bestFit="1" customWidth="1"/>
    <col min="8" max="8" width="15.7109375" bestFit="1" customWidth="1"/>
    <col min="10" max="10" width="16" bestFit="1" customWidth="1"/>
  </cols>
  <sheetData>
    <row r="1" spans="1:11" ht="15.75" x14ac:dyDescent="0.25">
      <c r="A1" s="3" t="s">
        <v>9</v>
      </c>
      <c r="B1" s="3" t="s">
        <v>0</v>
      </c>
      <c r="C1" s="3" t="s">
        <v>10</v>
      </c>
      <c r="D1" s="3" t="s">
        <v>14</v>
      </c>
      <c r="E1" s="3" t="s">
        <v>2</v>
      </c>
      <c r="F1" s="3" t="s">
        <v>13</v>
      </c>
      <c r="G1" s="3" t="s">
        <v>12</v>
      </c>
      <c r="H1" s="3" t="s">
        <v>15</v>
      </c>
    </row>
    <row r="2" spans="1:11" x14ac:dyDescent="0.25">
      <c r="A2" s="1">
        <v>1</v>
      </c>
      <c r="B2" s="1">
        <v>101</v>
      </c>
      <c r="C2" s="1">
        <v>2</v>
      </c>
      <c r="D2" s="1" t="str">
        <f>VLOOKUP(B2,Products!A:C,2,FALSE)</f>
        <v>Product A</v>
      </c>
      <c r="E2" s="1">
        <f>VLOOKUP(B2,Products!A:C,3,FALSE)</f>
        <v>120</v>
      </c>
      <c r="F2" s="1">
        <f t="shared" ref="F2:F7" si="0">C2*E2</f>
        <v>240</v>
      </c>
      <c r="G2" s="1">
        <f>E2-E2*10%</f>
        <v>108</v>
      </c>
      <c r="H2" s="1" t="str">
        <f>IF(ISNA(VLOOKUP(B2,Products!$A$2:$A$8,1,0)),"Not Found","Found")</f>
        <v>Found</v>
      </c>
    </row>
    <row r="3" spans="1:11" x14ac:dyDescent="0.25">
      <c r="A3" s="1">
        <v>2</v>
      </c>
      <c r="B3" s="1">
        <v>103</v>
      </c>
      <c r="C3" s="1">
        <v>1</v>
      </c>
      <c r="D3" s="1" t="str">
        <f>VLOOKUP(B3,Products!A:C,2,FALSE)</f>
        <v>Product C</v>
      </c>
      <c r="E3" s="1">
        <f>VLOOKUP(B3,Products!A:C,3,FALSE)</f>
        <v>200</v>
      </c>
      <c r="F3" s="1">
        <f t="shared" si="0"/>
        <v>200</v>
      </c>
      <c r="G3" s="1">
        <f t="shared" ref="G3:G7" si="1">E3-E3*10%</f>
        <v>180</v>
      </c>
      <c r="H3" s="1" t="str">
        <f>IF(ISNA(VLOOKUP(B3,Products!$A$2:$A$8,1,0)),"Not Found","Found")</f>
        <v>Found</v>
      </c>
      <c r="J3" s="4" t="s">
        <v>11</v>
      </c>
      <c r="K3" s="5">
        <f>MAX(F2:F7)</f>
        <v>880</v>
      </c>
    </row>
    <row r="4" spans="1:11" x14ac:dyDescent="0.25">
      <c r="A4" s="1">
        <v>3</v>
      </c>
      <c r="B4" s="1">
        <v>105</v>
      </c>
      <c r="C4" s="1">
        <v>4</v>
      </c>
      <c r="D4" s="1" t="str">
        <f>VLOOKUP(B4,Products!A:C,2,FALSE)</f>
        <v>Product E</v>
      </c>
      <c r="E4" s="1">
        <f>VLOOKUP(B4,Products!A:C,3,FALSE)</f>
        <v>220</v>
      </c>
      <c r="F4" s="1">
        <f t="shared" si="0"/>
        <v>880</v>
      </c>
      <c r="G4" s="1">
        <f t="shared" si="1"/>
        <v>198</v>
      </c>
      <c r="H4" s="1" t="str">
        <f>IF(ISNA(VLOOKUP(B4,Products!$A$2:$A$8,1,0)),"Not Found","Found")</f>
        <v>Found</v>
      </c>
    </row>
    <row r="5" spans="1:11" x14ac:dyDescent="0.25">
      <c r="A5" s="1">
        <v>4</v>
      </c>
      <c r="B5" s="1">
        <v>106</v>
      </c>
      <c r="C5" s="1">
        <v>3</v>
      </c>
      <c r="D5" s="1" t="str">
        <f>VLOOKUP(B5,Products!A:C,2,FALSE)</f>
        <v>Product F</v>
      </c>
      <c r="E5" s="1">
        <f>VLOOKUP(B5,Products!A:C,3,FALSE)</f>
        <v>130</v>
      </c>
      <c r="F5" s="1">
        <f t="shared" si="0"/>
        <v>390</v>
      </c>
      <c r="G5" s="1">
        <f t="shared" si="1"/>
        <v>117</v>
      </c>
      <c r="H5" s="1" t="str">
        <f>IF(ISNA(VLOOKUP(B5,Products!$A$2:$A$8,1,0)),"Not Found","Found")</f>
        <v>Found</v>
      </c>
    </row>
    <row r="6" spans="1:11" x14ac:dyDescent="0.25">
      <c r="A6" s="1">
        <v>5</v>
      </c>
      <c r="B6" s="1">
        <v>102</v>
      </c>
      <c r="C6" s="1">
        <v>5</v>
      </c>
      <c r="D6" s="1" t="str">
        <f>VLOOKUP(B6,Products!A:C,2,FALSE)</f>
        <v>Product B</v>
      </c>
      <c r="E6" s="1">
        <f>VLOOKUP(B6,Products!A:C,3,FALSE)</f>
        <v>150</v>
      </c>
      <c r="F6" s="1">
        <f t="shared" si="0"/>
        <v>750</v>
      </c>
      <c r="G6" s="1">
        <f t="shared" si="1"/>
        <v>135</v>
      </c>
      <c r="H6" s="1" t="str">
        <f>IF(ISNA(VLOOKUP(B6,Products!$A$2:$A$8,1,0)),"Not Found","Found")</f>
        <v>Found</v>
      </c>
    </row>
    <row r="7" spans="1:11" x14ac:dyDescent="0.25">
      <c r="A7" s="1">
        <v>6</v>
      </c>
      <c r="B7" s="1">
        <v>104</v>
      </c>
      <c r="C7" s="1">
        <v>6</v>
      </c>
      <c r="D7" s="1" t="str">
        <f>VLOOKUP(B7,Products!A:C,2,FALSE)</f>
        <v>Product D</v>
      </c>
      <c r="E7" s="1">
        <f>VLOOKUP(B7,Products!A:C,3,FALSE)</f>
        <v>90</v>
      </c>
      <c r="F7" s="1">
        <f t="shared" si="0"/>
        <v>540</v>
      </c>
      <c r="G7" s="1">
        <f t="shared" si="1"/>
        <v>81</v>
      </c>
      <c r="H7" s="1" t="str">
        <f>IF(ISNA(VLOOKUP(B7,Products!$A$2:$A$8,1,0)),"Not Found","Found")</f>
        <v>Found</v>
      </c>
    </row>
    <row r="8" spans="1:11" x14ac:dyDescent="0.25">
      <c r="A8" s="2">
        <v>7</v>
      </c>
      <c r="B8" s="2">
        <v>107</v>
      </c>
      <c r="C8" s="1"/>
      <c r="D8" s="1"/>
      <c r="E8" s="1"/>
      <c r="F8" s="1"/>
      <c r="G8" s="1"/>
      <c r="H8" s="1" t="str">
        <f>IF(ISNA(VLOOKUP(B8,Products!$A$2:$A$8,1,0)),"Not Found","Found")</f>
        <v>Not Found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2026-03-09T12:17:56Z</dcterms:created>
  <dcterms:modified xsi:type="dcterms:W3CDTF">2026-03-09T12:45:29Z</dcterms:modified>
</cp:coreProperties>
</file>