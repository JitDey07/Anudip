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it\Desktop\"/>
    </mc:Choice>
  </mc:AlternateContent>
  <xr:revisionPtr revIDLastSave="0" documentId="8_{9BA742F5-ACF5-42BF-BAD5-3E569E635473}" xr6:coauthVersionLast="47" xr6:coauthVersionMax="47" xr10:uidLastSave="{00000000-0000-0000-0000-000000000000}"/>
  <bookViews>
    <workbookView xWindow="-120" yWindow="-120" windowWidth="20730" windowHeight="11160" firstSheet="9" activeTab="12" xr2:uid="{00000000-000D-0000-FFFF-FFFF00000000}"/>
  </bookViews>
  <sheets>
    <sheet name="Main_Data" sheetId="1" r:id="rId1"/>
    <sheet name="Clean_Data" sheetId="2" r:id="rId2"/>
    <sheet name="Validation" sheetId="3" r:id="rId3"/>
    <sheet name="VLookup_Tables" sheetId="4" r:id="rId4"/>
    <sheet name="HLookup_Tables" sheetId="10" r:id="rId5"/>
    <sheet name="Shorting" sheetId="11" r:id="rId6"/>
    <sheet name="Filtering" sheetId="12" r:id="rId7"/>
    <sheet name="Conditional Formating" sheetId="13" r:id="rId8"/>
    <sheet name="Analysis" sheetId="5" r:id="rId9"/>
    <sheet name="Pivot_Health_GDP" sheetId="6" r:id="rId10"/>
    <sheet name="Pivot_Region" sheetId="7" r:id="rId11"/>
    <sheet name="Pivot Chart" sheetId="14" r:id="rId12"/>
    <sheet name="Dashboard" sheetId="9" r:id="rId13"/>
  </sheets>
  <externalReferences>
    <externalReference r:id="rId14"/>
    <externalReference r:id="rId15"/>
    <externalReference r:id="rId16"/>
  </externalReferences>
  <definedNames>
    <definedName name="_xlnm._FilterDatabase" localSheetId="6" hidden="1">Filtering!$A$1:$L$501</definedName>
    <definedName name="_xlnm._FilterDatabase" localSheetId="0" hidden="1">Main_Data!$A$7:$L$7</definedName>
    <definedName name="_xlnm._FilterDatabase" localSheetId="3" hidden="1">VLookup_Tables!$A$1:$C$200</definedName>
    <definedName name="_xlcn.WorksheetConnection_Main_DataA1L5011" hidden="1">Main_Data!$A$1:$L$501</definedName>
    <definedName name="_xlcn.WorksheetConnection_PivotChartA1B81" hidden="1">'Pivot Chart'!$A$1:$B$8</definedName>
  </definedNames>
  <calcPr calcId="191029"/>
  <pivotCaches>
    <pivotCache cacheId="45" r:id="rId17"/>
    <pivotCache cacheId="46" r:id="rId18"/>
  </pivotCaches>
  <fileRecoveryPr repairLoad="1"/>
  <extLst>
    <ext xmlns:x15="http://schemas.microsoft.com/office/spreadsheetml/2010/11/main" uri="{FCE2AD5D-F65C-4FA6-A056-5C36A1767C68}">
      <x15:dataModel>
        <x15:modelTables>
          <x15:modelTable id="Range" name="Range" connection="WorksheetConnection_Main_Data!$A$1:$L$501"/>
          <x15:modelTable id="Range 1" name="Range 1" connection="WorksheetConnection_Pivot Chart!$A$1:$B$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5" l="1"/>
  <c r="B11" i="5"/>
  <c r="B12" i="5"/>
  <c r="B13" i="5"/>
  <c r="B14" i="5"/>
  <c r="B9" i="5"/>
  <c r="E4" i="9"/>
  <c r="D4" i="9"/>
  <c r="C4" i="9"/>
  <c r="B4" i="9"/>
  <c r="D11" i="10"/>
  <c r="D12" i="10"/>
  <c r="D13" i="10"/>
  <c r="D14" i="10"/>
  <c r="D10" i="10"/>
  <c r="C11" i="10"/>
  <c r="C12" i="10"/>
  <c r="C13" i="10"/>
  <c r="C14" i="10"/>
  <c r="C10" i="10"/>
  <c r="B11" i="10"/>
  <c r="B12" i="10"/>
  <c r="B13" i="10"/>
  <c r="B14" i="10"/>
  <c r="B10" i="10"/>
  <c r="B2" i="5"/>
  <c r="B3" i="14"/>
  <c r="B4" i="14"/>
  <c r="B5" i="14"/>
  <c r="B6" i="14"/>
  <c r="B7" i="14"/>
  <c r="B8" i="14"/>
  <c r="B2" i="14"/>
  <c r="D3" i="5"/>
  <c r="D4" i="5"/>
  <c r="D5" i="5"/>
  <c r="D6" i="5"/>
  <c r="D2" i="5"/>
  <c r="C3" i="5"/>
  <c r="C4" i="5"/>
  <c r="C5" i="5"/>
  <c r="C6" i="5"/>
  <c r="C2" i="5"/>
  <c r="B3" i="5"/>
  <c r="B4" i="5"/>
  <c r="B5" i="5"/>
  <c r="B6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" i="4"/>
  <c r="C2" i="4"/>
  <c r="B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B199" i="4"/>
  <c r="B200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" i="4"/>
  <c r="D2" i="3" a="1"/>
  <c r="D2" i="3" s="1"/>
  <c r="C2" i="3" a="1"/>
  <c r="C2" i="3" s="1"/>
  <c r="B2" i="3" a="1"/>
  <c r="B2" i="3" s="1"/>
  <c r="A2" i="3" a="1"/>
  <c r="A2" i="3" s="1"/>
  <c r="O2" i="2" a="1"/>
  <c r="O2" i="2" s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2" i="2"/>
  <c r="K50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2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F3" i="2"/>
  <c r="F4" i="2"/>
  <c r="F5" i="2"/>
  <c r="O5" i="2" s="1" a="1"/>
  <c r="O5" i="2" s="1"/>
  <c r="F6" i="2"/>
  <c r="O6" i="2" s="1" a="1"/>
  <c r="O6" i="2" s="1"/>
  <c r="F7" i="2"/>
  <c r="F8" i="2"/>
  <c r="F9" i="2"/>
  <c r="O9" i="2" s="1" a="1"/>
  <c r="O9" i="2" s="1"/>
  <c r="F10" i="2"/>
  <c r="O10" i="2" s="1" a="1"/>
  <c r="O10" i="2" s="1"/>
  <c r="F11" i="2"/>
  <c r="F12" i="2"/>
  <c r="F13" i="2"/>
  <c r="O13" i="2" s="1" a="1"/>
  <c r="O13" i="2" s="1"/>
  <c r="F14" i="2"/>
  <c r="O14" i="2" s="1" a="1"/>
  <c r="O14" i="2" s="1"/>
  <c r="F15" i="2"/>
  <c r="F16" i="2"/>
  <c r="F17" i="2"/>
  <c r="O17" i="2" s="1" a="1"/>
  <c r="O17" i="2" s="1"/>
  <c r="F18" i="2"/>
  <c r="O18" i="2" s="1" a="1"/>
  <c r="O18" i="2" s="1"/>
  <c r="F19" i="2"/>
  <c r="F20" i="2"/>
  <c r="F21" i="2"/>
  <c r="F22" i="2"/>
  <c r="O22" i="2" s="1" a="1"/>
  <c r="O22" i="2" s="1"/>
  <c r="F23" i="2"/>
  <c r="F24" i="2"/>
  <c r="F25" i="2"/>
  <c r="F26" i="2"/>
  <c r="O26" i="2" s="1" a="1"/>
  <c r="O26" i="2" s="1"/>
  <c r="F27" i="2"/>
  <c r="F28" i="2"/>
  <c r="F29" i="2"/>
  <c r="O29" i="2" s="1" a="1"/>
  <c r="O29" i="2" s="1"/>
  <c r="F30" i="2"/>
  <c r="O30" i="2" s="1" a="1"/>
  <c r="O30" i="2" s="1"/>
  <c r="F31" i="2"/>
  <c r="F32" i="2"/>
  <c r="F33" i="2"/>
  <c r="O33" i="2" s="1" a="1"/>
  <c r="O33" i="2" s="1"/>
  <c r="F34" i="2"/>
  <c r="O34" i="2" s="1" a="1"/>
  <c r="O34" i="2" s="1"/>
  <c r="F35" i="2"/>
  <c r="F36" i="2"/>
  <c r="F37" i="2"/>
  <c r="F38" i="2"/>
  <c r="O38" i="2" s="1" a="1"/>
  <c r="O38" i="2" s="1"/>
  <c r="F39" i="2"/>
  <c r="F40" i="2"/>
  <c r="F41" i="2"/>
  <c r="F42" i="2"/>
  <c r="O42" i="2" s="1" a="1"/>
  <c r="O42" i="2" s="1"/>
  <c r="F43" i="2"/>
  <c r="F44" i="2"/>
  <c r="F45" i="2"/>
  <c r="O45" i="2" s="1" a="1"/>
  <c r="O45" i="2" s="1"/>
  <c r="F46" i="2"/>
  <c r="O46" i="2" s="1" a="1"/>
  <c r="O46" i="2" s="1"/>
  <c r="F47" i="2"/>
  <c r="F48" i="2"/>
  <c r="F49" i="2"/>
  <c r="F50" i="2"/>
  <c r="O50" i="2" s="1" a="1"/>
  <c r="O50" i="2" s="1"/>
  <c r="F51" i="2"/>
  <c r="F52" i="2"/>
  <c r="F53" i="2"/>
  <c r="O53" i="2" s="1" a="1"/>
  <c r="O53" i="2" s="1"/>
  <c r="F54" i="2"/>
  <c r="O54" i="2" s="1" a="1"/>
  <c r="O54" i="2" s="1"/>
  <c r="F55" i="2"/>
  <c r="F56" i="2"/>
  <c r="F57" i="2"/>
  <c r="F58" i="2"/>
  <c r="O58" i="2" s="1" a="1"/>
  <c r="O58" i="2" s="1"/>
  <c r="F59" i="2"/>
  <c r="F60" i="2"/>
  <c r="F61" i="2"/>
  <c r="O61" i="2" s="1" a="1"/>
  <c r="O61" i="2" s="1"/>
  <c r="F62" i="2"/>
  <c r="O62" i="2" s="1" a="1"/>
  <c r="O62" i="2" s="1"/>
  <c r="F63" i="2"/>
  <c r="F64" i="2"/>
  <c r="F65" i="2"/>
  <c r="O65" i="2" s="1" a="1"/>
  <c r="O65" i="2" s="1"/>
  <c r="F66" i="2"/>
  <c r="O66" i="2" s="1" a="1"/>
  <c r="O66" i="2" s="1"/>
  <c r="F67" i="2"/>
  <c r="F68" i="2"/>
  <c r="F69" i="2"/>
  <c r="F70" i="2"/>
  <c r="O70" i="2" s="1" a="1"/>
  <c r="O70" i="2" s="1"/>
  <c r="F71" i="2"/>
  <c r="F72" i="2"/>
  <c r="F73" i="2"/>
  <c r="O73" i="2" s="1" a="1"/>
  <c r="O73" i="2" s="1"/>
  <c r="F74" i="2"/>
  <c r="O74" i="2" s="1" a="1"/>
  <c r="O74" i="2" s="1"/>
  <c r="F75" i="2"/>
  <c r="F76" i="2"/>
  <c r="F77" i="2"/>
  <c r="O77" i="2" s="1" a="1"/>
  <c r="O77" i="2" s="1"/>
  <c r="F78" i="2"/>
  <c r="O78" i="2" s="1" a="1"/>
  <c r="O78" i="2" s="1"/>
  <c r="F79" i="2"/>
  <c r="F80" i="2"/>
  <c r="F81" i="2"/>
  <c r="F82" i="2"/>
  <c r="O82" i="2" s="1" a="1"/>
  <c r="O82" i="2" s="1"/>
  <c r="F83" i="2"/>
  <c r="F84" i="2"/>
  <c r="F85" i="2"/>
  <c r="F86" i="2"/>
  <c r="O86" i="2" s="1" a="1"/>
  <c r="O86" i="2" s="1"/>
  <c r="F87" i="2"/>
  <c r="F88" i="2"/>
  <c r="F89" i="2"/>
  <c r="F90" i="2"/>
  <c r="O90" i="2" s="1" a="1"/>
  <c r="O90" i="2" s="1"/>
  <c r="F91" i="2"/>
  <c r="F92" i="2"/>
  <c r="F93" i="2"/>
  <c r="O93" i="2" s="1" a="1"/>
  <c r="O93" i="2" s="1"/>
  <c r="F94" i="2"/>
  <c r="O94" i="2" s="1" a="1"/>
  <c r="O94" i="2" s="1"/>
  <c r="F95" i="2"/>
  <c r="F96" i="2"/>
  <c r="F97" i="2"/>
  <c r="O97" i="2" s="1" a="1"/>
  <c r="O97" i="2" s="1"/>
  <c r="F98" i="2"/>
  <c r="O98" i="2" s="1" a="1"/>
  <c r="O98" i="2" s="1"/>
  <c r="F99" i="2"/>
  <c r="F100" i="2"/>
  <c r="F101" i="2"/>
  <c r="O101" i="2" s="1" a="1"/>
  <c r="O101" i="2" s="1"/>
  <c r="F102" i="2"/>
  <c r="O102" i="2" s="1" a="1"/>
  <c r="O102" i="2" s="1"/>
  <c r="F103" i="2"/>
  <c r="F104" i="2"/>
  <c r="F105" i="2"/>
  <c r="O105" i="2" s="1" a="1"/>
  <c r="O105" i="2" s="1"/>
  <c r="F106" i="2"/>
  <c r="F107" i="2"/>
  <c r="F108" i="2"/>
  <c r="F109" i="2"/>
  <c r="F110" i="2"/>
  <c r="O110" i="2" s="1" a="1"/>
  <c r="O110" i="2" s="1"/>
  <c r="F111" i="2"/>
  <c r="F112" i="2"/>
  <c r="F113" i="2"/>
  <c r="O113" i="2" s="1" a="1"/>
  <c r="O113" i="2" s="1"/>
  <c r="F114" i="2"/>
  <c r="O114" i="2" s="1" a="1"/>
  <c r="O114" i="2" s="1"/>
  <c r="F115" i="2"/>
  <c r="F116" i="2"/>
  <c r="F117" i="2"/>
  <c r="O117" i="2" s="1" a="1"/>
  <c r="O117" i="2" s="1"/>
  <c r="F118" i="2"/>
  <c r="O118" i="2" s="1" a="1"/>
  <c r="O118" i="2" s="1"/>
  <c r="F119" i="2"/>
  <c r="F120" i="2"/>
  <c r="F121" i="2"/>
  <c r="O121" i="2" s="1" a="1"/>
  <c r="O121" i="2" s="1"/>
  <c r="F122" i="2"/>
  <c r="O122" i="2" s="1" a="1"/>
  <c r="O122" i="2" s="1"/>
  <c r="F123" i="2"/>
  <c r="F124" i="2"/>
  <c r="F125" i="2"/>
  <c r="F126" i="2"/>
  <c r="O126" i="2" s="1" a="1"/>
  <c r="O126" i="2" s="1"/>
  <c r="F127" i="2"/>
  <c r="F128" i="2"/>
  <c r="F129" i="2"/>
  <c r="F130" i="2"/>
  <c r="O130" i="2" s="1" a="1"/>
  <c r="O130" i="2" s="1"/>
  <c r="F131" i="2"/>
  <c r="F132" i="2"/>
  <c r="F133" i="2"/>
  <c r="O133" i="2" s="1" a="1"/>
  <c r="O133" i="2" s="1"/>
  <c r="F134" i="2"/>
  <c r="O134" i="2" s="1" a="1"/>
  <c r="O134" i="2" s="1"/>
  <c r="F135" i="2"/>
  <c r="F136" i="2"/>
  <c r="F137" i="2"/>
  <c r="O137" i="2" s="1" a="1"/>
  <c r="O137" i="2" s="1"/>
  <c r="F138" i="2"/>
  <c r="O138" i="2" s="1" a="1"/>
  <c r="O138" i="2" s="1"/>
  <c r="F139" i="2"/>
  <c r="F140" i="2"/>
  <c r="F141" i="2"/>
  <c r="O141" i="2" s="1" a="1"/>
  <c r="O141" i="2" s="1"/>
  <c r="F142" i="2"/>
  <c r="O142" i="2" s="1" a="1"/>
  <c r="O142" i="2" s="1"/>
  <c r="F143" i="2"/>
  <c r="F144" i="2"/>
  <c r="F145" i="2"/>
  <c r="O145" i="2" s="1" a="1"/>
  <c r="O145" i="2" s="1"/>
  <c r="F146" i="2"/>
  <c r="F147" i="2"/>
  <c r="F148" i="2"/>
  <c r="F149" i="2"/>
  <c r="O149" i="2" s="1" a="1"/>
  <c r="O149" i="2" s="1"/>
  <c r="F150" i="2"/>
  <c r="O150" i="2" s="1" a="1"/>
  <c r="O150" i="2" s="1"/>
  <c r="F151" i="2"/>
  <c r="F152" i="2"/>
  <c r="F153" i="2"/>
  <c r="O153" i="2" s="1" a="1"/>
  <c r="O153" i="2" s="1"/>
  <c r="F154" i="2"/>
  <c r="O154" i="2" s="1" a="1"/>
  <c r="O154" i="2" s="1"/>
  <c r="F155" i="2"/>
  <c r="F156" i="2"/>
  <c r="F157" i="2"/>
  <c r="O157" i="2" s="1" a="1"/>
  <c r="O157" i="2" s="1"/>
  <c r="F158" i="2"/>
  <c r="O158" i="2" s="1" a="1"/>
  <c r="O158" i="2" s="1"/>
  <c r="F159" i="2"/>
  <c r="F160" i="2"/>
  <c r="F161" i="2"/>
  <c r="F162" i="2"/>
  <c r="O162" i="2" s="1" a="1"/>
  <c r="O162" i="2" s="1"/>
  <c r="F163" i="2"/>
  <c r="F164" i="2"/>
  <c r="F165" i="2"/>
  <c r="F166" i="2"/>
  <c r="O166" i="2" s="1" a="1"/>
  <c r="O166" i="2" s="1"/>
  <c r="F167" i="2"/>
  <c r="F168" i="2"/>
  <c r="F169" i="2"/>
  <c r="F170" i="2"/>
  <c r="F171" i="2"/>
  <c r="F172" i="2"/>
  <c r="F173" i="2"/>
  <c r="O173" i="2" s="1" a="1"/>
  <c r="O173" i="2" s="1"/>
  <c r="F174" i="2"/>
  <c r="O174" i="2" s="1" a="1"/>
  <c r="O174" i="2" s="1"/>
  <c r="F175" i="2"/>
  <c r="F176" i="2"/>
  <c r="F177" i="2"/>
  <c r="O177" i="2" s="1" a="1"/>
  <c r="O177" i="2" s="1"/>
  <c r="F178" i="2"/>
  <c r="O178" i="2" s="1" a="1"/>
  <c r="O178" i="2" s="1"/>
  <c r="F179" i="2"/>
  <c r="F180" i="2"/>
  <c r="F181" i="2"/>
  <c r="O181" i="2" s="1" a="1"/>
  <c r="O181" i="2" s="1"/>
  <c r="F182" i="2"/>
  <c r="O182" i="2" s="1" a="1"/>
  <c r="O182" i="2" s="1"/>
  <c r="F183" i="2"/>
  <c r="F184" i="2"/>
  <c r="F185" i="2"/>
  <c r="O185" i="2" s="1" a="1"/>
  <c r="O185" i="2" s="1"/>
  <c r="F186" i="2"/>
  <c r="O186" i="2" s="1" a="1"/>
  <c r="O186" i="2" s="1"/>
  <c r="F187" i="2"/>
  <c r="F188" i="2"/>
  <c r="F189" i="2"/>
  <c r="O189" i="2" s="1" a="1"/>
  <c r="O189" i="2" s="1"/>
  <c r="F190" i="2"/>
  <c r="O190" i="2" s="1" a="1"/>
  <c r="O190" i="2" s="1"/>
  <c r="F191" i="2"/>
  <c r="F192" i="2"/>
  <c r="F193" i="2"/>
  <c r="O193" i="2" s="1" a="1"/>
  <c r="O193" i="2" s="1"/>
  <c r="F194" i="2"/>
  <c r="O194" i="2" s="1" a="1"/>
  <c r="O194" i="2" s="1"/>
  <c r="F195" i="2"/>
  <c r="F196" i="2"/>
  <c r="F197" i="2"/>
  <c r="F198" i="2"/>
  <c r="O198" i="2" s="1" a="1"/>
  <c r="O198" i="2" s="1"/>
  <c r="F199" i="2"/>
  <c r="F200" i="2"/>
  <c r="F201" i="2"/>
  <c r="O201" i="2" s="1" a="1"/>
  <c r="O201" i="2" s="1"/>
  <c r="F202" i="2"/>
  <c r="O202" i="2" s="1" a="1"/>
  <c r="O202" i="2" s="1"/>
  <c r="F203" i="2"/>
  <c r="F204" i="2"/>
  <c r="F205" i="2"/>
  <c r="O205" i="2" s="1" a="1"/>
  <c r="O205" i="2" s="1"/>
  <c r="F206" i="2"/>
  <c r="O206" i="2" s="1" a="1"/>
  <c r="O206" i="2" s="1"/>
  <c r="F207" i="2"/>
  <c r="F208" i="2"/>
  <c r="F209" i="2"/>
  <c r="F210" i="2"/>
  <c r="O210" i="2" s="1" a="1"/>
  <c r="O210" i="2" s="1"/>
  <c r="F211" i="2"/>
  <c r="F212" i="2"/>
  <c r="F213" i="2"/>
  <c r="F214" i="2"/>
  <c r="O214" i="2" s="1" a="1"/>
  <c r="O214" i="2" s="1"/>
  <c r="F215" i="2"/>
  <c r="F216" i="2"/>
  <c r="F217" i="2"/>
  <c r="O217" i="2" s="1" a="1"/>
  <c r="O217" i="2" s="1"/>
  <c r="F218" i="2"/>
  <c r="O218" i="2" s="1" a="1"/>
  <c r="O218" i="2" s="1"/>
  <c r="F219" i="2"/>
  <c r="F220" i="2"/>
  <c r="F221" i="2"/>
  <c r="O221" i="2" s="1" a="1"/>
  <c r="O221" i="2" s="1"/>
  <c r="F222" i="2"/>
  <c r="O222" i="2" s="1" a="1"/>
  <c r="O222" i="2" s="1"/>
  <c r="F223" i="2"/>
  <c r="F224" i="2"/>
  <c r="F225" i="2"/>
  <c r="O225" i="2" s="1" a="1"/>
  <c r="O225" i="2" s="1"/>
  <c r="F226" i="2"/>
  <c r="O226" i="2" s="1" a="1"/>
  <c r="O226" i="2" s="1"/>
  <c r="F227" i="2"/>
  <c r="F228" i="2"/>
  <c r="F229" i="2"/>
  <c r="O229" i="2" s="1" a="1"/>
  <c r="O229" i="2" s="1"/>
  <c r="F230" i="2"/>
  <c r="O230" i="2" s="1" a="1"/>
  <c r="O230" i="2" s="1"/>
  <c r="F231" i="2"/>
  <c r="F232" i="2"/>
  <c r="F233" i="2"/>
  <c r="F234" i="2"/>
  <c r="O234" i="2" s="1" a="1"/>
  <c r="O234" i="2" s="1"/>
  <c r="F235" i="2"/>
  <c r="F236" i="2"/>
  <c r="F237" i="2"/>
  <c r="F238" i="2"/>
  <c r="O238" i="2" s="1" a="1"/>
  <c r="O238" i="2" s="1"/>
  <c r="F239" i="2"/>
  <c r="F240" i="2"/>
  <c r="F241" i="2"/>
  <c r="O241" i="2" s="1" a="1"/>
  <c r="O241" i="2" s="1"/>
  <c r="F242" i="2"/>
  <c r="O242" i="2" s="1" a="1"/>
  <c r="O242" i="2" s="1"/>
  <c r="F243" i="2"/>
  <c r="F244" i="2"/>
  <c r="F245" i="2"/>
  <c r="O245" i="2" s="1" a="1"/>
  <c r="O245" i="2" s="1"/>
  <c r="F246" i="2"/>
  <c r="O246" i="2" s="1" a="1"/>
  <c r="O246" i="2" s="1"/>
  <c r="F247" i="2"/>
  <c r="F248" i="2"/>
  <c r="F249" i="2"/>
  <c r="F250" i="2"/>
  <c r="O250" i="2" s="1" a="1"/>
  <c r="O250" i="2" s="1"/>
  <c r="F251" i="2"/>
  <c r="F252" i="2"/>
  <c r="F253" i="2"/>
  <c r="O253" i="2" s="1" a="1"/>
  <c r="O253" i="2" s="1"/>
  <c r="F254" i="2"/>
  <c r="O254" i="2" s="1" a="1"/>
  <c r="O254" i="2" s="1"/>
  <c r="F255" i="2"/>
  <c r="F256" i="2"/>
  <c r="F257" i="2"/>
  <c r="F258" i="2"/>
  <c r="O258" i="2" s="1" a="1"/>
  <c r="O258" i="2" s="1"/>
  <c r="F259" i="2"/>
  <c r="F260" i="2"/>
  <c r="F261" i="2"/>
  <c r="F262" i="2"/>
  <c r="O262" i="2" s="1" a="1"/>
  <c r="O262" i="2" s="1"/>
  <c r="F263" i="2"/>
  <c r="F264" i="2"/>
  <c r="F265" i="2"/>
  <c r="O265" i="2" s="1" a="1"/>
  <c r="O265" i="2" s="1"/>
  <c r="F266" i="2"/>
  <c r="O266" i="2" s="1" a="1"/>
  <c r="O266" i="2" s="1"/>
  <c r="F267" i="2"/>
  <c r="F268" i="2"/>
  <c r="F269" i="2"/>
  <c r="F270" i="2"/>
  <c r="O270" i="2" s="1" a="1"/>
  <c r="O270" i="2" s="1"/>
  <c r="F271" i="2"/>
  <c r="F272" i="2"/>
  <c r="F273" i="2"/>
  <c r="F274" i="2"/>
  <c r="O274" i="2" s="1" a="1"/>
  <c r="O274" i="2" s="1"/>
  <c r="F275" i="2"/>
  <c r="F276" i="2"/>
  <c r="F277" i="2"/>
  <c r="F278" i="2"/>
  <c r="O278" i="2" s="1" a="1"/>
  <c r="O278" i="2" s="1"/>
  <c r="F279" i="2"/>
  <c r="F280" i="2"/>
  <c r="F281" i="2"/>
  <c r="F282" i="2"/>
  <c r="O282" i="2" s="1" a="1"/>
  <c r="O282" i="2" s="1"/>
  <c r="F283" i="2"/>
  <c r="F284" i="2"/>
  <c r="F285" i="2"/>
  <c r="F286" i="2"/>
  <c r="O286" i="2" s="1" a="1"/>
  <c r="O286" i="2" s="1"/>
  <c r="F287" i="2"/>
  <c r="F288" i="2"/>
  <c r="F289" i="2"/>
  <c r="F290" i="2"/>
  <c r="O290" i="2" s="1" a="1"/>
  <c r="O290" i="2" s="1"/>
  <c r="F291" i="2"/>
  <c r="F292" i="2"/>
  <c r="F293" i="2"/>
  <c r="F294" i="2"/>
  <c r="O294" i="2" s="1" a="1"/>
  <c r="O294" i="2" s="1"/>
  <c r="F295" i="2"/>
  <c r="F296" i="2"/>
  <c r="F297" i="2"/>
  <c r="F298" i="2"/>
  <c r="O298" i="2" s="1" a="1"/>
  <c r="O298" i="2" s="1"/>
  <c r="F299" i="2"/>
  <c r="F300" i="2"/>
  <c r="F301" i="2"/>
  <c r="F302" i="2"/>
  <c r="O302" i="2" s="1" a="1"/>
  <c r="O302" i="2" s="1"/>
  <c r="F303" i="2"/>
  <c r="F304" i="2"/>
  <c r="F305" i="2"/>
  <c r="F306" i="2"/>
  <c r="O306" i="2" s="1" a="1"/>
  <c r="O306" i="2" s="1"/>
  <c r="F307" i="2"/>
  <c r="F308" i="2"/>
  <c r="F309" i="2"/>
  <c r="O309" i="2" s="1" a="1"/>
  <c r="O309" i="2" s="1"/>
  <c r="F310" i="2"/>
  <c r="O310" i="2" s="1" a="1"/>
  <c r="O310" i="2" s="1"/>
  <c r="F311" i="2"/>
  <c r="F312" i="2"/>
  <c r="F313" i="2"/>
  <c r="O313" i="2" s="1" a="1"/>
  <c r="O313" i="2" s="1"/>
  <c r="F314" i="2"/>
  <c r="O314" i="2" s="1" a="1"/>
  <c r="O314" i="2" s="1"/>
  <c r="F315" i="2"/>
  <c r="F316" i="2"/>
  <c r="F317" i="2"/>
  <c r="O317" i="2" s="1" a="1"/>
  <c r="O317" i="2" s="1"/>
  <c r="F318" i="2"/>
  <c r="O318" i="2" s="1" a="1"/>
  <c r="O318" i="2" s="1"/>
  <c r="F319" i="2"/>
  <c r="F320" i="2"/>
  <c r="F321" i="2"/>
  <c r="O321" i="2" s="1" a="1"/>
  <c r="O321" i="2" s="1"/>
  <c r="F322" i="2"/>
  <c r="O322" i="2" s="1" a="1"/>
  <c r="O322" i="2" s="1"/>
  <c r="F323" i="2"/>
  <c r="F324" i="2"/>
  <c r="F325" i="2"/>
  <c r="O325" i="2" s="1" a="1"/>
  <c r="O325" i="2" s="1"/>
  <c r="F326" i="2"/>
  <c r="O326" i="2" s="1" a="1"/>
  <c r="O326" i="2" s="1"/>
  <c r="F327" i="2"/>
  <c r="F328" i="2"/>
  <c r="F329" i="2"/>
  <c r="O329" i="2" s="1" a="1"/>
  <c r="O329" i="2" s="1"/>
  <c r="F330" i="2"/>
  <c r="O330" i="2" s="1" a="1"/>
  <c r="O330" i="2" s="1"/>
  <c r="F331" i="2"/>
  <c r="F332" i="2"/>
  <c r="F333" i="2"/>
  <c r="F334" i="2"/>
  <c r="O334" i="2" s="1" a="1"/>
  <c r="O334" i="2" s="1"/>
  <c r="F335" i="2"/>
  <c r="F336" i="2"/>
  <c r="F337" i="2"/>
  <c r="F338" i="2"/>
  <c r="O338" i="2" s="1" a="1"/>
  <c r="O338" i="2" s="1"/>
  <c r="F339" i="2"/>
  <c r="F340" i="2"/>
  <c r="F341" i="2"/>
  <c r="F342" i="2"/>
  <c r="O342" i="2" s="1" a="1"/>
  <c r="O342" i="2" s="1"/>
  <c r="F343" i="2"/>
  <c r="F344" i="2"/>
  <c r="F345" i="2"/>
  <c r="O345" i="2" s="1" a="1"/>
  <c r="O345" i="2" s="1"/>
  <c r="F346" i="2"/>
  <c r="O346" i="2" s="1" a="1"/>
  <c r="O346" i="2" s="1"/>
  <c r="F347" i="2"/>
  <c r="F348" i="2"/>
  <c r="F349" i="2"/>
  <c r="O349" i="2" s="1" a="1"/>
  <c r="O349" i="2" s="1"/>
  <c r="F350" i="2"/>
  <c r="O350" i="2" s="1" a="1"/>
  <c r="O350" i="2" s="1"/>
  <c r="F351" i="2"/>
  <c r="F352" i="2"/>
  <c r="F353" i="2"/>
  <c r="O353" i="2" s="1" a="1"/>
  <c r="O353" i="2" s="1"/>
  <c r="F354" i="2"/>
  <c r="O354" i="2" s="1" a="1"/>
  <c r="O354" i="2" s="1"/>
  <c r="F355" i="2"/>
  <c r="F356" i="2"/>
  <c r="F357" i="2"/>
  <c r="F358" i="2"/>
  <c r="O358" i="2" s="1" a="1"/>
  <c r="O358" i="2" s="1"/>
  <c r="F359" i="2"/>
  <c r="F360" i="2"/>
  <c r="F361" i="2"/>
  <c r="F362" i="2"/>
  <c r="O362" i="2" s="1" a="1"/>
  <c r="O362" i="2" s="1"/>
  <c r="F363" i="2"/>
  <c r="F364" i="2"/>
  <c r="F365" i="2"/>
  <c r="O365" i="2" s="1" a="1"/>
  <c r="O365" i="2" s="1"/>
  <c r="F366" i="2"/>
  <c r="O366" i="2" s="1" a="1"/>
  <c r="O366" i="2" s="1"/>
  <c r="F367" i="2"/>
  <c r="F368" i="2"/>
  <c r="F369" i="2"/>
  <c r="F370" i="2"/>
  <c r="O370" i="2" s="1" a="1"/>
  <c r="O370" i="2" s="1"/>
  <c r="F371" i="2"/>
  <c r="F372" i="2"/>
  <c r="F373" i="2"/>
  <c r="O373" i="2" s="1" a="1"/>
  <c r="O373" i="2" s="1"/>
  <c r="F374" i="2"/>
  <c r="O374" i="2" s="1" a="1"/>
  <c r="O374" i="2" s="1"/>
  <c r="F375" i="2"/>
  <c r="F376" i="2"/>
  <c r="F377" i="2"/>
  <c r="O377" i="2" s="1" a="1"/>
  <c r="O377" i="2" s="1"/>
  <c r="F378" i="2"/>
  <c r="O378" i="2" s="1" a="1"/>
  <c r="O378" i="2" s="1"/>
  <c r="F379" i="2"/>
  <c r="F380" i="2"/>
  <c r="F381" i="2"/>
  <c r="O381" i="2" s="1" a="1"/>
  <c r="O381" i="2" s="1"/>
  <c r="F382" i="2"/>
  <c r="O382" i="2" s="1" a="1"/>
  <c r="O382" i="2" s="1"/>
  <c r="F383" i="2"/>
  <c r="F384" i="2"/>
  <c r="F385" i="2"/>
  <c r="O385" i="2" s="1" a="1"/>
  <c r="O385" i="2" s="1"/>
  <c r="F386" i="2"/>
  <c r="O386" i="2" s="1" a="1"/>
  <c r="O386" i="2" s="1"/>
  <c r="F387" i="2"/>
  <c r="F388" i="2"/>
  <c r="F389" i="2"/>
  <c r="F390" i="2"/>
  <c r="O390" i="2" s="1" a="1"/>
  <c r="O390" i="2" s="1"/>
  <c r="F391" i="2"/>
  <c r="F392" i="2"/>
  <c r="F393" i="2"/>
  <c r="O393" i="2" s="1" a="1"/>
  <c r="O393" i="2" s="1"/>
  <c r="F394" i="2"/>
  <c r="O394" i="2" s="1" a="1"/>
  <c r="O394" i="2" s="1"/>
  <c r="F395" i="2"/>
  <c r="F396" i="2"/>
  <c r="F397" i="2"/>
  <c r="O397" i="2" s="1" a="1"/>
  <c r="O397" i="2" s="1"/>
  <c r="F398" i="2"/>
  <c r="O398" i="2" s="1" a="1"/>
  <c r="O398" i="2" s="1"/>
  <c r="F399" i="2"/>
  <c r="F400" i="2"/>
  <c r="F401" i="2"/>
  <c r="F402" i="2"/>
  <c r="O402" i="2" s="1" a="1"/>
  <c r="O402" i="2" s="1"/>
  <c r="F403" i="2"/>
  <c r="F404" i="2"/>
  <c r="F405" i="2"/>
  <c r="F406" i="2"/>
  <c r="O406" i="2" s="1" a="1"/>
  <c r="O406" i="2" s="1"/>
  <c r="F407" i="2"/>
  <c r="F408" i="2"/>
  <c r="F409" i="2"/>
  <c r="F410" i="2"/>
  <c r="O410" i="2" s="1" a="1"/>
  <c r="O410" i="2" s="1"/>
  <c r="F411" i="2"/>
  <c r="F412" i="2"/>
  <c r="F413" i="2"/>
  <c r="F414" i="2"/>
  <c r="O414" i="2" s="1" a="1"/>
  <c r="O414" i="2" s="1"/>
  <c r="F415" i="2"/>
  <c r="F416" i="2"/>
  <c r="F417" i="2"/>
  <c r="F418" i="2"/>
  <c r="O418" i="2" s="1" a="1"/>
  <c r="O418" i="2" s="1"/>
  <c r="F419" i="2"/>
  <c r="F420" i="2"/>
  <c r="F421" i="2"/>
  <c r="O421" i="2" s="1" a="1"/>
  <c r="O421" i="2" s="1"/>
  <c r="F422" i="2"/>
  <c r="O422" i="2" s="1" a="1"/>
  <c r="O422" i="2" s="1"/>
  <c r="F423" i="2"/>
  <c r="F424" i="2"/>
  <c r="F425" i="2"/>
  <c r="O425" i="2" s="1" a="1"/>
  <c r="O425" i="2" s="1"/>
  <c r="F426" i="2"/>
  <c r="O426" i="2" s="1" a="1"/>
  <c r="O426" i="2" s="1"/>
  <c r="F427" i="2"/>
  <c r="F428" i="2"/>
  <c r="F429" i="2"/>
  <c r="O429" i="2" s="1" a="1"/>
  <c r="O429" i="2" s="1"/>
  <c r="F430" i="2"/>
  <c r="O430" i="2" s="1" a="1"/>
  <c r="O430" i="2" s="1"/>
  <c r="F431" i="2"/>
  <c r="F432" i="2"/>
  <c r="F433" i="2"/>
  <c r="O433" i="2" s="1" a="1"/>
  <c r="O433" i="2" s="1"/>
  <c r="F434" i="2"/>
  <c r="O434" i="2" s="1" a="1"/>
  <c r="O434" i="2" s="1"/>
  <c r="F435" i="2"/>
  <c r="F436" i="2"/>
  <c r="F437" i="2"/>
  <c r="O437" i="2" s="1" a="1"/>
  <c r="O437" i="2" s="1"/>
  <c r="F438" i="2"/>
  <c r="O438" i="2" s="1" a="1"/>
  <c r="O438" i="2" s="1"/>
  <c r="F439" i="2"/>
  <c r="F440" i="2"/>
  <c r="F441" i="2"/>
  <c r="O441" i="2" s="1" a="1"/>
  <c r="O441" i="2" s="1"/>
  <c r="F442" i="2"/>
  <c r="O442" i="2" s="1" a="1"/>
  <c r="O442" i="2" s="1"/>
  <c r="F443" i="2"/>
  <c r="F444" i="2"/>
  <c r="F445" i="2"/>
  <c r="O445" i="2" s="1" a="1"/>
  <c r="O445" i="2" s="1"/>
  <c r="F446" i="2"/>
  <c r="O446" i="2" s="1" a="1"/>
  <c r="O446" i="2" s="1"/>
  <c r="F447" i="2"/>
  <c r="F448" i="2"/>
  <c r="F449" i="2"/>
  <c r="F450" i="2"/>
  <c r="O450" i="2" s="1" a="1"/>
  <c r="O450" i="2" s="1"/>
  <c r="F451" i="2"/>
  <c r="F452" i="2"/>
  <c r="F453" i="2"/>
  <c r="F454" i="2"/>
  <c r="O454" i="2" s="1" a="1"/>
  <c r="O454" i="2" s="1"/>
  <c r="F455" i="2"/>
  <c r="F456" i="2"/>
  <c r="F457" i="2"/>
  <c r="F458" i="2"/>
  <c r="O458" i="2" s="1" a="1"/>
  <c r="O458" i="2" s="1"/>
  <c r="F459" i="2"/>
  <c r="F460" i="2"/>
  <c r="F461" i="2"/>
  <c r="F462" i="2"/>
  <c r="O462" i="2" s="1" a="1"/>
  <c r="O462" i="2" s="1"/>
  <c r="F463" i="2"/>
  <c r="F464" i="2"/>
  <c r="F465" i="2"/>
  <c r="F466" i="2"/>
  <c r="O466" i="2" s="1" a="1"/>
  <c r="O466" i="2" s="1"/>
  <c r="F467" i="2"/>
  <c r="F468" i="2"/>
  <c r="F469" i="2"/>
  <c r="F470" i="2"/>
  <c r="O470" i="2" s="1" a="1"/>
  <c r="O470" i="2" s="1"/>
  <c r="F471" i="2"/>
  <c r="F472" i="2"/>
  <c r="F473" i="2"/>
  <c r="F474" i="2"/>
  <c r="O474" i="2" s="1" a="1"/>
  <c r="O474" i="2" s="1"/>
  <c r="F475" i="2"/>
  <c r="F476" i="2"/>
  <c r="F477" i="2"/>
  <c r="O477" i="2" s="1" a="1"/>
  <c r="O477" i="2" s="1"/>
  <c r="F478" i="2"/>
  <c r="O478" i="2" s="1" a="1"/>
  <c r="O478" i="2" s="1"/>
  <c r="F479" i="2"/>
  <c r="F480" i="2"/>
  <c r="F481" i="2"/>
  <c r="O481" i="2" s="1" a="1"/>
  <c r="O481" i="2" s="1"/>
  <c r="F482" i="2"/>
  <c r="O482" i="2" s="1" a="1"/>
  <c r="O482" i="2" s="1"/>
  <c r="F483" i="2"/>
  <c r="F484" i="2"/>
  <c r="F485" i="2"/>
  <c r="O485" i="2" s="1" a="1"/>
  <c r="O485" i="2" s="1"/>
  <c r="F486" i="2"/>
  <c r="O486" i="2" s="1" a="1"/>
  <c r="O486" i="2" s="1"/>
  <c r="F487" i="2"/>
  <c r="F488" i="2"/>
  <c r="F489" i="2"/>
  <c r="F490" i="2"/>
  <c r="O490" i="2" s="1" a="1"/>
  <c r="O490" i="2" s="1"/>
  <c r="F491" i="2"/>
  <c r="F492" i="2"/>
  <c r="F493" i="2"/>
  <c r="F494" i="2"/>
  <c r="O494" i="2" s="1" a="1"/>
  <c r="O494" i="2" s="1"/>
  <c r="F495" i="2"/>
  <c r="F496" i="2"/>
  <c r="F497" i="2"/>
  <c r="F498" i="2"/>
  <c r="O498" i="2" s="1" a="1"/>
  <c r="O498" i="2" s="1"/>
  <c r="F499" i="2"/>
  <c r="F500" i="2"/>
  <c r="F501" i="2"/>
  <c r="O501" i="2" s="1" a="1"/>
  <c r="O501" i="2" s="1"/>
  <c r="F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D499" i="2"/>
  <c r="P499" i="2" s="1" a="1"/>
  <c r="P499" i="2" s="1"/>
  <c r="D498" i="2"/>
  <c r="D3" i="2"/>
  <c r="D4" i="2"/>
  <c r="P4" i="2" s="1" a="1"/>
  <c r="P4" i="2" s="1"/>
  <c r="D5" i="2"/>
  <c r="P5" i="2" s="1" a="1"/>
  <c r="P5" i="2" s="1"/>
  <c r="D6" i="2"/>
  <c r="P6" i="2" s="1" a="1"/>
  <c r="P6" i="2" s="1"/>
  <c r="D7" i="2"/>
  <c r="P7" i="2" s="1" a="1"/>
  <c r="P7" i="2" s="1"/>
  <c r="D8" i="2"/>
  <c r="P8" i="2" s="1" a="1"/>
  <c r="P8" i="2" s="1"/>
  <c r="D9" i="2"/>
  <c r="P9" i="2" s="1" a="1"/>
  <c r="P9" i="2" s="1"/>
  <c r="D10" i="2"/>
  <c r="P10" i="2" s="1" a="1"/>
  <c r="P10" i="2" s="1"/>
  <c r="D11" i="2"/>
  <c r="D12" i="2"/>
  <c r="P12" i="2" s="1" a="1"/>
  <c r="P12" i="2" s="1"/>
  <c r="D13" i="2"/>
  <c r="P13" i="2" s="1" a="1"/>
  <c r="P13" i="2" s="1"/>
  <c r="D14" i="2"/>
  <c r="P14" i="2" s="1" a="1"/>
  <c r="P14" i="2" s="1"/>
  <c r="D15" i="2"/>
  <c r="D16" i="2"/>
  <c r="P16" i="2" s="1" a="1"/>
  <c r="P16" i="2" s="1"/>
  <c r="D17" i="2"/>
  <c r="P17" i="2" s="1" a="1"/>
  <c r="P17" i="2" s="1"/>
  <c r="D18" i="2"/>
  <c r="P18" i="2" s="1" a="1"/>
  <c r="P18" i="2" s="1"/>
  <c r="D19" i="2"/>
  <c r="D20" i="2"/>
  <c r="P20" i="2" s="1" a="1"/>
  <c r="P20" i="2" s="1"/>
  <c r="D21" i="2"/>
  <c r="P21" i="2" s="1" a="1"/>
  <c r="P21" i="2" s="1"/>
  <c r="D22" i="2"/>
  <c r="P22" i="2" s="1" a="1"/>
  <c r="P22" i="2" s="1"/>
  <c r="D23" i="2"/>
  <c r="D24" i="2"/>
  <c r="P24" i="2" s="1" a="1"/>
  <c r="P24" i="2" s="1"/>
  <c r="D25" i="2"/>
  <c r="P25" i="2" s="1" a="1"/>
  <c r="P25" i="2" s="1"/>
  <c r="D26" i="2"/>
  <c r="P26" i="2" s="1" a="1"/>
  <c r="P26" i="2" s="1"/>
  <c r="D27" i="2"/>
  <c r="D28" i="2"/>
  <c r="P28" i="2" s="1" a="1"/>
  <c r="P28" i="2" s="1"/>
  <c r="D29" i="2"/>
  <c r="P29" i="2" s="1" a="1"/>
  <c r="P29" i="2" s="1"/>
  <c r="D30" i="2"/>
  <c r="P30" i="2" s="1" a="1"/>
  <c r="P30" i="2" s="1"/>
  <c r="D31" i="2"/>
  <c r="D32" i="2"/>
  <c r="P32" i="2" s="1" a="1"/>
  <c r="P32" i="2" s="1"/>
  <c r="D33" i="2"/>
  <c r="P33" i="2" s="1" a="1"/>
  <c r="P33" i="2" s="1"/>
  <c r="D34" i="2"/>
  <c r="P34" i="2" s="1" a="1"/>
  <c r="P34" i="2" s="1"/>
  <c r="D35" i="2"/>
  <c r="D36" i="2"/>
  <c r="P36" i="2" s="1" a="1"/>
  <c r="P36" i="2" s="1"/>
  <c r="D37" i="2"/>
  <c r="P37" i="2" s="1" a="1"/>
  <c r="P37" i="2" s="1"/>
  <c r="D38" i="2"/>
  <c r="P38" i="2" s="1" a="1"/>
  <c r="P38" i="2" s="1"/>
  <c r="D39" i="2"/>
  <c r="D40" i="2"/>
  <c r="P40" i="2" s="1" a="1"/>
  <c r="P40" i="2" s="1"/>
  <c r="D41" i="2"/>
  <c r="P41" i="2" s="1" a="1"/>
  <c r="P41" i="2" s="1"/>
  <c r="D42" i="2"/>
  <c r="P42" i="2" s="1" a="1"/>
  <c r="P42" i="2" s="1"/>
  <c r="D43" i="2"/>
  <c r="D44" i="2"/>
  <c r="P44" i="2" s="1" a="1"/>
  <c r="P44" i="2" s="1"/>
  <c r="D45" i="2"/>
  <c r="P45" i="2" s="1" a="1"/>
  <c r="P45" i="2" s="1"/>
  <c r="D46" i="2"/>
  <c r="P46" i="2" s="1" a="1"/>
  <c r="P46" i="2" s="1"/>
  <c r="D47" i="2"/>
  <c r="D48" i="2"/>
  <c r="P48" i="2" s="1" a="1"/>
  <c r="P48" i="2" s="1"/>
  <c r="D49" i="2"/>
  <c r="P49" i="2" s="1" a="1"/>
  <c r="P49" i="2" s="1"/>
  <c r="D50" i="2"/>
  <c r="P50" i="2" s="1" a="1"/>
  <c r="P50" i="2" s="1"/>
  <c r="D51" i="2"/>
  <c r="D52" i="2"/>
  <c r="P52" i="2" s="1" a="1"/>
  <c r="P52" i="2" s="1"/>
  <c r="D53" i="2"/>
  <c r="P53" i="2" s="1" a="1"/>
  <c r="P53" i="2" s="1"/>
  <c r="D54" i="2"/>
  <c r="D55" i="2"/>
  <c r="D56" i="2"/>
  <c r="P56" i="2" s="1" a="1"/>
  <c r="P56" i="2" s="1"/>
  <c r="D57" i="2"/>
  <c r="P57" i="2" s="1" a="1"/>
  <c r="P57" i="2" s="1"/>
  <c r="D58" i="2"/>
  <c r="P58" i="2" s="1" a="1"/>
  <c r="P58" i="2" s="1"/>
  <c r="D59" i="2"/>
  <c r="D60" i="2"/>
  <c r="P60" i="2" s="1" a="1"/>
  <c r="P60" i="2" s="1"/>
  <c r="D61" i="2"/>
  <c r="P61" i="2" s="1" a="1"/>
  <c r="P61" i="2" s="1"/>
  <c r="D62" i="2"/>
  <c r="P62" i="2" s="1" a="1"/>
  <c r="P62" i="2" s="1"/>
  <c r="D63" i="2"/>
  <c r="D64" i="2"/>
  <c r="P64" i="2" s="1" a="1"/>
  <c r="P64" i="2" s="1"/>
  <c r="D65" i="2"/>
  <c r="P65" i="2" s="1" a="1"/>
  <c r="P65" i="2" s="1"/>
  <c r="D66" i="2"/>
  <c r="P66" i="2" s="1" a="1"/>
  <c r="P66" i="2" s="1"/>
  <c r="D67" i="2"/>
  <c r="D68" i="2"/>
  <c r="P68" i="2" s="1" a="1"/>
  <c r="P68" i="2" s="1"/>
  <c r="D69" i="2"/>
  <c r="P69" i="2" s="1" a="1"/>
  <c r="P69" i="2" s="1"/>
  <c r="D70" i="2"/>
  <c r="P70" i="2" s="1" a="1"/>
  <c r="P70" i="2" s="1"/>
  <c r="D71" i="2"/>
  <c r="D72" i="2"/>
  <c r="D73" i="2"/>
  <c r="P73" i="2" s="1" a="1"/>
  <c r="P73" i="2" s="1"/>
  <c r="D74" i="2"/>
  <c r="P74" i="2" s="1" a="1"/>
  <c r="P74" i="2" s="1"/>
  <c r="D75" i="2"/>
  <c r="D76" i="2"/>
  <c r="P76" i="2" s="1" a="1"/>
  <c r="P76" i="2" s="1"/>
  <c r="D77" i="2"/>
  <c r="P77" i="2" s="1" a="1"/>
  <c r="P77" i="2" s="1"/>
  <c r="D78" i="2"/>
  <c r="P78" i="2" s="1" a="1"/>
  <c r="P78" i="2" s="1"/>
  <c r="D79" i="2"/>
  <c r="D80" i="2"/>
  <c r="D81" i="2"/>
  <c r="P81" i="2" s="1" a="1"/>
  <c r="P81" i="2" s="1"/>
  <c r="D82" i="2"/>
  <c r="D83" i="2"/>
  <c r="D84" i="2"/>
  <c r="P84" i="2" s="1" a="1"/>
  <c r="P84" i="2" s="1"/>
  <c r="D85" i="2"/>
  <c r="P85" i="2" s="1" a="1"/>
  <c r="P85" i="2" s="1"/>
  <c r="D86" i="2"/>
  <c r="P86" i="2" s="1" a="1"/>
  <c r="P86" i="2" s="1"/>
  <c r="D87" i="2"/>
  <c r="P87" i="2" s="1" a="1"/>
  <c r="P87" i="2" s="1"/>
  <c r="D88" i="2"/>
  <c r="P88" i="2" s="1" a="1"/>
  <c r="P88" i="2" s="1"/>
  <c r="D89" i="2"/>
  <c r="P89" i="2" s="1" a="1"/>
  <c r="P89" i="2" s="1"/>
  <c r="D90" i="2"/>
  <c r="P90" i="2" s="1" a="1"/>
  <c r="P90" i="2" s="1"/>
  <c r="D91" i="2"/>
  <c r="P91" i="2" s="1" a="1"/>
  <c r="P91" i="2" s="1"/>
  <c r="D92" i="2"/>
  <c r="P92" i="2" s="1" a="1"/>
  <c r="P92" i="2" s="1"/>
  <c r="D93" i="2"/>
  <c r="P93" i="2" s="1" a="1"/>
  <c r="P93" i="2" s="1"/>
  <c r="D94" i="2"/>
  <c r="P94" i="2" s="1" a="1"/>
  <c r="P94" i="2" s="1"/>
  <c r="D95" i="2"/>
  <c r="P95" i="2" s="1" a="1"/>
  <c r="P95" i="2" s="1"/>
  <c r="D96" i="2"/>
  <c r="P96" i="2" s="1" a="1"/>
  <c r="P96" i="2" s="1"/>
  <c r="D97" i="2"/>
  <c r="P97" i="2" s="1" a="1"/>
  <c r="P97" i="2" s="1"/>
  <c r="D98" i="2"/>
  <c r="P98" i="2" s="1" a="1"/>
  <c r="P98" i="2" s="1"/>
  <c r="D99" i="2"/>
  <c r="D100" i="2"/>
  <c r="P100" i="2" s="1" a="1"/>
  <c r="P100" i="2" s="1"/>
  <c r="D101" i="2"/>
  <c r="P101" i="2" s="1" a="1"/>
  <c r="P101" i="2" s="1"/>
  <c r="D102" i="2"/>
  <c r="D103" i="2"/>
  <c r="P103" i="2" s="1" a="1"/>
  <c r="P103" i="2" s="1"/>
  <c r="D104" i="2"/>
  <c r="P104" i="2" s="1" a="1"/>
  <c r="P104" i="2" s="1"/>
  <c r="D105" i="2"/>
  <c r="P105" i="2" s="1" a="1"/>
  <c r="P105" i="2" s="1"/>
  <c r="D106" i="2"/>
  <c r="D107" i="2"/>
  <c r="D108" i="2"/>
  <c r="P108" i="2" s="1" a="1"/>
  <c r="P108" i="2" s="1"/>
  <c r="D109" i="2"/>
  <c r="P109" i="2" s="1" a="1"/>
  <c r="P109" i="2" s="1"/>
  <c r="D110" i="2"/>
  <c r="P110" i="2" s="1" a="1"/>
  <c r="P110" i="2" s="1"/>
  <c r="D111" i="2"/>
  <c r="D112" i="2"/>
  <c r="P112" i="2" s="1" a="1"/>
  <c r="P112" i="2" s="1"/>
  <c r="D113" i="2"/>
  <c r="D114" i="2"/>
  <c r="P114" i="2" s="1" a="1"/>
  <c r="P114" i="2" s="1"/>
  <c r="D115" i="2"/>
  <c r="P115" i="2" s="1" a="1"/>
  <c r="P115" i="2" s="1"/>
  <c r="D116" i="2"/>
  <c r="P116" i="2" s="1" a="1"/>
  <c r="P116" i="2" s="1"/>
  <c r="D117" i="2"/>
  <c r="P117" i="2" s="1" a="1"/>
  <c r="P117" i="2" s="1"/>
  <c r="D118" i="2"/>
  <c r="P118" i="2" s="1" a="1"/>
  <c r="P118" i="2" s="1"/>
  <c r="D119" i="2"/>
  <c r="P119" i="2" s="1" a="1"/>
  <c r="P119" i="2" s="1"/>
  <c r="D120" i="2"/>
  <c r="P120" i="2" s="1" a="1"/>
  <c r="P120" i="2" s="1"/>
  <c r="D121" i="2"/>
  <c r="P121" i="2" s="1" a="1"/>
  <c r="P121" i="2" s="1"/>
  <c r="D122" i="2"/>
  <c r="P122" i="2" s="1" a="1"/>
  <c r="P122" i="2" s="1"/>
  <c r="D123" i="2"/>
  <c r="P123" i="2" s="1" a="1"/>
  <c r="P123" i="2" s="1"/>
  <c r="D124" i="2"/>
  <c r="P124" i="2" s="1" a="1"/>
  <c r="P124" i="2" s="1"/>
  <c r="D125" i="2"/>
  <c r="P125" i="2" s="1" a="1"/>
  <c r="P125" i="2" s="1"/>
  <c r="D126" i="2"/>
  <c r="P126" i="2" s="1" a="1"/>
  <c r="P126" i="2" s="1"/>
  <c r="D127" i="2"/>
  <c r="D128" i="2"/>
  <c r="P128" i="2" s="1" a="1"/>
  <c r="P128" i="2" s="1"/>
  <c r="D129" i="2"/>
  <c r="D130" i="2"/>
  <c r="P130" i="2" s="1" a="1"/>
  <c r="P130" i="2" s="1"/>
  <c r="D131" i="2"/>
  <c r="P131" i="2" s="1" a="1"/>
  <c r="P131" i="2" s="1"/>
  <c r="D132" i="2"/>
  <c r="P132" i="2" s="1" a="1"/>
  <c r="P132" i="2" s="1"/>
  <c r="D133" i="2"/>
  <c r="D134" i="2"/>
  <c r="P134" i="2" s="1" a="1"/>
  <c r="P134" i="2" s="1"/>
  <c r="D135" i="2"/>
  <c r="P135" i="2" s="1" a="1"/>
  <c r="P135" i="2" s="1"/>
  <c r="D136" i="2"/>
  <c r="P136" i="2" s="1" a="1"/>
  <c r="P136" i="2" s="1"/>
  <c r="D137" i="2"/>
  <c r="P137" i="2" s="1" a="1"/>
  <c r="P137" i="2" s="1"/>
  <c r="D138" i="2"/>
  <c r="P138" i="2" s="1" a="1"/>
  <c r="D139" i="2"/>
  <c r="P139" i="2" s="1" a="1"/>
  <c r="P139" i="2" s="1"/>
  <c r="D140" i="2"/>
  <c r="P140" i="2" s="1" a="1"/>
  <c r="P140" i="2" s="1"/>
  <c r="D141" i="2"/>
  <c r="P141" i="2" s="1" a="1"/>
  <c r="P141" i="2" s="1"/>
  <c r="D142" i="2"/>
  <c r="D143" i="2"/>
  <c r="P143" i="2" s="1" a="1"/>
  <c r="P143" i="2" s="1"/>
  <c r="D144" i="2"/>
  <c r="P144" i="2" s="1" a="1"/>
  <c r="P144" i="2" s="1"/>
  <c r="D145" i="2"/>
  <c r="P145" i="2" s="1" a="1"/>
  <c r="P145" i="2" s="1"/>
  <c r="D146" i="2"/>
  <c r="P146" i="2" s="1" a="1"/>
  <c r="P146" i="2" s="1"/>
  <c r="D147" i="2"/>
  <c r="D148" i="2"/>
  <c r="P148" i="2" s="1" a="1"/>
  <c r="P148" i="2" s="1"/>
  <c r="D149" i="2"/>
  <c r="P149" i="2" s="1" a="1"/>
  <c r="P149" i="2" s="1"/>
  <c r="D150" i="2"/>
  <c r="P150" i="2" s="1" a="1"/>
  <c r="D151" i="2"/>
  <c r="P151" i="2" s="1" a="1"/>
  <c r="P151" i="2" s="1"/>
  <c r="D152" i="2"/>
  <c r="P152" i="2" s="1" a="1"/>
  <c r="P152" i="2" s="1"/>
  <c r="D153" i="2"/>
  <c r="P153" i="2" s="1" a="1"/>
  <c r="P153" i="2" s="1"/>
  <c r="D154" i="2"/>
  <c r="P154" i="2" s="1" a="1"/>
  <c r="P154" i="2" s="1"/>
  <c r="D155" i="2"/>
  <c r="P155" i="2" s="1" a="1"/>
  <c r="P155" i="2" s="1"/>
  <c r="D156" i="2"/>
  <c r="P156" i="2" s="1" a="1"/>
  <c r="P156" i="2" s="1"/>
  <c r="D157" i="2"/>
  <c r="P157" i="2" s="1" a="1"/>
  <c r="P157" i="2" s="1"/>
  <c r="D158" i="2"/>
  <c r="P158" i="2" s="1" a="1"/>
  <c r="P158" i="2" s="1"/>
  <c r="D159" i="2"/>
  <c r="P159" i="2" s="1" a="1"/>
  <c r="P159" i="2" s="1"/>
  <c r="D160" i="2"/>
  <c r="P160" i="2" s="1" a="1"/>
  <c r="P160" i="2" s="1"/>
  <c r="D161" i="2"/>
  <c r="P161" i="2" s="1" a="1"/>
  <c r="P161" i="2" s="1"/>
  <c r="D162" i="2"/>
  <c r="D163" i="2"/>
  <c r="P163" i="2" s="1" a="1"/>
  <c r="P163" i="2" s="1"/>
  <c r="D164" i="2"/>
  <c r="P164" i="2" s="1" a="1"/>
  <c r="P164" i="2" s="1"/>
  <c r="D165" i="2"/>
  <c r="P165" i="2" s="1" a="1"/>
  <c r="P165" i="2" s="1"/>
  <c r="D166" i="2"/>
  <c r="P166" i="2" s="1" a="1"/>
  <c r="P166" i="2" s="1"/>
  <c r="D167" i="2"/>
  <c r="D168" i="2"/>
  <c r="P168" i="2" s="1" a="1"/>
  <c r="P168" i="2" s="1"/>
  <c r="D169" i="2"/>
  <c r="P169" i="2" s="1" a="1"/>
  <c r="P169" i="2" s="1"/>
  <c r="D170" i="2"/>
  <c r="P170" i="2" s="1" a="1"/>
  <c r="P170" i="2" s="1"/>
  <c r="D171" i="2"/>
  <c r="P171" i="2" s="1" a="1"/>
  <c r="P171" i="2" s="1"/>
  <c r="D172" i="2"/>
  <c r="P172" i="2" s="1" a="1"/>
  <c r="P172" i="2" s="1"/>
  <c r="D173" i="2"/>
  <c r="P173" i="2" s="1" a="1"/>
  <c r="P173" i="2" s="1"/>
  <c r="D174" i="2"/>
  <c r="P174" i="2" s="1" a="1"/>
  <c r="P174" i="2" s="1"/>
  <c r="D175" i="2"/>
  <c r="P175" i="2" s="1" a="1"/>
  <c r="P175" i="2" s="1"/>
  <c r="D176" i="2"/>
  <c r="P176" i="2" s="1" a="1"/>
  <c r="P176" i="2" s="1"/>
  <c r="D177" i="2"/>
  <c r="D178" i="2"/>
  <c r="P178" i="2" s="1" a="1"/>
  <c r="P178" i="2" s="1"/>
  <c r="D179" i="2"/>
  <c r="P179" i="2" s="1" a="1"/>
  <c r="P179" i="2" s="1"/>
  <c r="D180" i="2"/>
  <c r="P180" i="2" s="1" a="1"/>
  <c r="P180" i="2" s="1"/>
  <c r="D181" i="2"/>
  <c r="P181" i="2" s="1" a="1"/>
  <c r="P181" i="2" s="1"/>
  <c r="D182" i="2"/>
  <c r="D183" i="2"/>
  <c r="P183" i="2" s="1" a="1"/>
  <c r="P183" i="2" s="1"/>
  <c r="D184" i="2"/>
  <c r="P184" i="2" s="1" a="1"/>
  <c r="P184" i="2" s="1"/>
  <c r="D185" i="2"/>
  <c r="P185" i="2" s="1" a="1"/>
  <c r="P185" i="2" s="1"/>
  <c r="D186" i="2"/>
  <c r="P186" i="2" s="1" a="1"/>
  <c r="P186" i="2" s="1"/>
  <c r="D187" i="2"/>
  <c r="P187" i="2" s="1" a="1"/>
  <c r="P187" i="2" s="1"/>
  <c r="D188" i="2"/>
  <c r="P188" i="2" s="1" a="1"/>
  <c r="P188" i="2" s="1"/>
  <c r="D189" i="2"/>
  <c r="P189" i="2" s="1" a="1"/>
  <c r="P189" i="2" s="1"/>
  <c r="D190" i="2"/>
  <c r="P190" i="2" s="1" a="1"/>
  <c r="P190" i="2" s="1"/>
  <c r="D191" i="2"/>
  <c r="P191" i="2" s="1" a="1"/>
  <c r="P191" i="2" s="1"/>
  <c r="D192" i="2"/>
  <c r="P192" i="2" s="1" a="1"/>
  <c r="P192" i="2" s="1"/>
  <c r="D193" i="2"/>
  <c r="P193" i="2" s="1" a="1"/>
  <c r="P193" i="2" s="1"/>
  <c r="D194" i="2"/>
  <c r="P194" i="2" s="1" a="1"/>
  <c r="P194" i="2" s="1"/>
  <c r="D195" i="2"/>
  <c r="D196" i="2"/>
  <c r="P196" i="2" s="1" a="1"/>
  <c r="P196" i="2" s="1"/>
  <c r="D197" i="2"/>
  <c r="P197" i="2" s="1" a="1"/>
  <c r="P197" i="2" s="1"/>
  <c r="D198" i="2"/>
  <c r="P198" i="2" s="1" a="1"/>
  <c r="D199" i="2"/>
  <c r="P199" i="2" s="1" a="1"/>
  <c r="P199" i="2" s="1"/>
  <c r="D200" i="2"/>
  <c r="P200" i="2" s="1" a="1"/>
  <c r="P200" i="2" s="1"/>
  <c r="D201" i="2"/>
  <c r="P201" i="2" s="1" a="1"/>
  <c r="P201" i="2" s="1"/>
  <c r="D202" i="2"/>
  <c r="P202" i="2" s="1" a="1"/>
  <c r="P202" i="2" s="1"/>
  <c r="D203" i="2"/>
  <c r="P203" i="2" s="1" a="1"/>
  <c r="P203" i="2" s="1"/>
  <c r="D204" i="2"/>
  <c r="P204" i="2" s="1" a="1"/>
  <c r="P204" i="2" s="1"/>
  <c r="D205" i="2"/>
  <c r="P205" i="2" s="1" a="1"/>
  <c r="P205" i="2" s="1"/>
  <c r="D206" i="2"/>
  <c r="P206" i="2" s="1" a="1"/>
  <c r="P206" i="2" s="1"/>
  <c r="D207" i="2"/>
  <c r="P207" i="2" s="1" a="1"/>
  <c r="P207" i="2" s="1"/>
  <c r="D208" i="2"/>
  <c r="P208" i="2" s="1" a="1"/>
  <c r="P208" i="2" s="1"/>
  <c r="D209" i="2"/>
  <c r="D210" i="2"/>
  <c r="P210" i="2" s="1" a="1"/>
  <c r="P210" i="2" s="1"/>
  <c r="D211" i="2"/>
  <c r="P211" i="2" s="1" a="1"/>
  <c r="P211" i="2" s="1"/>
  <c r="D212" i="2"/>
  <c r="P212" i="2" s="1" a="1"/>
  <c r="P212" i="2" s="1"/>
  <c r="D213" i="2"/>
  <c r="D214" i="2"/>
  <c r="P214" i="2" s="1" a="1"/>
  <c r="D215" i="2"/>
  <c r="P215" i="2" s="1" a="1"/>
  <c r="P215" i="2" s="1"/>
  <c r="D216" i="2"/>
  <c r="P216" i="2" s="1" a="1"/>
  <c r="P216" i="2" s="1"/>
  <c r="D217" i="2"/>
  <c r="P217" i="2" s="1" a="1"/>
  <c r="P217" i="2" s="1"/>
  <c r="D218" i="2"/>
  <c r="P218" i="2" s="1" a="1"/>
  <c r="P218" i="2" s="1"/>
  <c r="D219" i="2"/>
  <c r="P219" i="2" s="1" a="1"/>
  <c r="P219" i="2" s="1"/>
  <c r="D220" i="2"/>
  <c r="P220" i="2" s="1" a="1"/>
  <c r="P220" i="2" s="1"/>
  <c r="D221" i="2"/>
  <c r="P221" i="2" s="1" a="1"/>
  <c r="P221" i="2" s="1"/>
  <c r="D222" i="2"/>
  <c r="P222" i="2" s="1" a="1"/>
  <c r="P222" i="2" s="1"/>
  <c r="D223" i="2"/>
  <c r="P223" i="2" s="1" a="1"/>
  <c r="P223" i="2" s="1"/>
  <c r="D224" i="2"/>
  <c r="P224" i="2" s="1" a="1"/>
  <c r="P224" i="2" s="1"/>
  <c r="D225" i="2"/>
  <c r="P225" i="2" s="1" a="1"/>
  <c r="P225" i="2" s="1"/>
  <c r="D226" i="2"/>
  <c r="P226" i="2" s="1" a="1"/>
  <c r="P226" i="2" s="1"/>
  <c r="D227" i="2"/>
  <c r="P227" i="2" s="1" a="1"/>
  <c r="P227" i="2" s="1"/>
  <c r="D228" i="2"/>
  <c r="P228" i="2" s="1" a="1"/>
  <c r="P228" i="2" s="1"/>
  <c r="D229" i="2"/>
  <c r="D230" i="2"/>
  <c r="P230" i="2" s="1" a="1"/>
  <c r="D231" i="2"/>
  <c r="P231" i="2" s="1" a="1"/>
  <c r="P231" i="2" s="1"/>
  <c r="D232" i="2"/>
  <c r="P232" i="2" s="1" a="1"/>
  <c r="P232" i="2" s="1"/>
  <c r="D233" i="2"/>
  <c r="P233" i="2" s="1" a="1"/>
  <c r="P233" i="2" s="1"/>
  <c r="D234" i="2"/>
  <c r="P234" i="2" s="1" a="1"/>
  <c r="P234" i="2" s="1"/>
  <c r="D235" i="2"/>
  <c r="P235" i="2" s="1" a="1"/>
  <c r="P235" i="2" s="1"/>
  <c r="D236" i="2"/>
  <c r="P236" i="2" s="1" a="1"/>
  <c r="P236" i="2" s="1"/>
  <c r="D237" i="2"/>
  <c r="P237" i="2" s="1" a="1"/>
  <c r="P237" i="2" s="1"/>
  <c r="D238" i="2"/>
  <c r="P238" i="2" s="1" a="1"/>
  <c r="P238" i="2" s="1"/>
  <c r="D239" i="2"/>
  <c r="P239" i="2" s="1" a="1"/>
  <c r="P239" i="2" s="1"/>
  <c r="D240" i="2"/>
  <c r="P240" i="2" s="1" a="1"/>
  <c r="P240" i="2" s="1"/>
  <c r="D241" i="2"/>
  <c r="P241" i="2" s="1" a="1"/>
  <c r="P241" i="2" s="1"/>
  <c r="D242" i="2"/>
  <c r="P242" i="2" s="1" a="1"/>
  <c r="P242" i="2" s="1"/>
  <c r="D243" i="2"/>
  <c r="P243" i="2" s="1" a="1"/>
  <c r="P243" i="2" s="1"/>
  <c r="D244" i="2"/>
  <c r="P244" i="2" s="1" a="1"/>
  <c r="P244" i="2" s="1"/>
  <c r="D245" i="2"/>
  <c r="P245" i="2" s="1" a="1"/>
  <c r="P245" i="2" s="1"/>
  <c r="D246" i="2"/>
  <c r="P246" i="2" s="1" a="1"/>
  <c r="D247" i="2"/>
  <c r="P247" i="2" s="1" a="1"/>
  <c r="P247" i="2" s="1"/>
  <c r="D248" i="2"/>
  <c r="P248" i="2" s="1" a="1"/>
  <c r="P248" i="2" s="1"/>
  <c r="D249" i="2"/>
  <c r="D250" i="2"/>
  <c r="P250" i="2" s="1" a="1"/>
  <c r="P250" i="2" s="1"/>
  <c r="D251" i="2"/>
  <c r="P251" i="2" s="1" a="1"/>
  <c r="P251" i="2" s="1"/>
  <c r="D252" i="2"/>
  <c r="P252" i="2" s="1" a="1"/>
  <c r="P252" i="2" s="1"/>
  <c r="D253" i="2"/>
  <c r="P253" i="2" s="1" a="1"/>
  <c r="P253" i="2" s="1"/>
  <c r="D254" i="2"/>
  <c r="P254" i="2" s="1" a="1"/>
  <c r="P254" i="2" s="1"/>
  <c r="D255" i="2"/>
  <c r="P255" i="2" s="1" a="1"/>
  <c r="P255" i="2" s="1"/>
  <c r="D256" i="2"/>
  <c r="P256" i="2" s="1" a="1"/>
  <c r="P256" i="2" s="1"/>
  <c r="D257" i="2"/>
  <c r="P257" i="2" s="1" a="1"/>
  <c r="P257" i="2" s="1"/>
  <c r="D258" i="2"/>
  <c r="P258" i="2" s="1" a="1"/>
  <c r="P258" i="2" s="1"/>
  <c r="D259" i="2"/>
  <c r="P259" i="2" s="1" a="1"/>
  <c r="P259" i="2" s="1"/>
  <c r="D260" i="2"/>
  <c r="P260" i="2" s="1" a="1"/>
  <c r="P260" i="2" s="1"/>
  <c r="D261" i="2"/>
  <c r="P261" i="2" s="1" a="1"/>
  <c r="P261" i="2" s="1"/>
  <c r="D262" i="2"/>
  <c r="P262" i="2" s="1" a="1"/>
  <c r="P262" i="2" s="1"/>
  <c r="D263" i="2"/>
  <c r="P263" i="2" s="1" a="1"/>
  <c r="P263" i="2" s="1"/>
  <c r="D264" i="2"/>
  <c r="P264" i="2" s="1" a="1"/>
  <c r="P264" i="2" s="1"/>
  <c r="D265" i="2"/>
  <c r="P265" i="2" s="1" a="1"/>
  <c r="P265" i="2" s="1"/>
  <c r="D266" i="2"/>
  <c r="P266" i="2" s="1" a="1"/>
  <c r="P266" i="2" s="1"/>
  <c r="D267" i="2"/>
  <c r="D268" i="2"/>
  <c r="P268" i="2" s="1" a="1"/>
  <c r="P268" i="2" s="1"/>
  <c r="D269" i="2"/>
  <c r="P269" i="2" s="1" a="1"/>
  <c r="P269" i="2" s="1"/>
  <c r="D270" i="2"/>
  <c r="P270" i="2" s="1" a="1"/>
  <c r="P270" i="2" s="1"/>
  <c r="D271" i="2"/>
  <c r="P271" i="2" s="1" a="1"/>
  <c r="P271" i="2" s="1"/>
  <c r="D272" i="2"/>
  <c r="P272" i="2" s="1" a="1"/>
  <c r="P272" i="2" s="1"/>
  <c r="D273" i="2"/>
  <c r="P273" i="2" s="1" a="1"/>
  <c r="P273" i="2" s="1"/>
  <c r="D274" i="2"/>
  <c r="P274" i="2" s="1" a="1"/>
  <c r="P274" i="2" s="1"/>
  <c r="D275" i="2"/>
  <c r="P275" i="2" s="1" a="1"/>
  <c r="P275" i="2" s="1"/>
  <c r="D276" i="2"/>
  <c r="P276" i="2" s="1" a="1"/>
  <c r="P276" i="2" s="1"/>
  <c r="D277" i="2"/>
  <c r="P277" i="2" s="1" a="1"/>
  <c r="P277" i="2" s="1"/>
  <c r="D278" i="2"/>
  <c r="D279" i="2"/>
  <c r="P279" i="2" s="1" a="1"/>
  <c r="P279" i="2" s="1"/>
  <c r="D280" i="2"/>
  <c r="P280" i="2" s="1" a="1"/>
  <c r="P280" i="2" s="1"/>
  <c r="D281" i="2"/>
  <c r="P281" i="2" s="1" a="1"/>
  <c r="P281" i="2" s="1"/>
  <c r="D282" i="2"/>
  <c r="D283" i="2"/>
  <c r="P283" i="2" s="1" a="1"/>
  <c r="P283" i="2" s="1"/>
  <c r="D284" i="2"/>
  <c r="P284" i="2" s="1" a="1"/>
  <c r="P284" i="2" s="1"/>
  <c r="D285" i="2"/>
  <c r="P285" i="2" s="1" a="1"/>
  <c r="P285" i="2" s="1"/>
  <c r="D286" i="2"/>
  <c r="P286" i="2" s="1" a="1"/>
  <c r="P286" i="2" s="1"/>
  <c r="D287" i="2"/>
  <c r="P287" i="2" s="1" a="1"/>
  <c r="P287" i="2" s="1"/>
  <c r="D288" i="2"/>
  <c r="P288" i="2" s="1" a="1"/>
  <c r="P288" i="2" s="1"/>
  <c r="D289" i="2"/>
  <c r="P289" i="2" s="1" a="1"/>
  <c r="P289" i="2" s="1"/>
  <c r="D290" i="2"/>
  <c r="P290" i="2" s="1" a="1"/>
  <c r="P290" i="2" s="1"/>
  <c r="D291" i="2"/>
  <c r="P291" i="2" s="1" a="1"/>
  <c r="P291" i="2" s="1"/>
  <c r="D292" i="2"/>
  <c r="P292" i="2" s="1" a="1"/>
  <c r="P292" i="2" s="1"/>
  <c r="D293" i="2"/>
  <c r="P293" i="2" s="1" a="1"/>
  <c r="P293" i="2" s="1"/>
  <c r="D294" i="2"/>
  <c r="P294" i="2" s="1" a="1"/>
  <c r="P294" i="2" s="1"/>
  <c r="D295" i="2"/>
  <c r="P295" i="2" s="1" a="1"/>
  <c r="P295" i="2" s="1"/>
  <c r="D296" i="2"/>
  <c r="P296" i="2" s="1" a="1"/>
  <c r="P296" i="2" s="1"/>
  <c r="D297" i="2"/>
  <c r="P297" i="2" s="1" a="1"/>
  <c r="P297" i="2" s="1"/>
  <c r="D298" i="2"/>
  <c r="P298" i="2" s="1" a="1"/>
  <c r="P298" i="2" s="1"/>
  <c r="D299" i="2"/>
  <c r="P299" i="2" s="1" a="1"/>
  <c r="P299" i="2" s="1"/>
  <c r="D300" i="2"/>
  <c r="P300" i="2" s="1" a="1"/>
  <c r="P300" i="2" s="1"/>
  <c r="D301" i="2"/>
  <c r="P301" i="2" s="1" a="1"/>
  <c r="P301" i="2" s="1"/>
  <c r="D302" i="2"/>
  <c r="P302" i="2" s="1" a="1"/>
  <c r="P302" i="2" s="1"/>
  <c r="D303" i="2"/>
  <c r="P303" i="2" s="1" a="1"/>
  <c r="P303" i="2" s="1"/>
  <c r="D304" i="2"/>
  <c r="P304" i="2" s="1" a="1"/>
  <c r="P304" i="2" s="1"/>
  <c r="D305" i="2"/>
  <c r="P305" i="2" s="1" a="1"/>
  <c r="P305" i="2" s="1"/>
  <c r="D306" i="2"/>
  <c r="P306" i="2" s="1" a="1"/>
  <c r="P306" i="2" s="1"/>
  <c r="D307" i="2"/>
  <c r="P307" i="2" s="1" a="1"/>
  <c r="P307" i="2" s="1"/>
  <c r="D308" i="2"/>
  <c r="P308" i="2" s="1" a="1"/>
  <c r="P308" i="2" s="1"/>
  <c r="D309" i="2"/>
  <c r="P309" i="2" s="1" a="1"/>
  <c r="P309" i="2" s="1"/>
  <c r="D310" i="2"/>
  <c r="P310" i="2" s="1" a="1"/>
  <c r="P310" i="2" s="1"/>
  <c r="D311" i="2"/>
  <c r="P311" i="2" s="1" a="1"/>
  <c r="P311" i="2" s="1"/>
  <c r="D312" i="2"/>
  <c r="P312" i="2" s="1" a="1"/>
  <c r="P312" i="2" s="1"/>
  <c r="D313" i="2"/>
  <c r="P313" i="2" s="1" a="1"/>
  <c r="P313" i="2" s="1"/>
  <c r="D314" i="2"/>
  <c r="P314" i="2" s="1" a="1"/>
  <c r="P314" i="2" s="1"/>
  <c r="D315" i="2"/>
  <c r="D316" i="2"/>
  <c r="P316" i="2" s="1" a="1"/>
  <c r="P316" i="2" s="1"/>
  <c r="D317" i="2"/>
  <c r="P317" i="2" s="1" a="1"/>
  <c r="P317" i="2" s="1"/>
  <c r="D318" i="2"/>
  <c r="P318" i="2" s="1" a="1"/>
  <c r="P318" i="2" s="1"/>
  <c r="D319" i="2"/>
  <c r="P319" i="2" s="1" a="1"/>
  <c r="P319" i="2" s="1"/>
  <c r="D320" i="2"/>
  <c r="P320" i="2" s="1" a="1"/>
  <c r="P320" i="2" s="1"/>
  <c r="D321" i="2"/>
  <c r="P321" i="2" s="1" a="1"/>
  <c r="P321" i="2" s="1"/>
  <c r="D322" i="2"/>
  <c r="P322" i="2" s="1" a="1"/>
  <c r="P322" i="2" s="1"/>
  <c r="D323" i="2"/>
  <c r="P323" i="2" s="1" a="1"/>
  <c r="P323" i="2" s="1"/>
  <c r="D324" i="2"/>
  <c r="P324" i="2" s="1" a="1"/>
  <c r="P324" i="2" s="1"/>
  <c r="D325" i="2"/>
  <c r="P325" i="2" s="1" a="1"/>
  <c r="P325" i="2" s="1"/>
  <c r="D326" i="2"/>
  <c r="P326" i="2" s="1" a="1"/>
  <c r="P326" i="2" s="1"/>
  <c r="D327" i="2"/>
  <c r="P327" i="2" s="1" a="1"/>
  <c r="P327" i="2" s="1"/>
  <c r="D328" i="2"/>
  <c r="P328" i="2" s="1" a="1"/>
  <c r="P328" i="2" s="1"/>
  <c r="D329" i="2"/>
  <c r="P329" i="2" s="1" a="1"/>
  <c r="P329" i="2" s="1"/>
  <c r="D330" i="2"/>
  <c r="P330" i="2" s="1" a="1"/>
  <c r="P330" i="2" s="1"/>
  <c r="D331" i="2"/>
  <c r="P331" i="2" s="1" a="1"/>
  <c r="P331" i="2" s="1"/>
  <c r="D332" i="2"/>
  <c r="P332" i="2" s="1" a="1"/>
  <c r="P332" i="2" s="1"/>
  <c r="D333" i="2"/>
  <c r="P333" i="2" s="1" a="1"/>
  <c r="P333" i="2" s="1"/>
  <c r="D334" i="2"/>
  <c r="P334" i="2" s="1" a="1"/>
  <c r="P334" i="2" s="1"/>
  <c r="D335" i="2"/>
  <c r="P335" i="2" s="1" a="1"/>
  <c r="P335" i="2" s="1"/>
  <c r="D336" i="2"/>
  <c r="P336" i="2" s="1" a="1"/>
  <c r="P336" i="2" s="1"/>
  <c r="D337" i="2"/>
  <c r="P337" i="2" s="1" a="1"/>
  <c r="P337" i="2" s="1"/>
  <c r="D338" i="2"/>
  <c r="P338" i="2" s="1" a="1"/>
  <c r="P338" i="2" s="1"/>
  <c r="D339" i="2"/>
  <c r="D340" i="2"/>
  <c r="P340" i="2" s="1" a="1"/>
  <c r="P340" i="2" s="1"/>
  <c r="D341" i="2"/>
  <c r="P341" i="2" s="1" a="1"/>
  <c r="P341" i="2" s="1"/>
  <c r="D342" i="2"/>
  <c r="P342" i="2" s="1" a="1"/>
  <c r="P342" i="2" s="1"/>
  <c r="D343" i="2"/>
  <c r="D344" i="2"/>
  <c r="P344" i="2" s="1" a="1"/>
  <c r="P344" i="2" s="1"/>
  <c r="D345" i="2"/>
  <c r="P345" i="2" s="1" a="1"/>
  <c r="P345" i="2" s="1"/>
  <c r="D346" i="2"/>
  <c r="P346" i="2" s="1" a="1"/>
  <c r="P346" i="2" s="1"/>
  <c r="D347" i="2"/>
  <c r="P347" i="2" s="1" a="1"/>
  <c r="P347" i="2" s="1"/>
  <c r="D348" i="2"/>
  <c r="P348" i="2" s="1" a="1"/>
  <c r="P348" i="2" s="1"/>
  <c r="D349" i="2"/>
  <c r="P349" i="2" s="1" a="1"/>
  <c r="P349" i="2" s="1"/>
  <c r="D350" i="2"/>
  <c r="P350" i="2" s="1" a="1"/>
  <c r="P350" i="2" s="1"/>
  <c r="D351" i="2"/>
  <c r="P351" i="2" s="1" a="1"/>
  <c r="P351" i="2" s="1"/>
  <c r="D352" i="2"/>
  <c r="P352" i="2" s="1" a="1"/>
  <c r="P352" i="2" s="1"/>
  <c r="D353" i="2"/>
  <c r="P353" i="2" s="1" a="1"/>
  <c r="P353" i="2" s="1"/>
  <c r="D354" i="2"/>
  <c r="P354" i="2" s="1" a="1"/>
  <c r="P354" i="2" s="1"/>
  <c r="D355" i="2"/>
  <c r="P355" i="2" s="1" a="1"/>
  <c r="P355" i="2" s="1"/>
  <c r="D356" i="2"/>
  <c r="P356" i="2" s="1" a="1"/>
  <c r="P356" i="2" s="1"/>
  <c r="D357" i="2"/>
  <c r="P357" i="2" s="1" a="1"/>
  <c r="P357" i="2" s="1"/>
  <c r="D358" i="2"/>
  <c r="P358" i="2" s="1" a="1"/>
  <c r="P358" i="2" s="1"/>
  <c r="D359" i="2"/>
  <c r="P359" i="2" s="1" a="1"/>
  <c r="P359" i="2" s="1"/>
  <c r="D360" i="2"/>
  <c r="P360" i="2" s="1" a="1"/>
  <c r="P360" i="2" s="1"/>
  <c r="D361" i="2"/>
  <c r="P361" i="2" s="1" a="1"/>
  <c r="P361" i="2" s="1"/>
  <c r="D362" i="2"/>
  <c r="P362" i="2" s="1" a="1"/>
  <c r="P362" i="2" s="1"/>
  <c r="D363" i="2"/>
  <c r="P363" i="2" s="1" a="1"/>
  <c r="P363" i="2" s="1"/>
  <c r="D364" i="2"/>
  <c r="P364" i="2" s="1" a="1"/>
  <c r="P364" i="2" s="1"/>
  <c r="D365" i="2"/>
  <c r="P365" i="2" s="1" a="1"/>
  <c r="P365" i="2" s="1"/>
  <c r="D366" i="2"/>
  <c r="P366" i="2" s="1" a="1"/>
  <c r="P366" i="2" s="1"/>
  <c r="D367" i="2"/>
  <c r="P367" i="2" s="1" a="1"/>
  <c r="P367" i="2" s="1"/>
  <c r="D368" i="2"/>
  <c r="P368" i="2" s="1" a="1"/>
  <c r="P368" i="2" s="1"/>
  <c r="D369" i="2"/>
  <c r="P369" i="2" s="1" a="1"/>
  <c r="P369" i="2" s="1"/>
  <c r="D370" i="2"/>
  <c r="P370" i="2" s="1" a="1"/>
  <c r="P370" i="2" s="1"/>
  <c r="D371" i="2"/>
  <c r="P371" i="2" s="1" a="1"/>
  <c r="P371" i="2" s="1"/>
  <c r="D372" i="2"/>
  <c r="P372" i="2" s="1" a="1"/>
  <c r="P372" i="2" s="1"/>
  <c r="D373" i="2"/>
  <c r="P373" i="2" s="1" a="1"/>
  <c r="P373" i="2" s="1"/>
  <c r="D374" i="2"/>
  <c r="P374" i="2" s="1" a="1"/>
  <c r="P374" i="2" s="1"/>
  <c r="D375" i="2"/>
  <c r="P375" i="2" s="1" a="1"/>
  <c r="P375" i="2" s="1"/>
  <c r="D376" i="2"/>
  <c r="P376" i="2" s="1" a="1"/>
  <c r="P376" i="2" s="1"/>
  <c r="D377" i="2"/>
  <c r="P377" i="2" s="1" a="1"/>
  <c r="P377" i="2" s="1"/>
  <c r="D378" i="2"/>
  <c r="P378" i="2" s="1" a="1"/>
  <c r="P378" i="2" s="1"/>
  <c r="D379" i="2"/>
  <c r="P379" i="2" s="1" a="1"/>
  <c r="P379" i="2" s="1"/>
  <c r="D380" i="2"/>
  <c r="P380" i="2" s="1" a="1"/>
  <c r="P380" i="2" s="1"/>
  <c r="D381" i="2"/>
  <c r="P381" i="2" s="1" a="1"/>
  <c r="P381" i="2" s="1"/>
  <c r="D382" i="2"/>
  <c r="P382" i="2" s="1" a="1"/>
  <c r="P382" i="2" s="1"/>
  <c r="D383" i="2"/>
  <c r="P383" i="2" s="1" a="1"/>
  <c r="P383" i="2" s="1"/>
  <c r="D384" i="2"/>
  <c r="P384" i="2" s="1" a="1"/>
  <c r="P384" i="2" s="1"/>
  <c r="D385" i="2"/>
  <c r="P385" i="2" s="1" a="1"/>
  <c r="P385" i="2" s="1"/>
  <c r="D386" i="2"/>
  <c r="P386" i="2" s="1" a="1"/>
  <c r="P386" i="2" s="1"/>
  <c r="D387" i="2"/>
  <c r="P387" i="2" s="1" a="1"/>
  <c r="P387" i="2" s="1"/>
  <c r="D388" i="2"/>
  <c r="P388" i="2" s="1" a="1"/>
  <c r="P388" i="2" s="1"/>
  <c r="D389" i="2"/>
  <c r="P389" i="2" s="1" a="1"/>
  <c r="P389" i="2" s="1"/>
  <c r="D390" i="2"/>
  <c r="P390" i="2" s="1" a="1"/>
  <c r="P390" i="2" s="1"/>
  <c r="D391" i="2"/>
  <c r="P391" i="2" s="1" a="1"/>
  <c r="P391" i="2" s="1"/>
  <c r="D392" i="2"/>
  <c r="P392" i="2" s="1" a="1"/>
  <c r="P392" i="2" s="1"/>
  <c r="D393" i="2"/>
  <c r="P393" i="2" s="1" a="1"/>
  <c r="P393" i="2" s="1"/>
  <c r="D394" i="2"/>
  <c r="P394" i="2" s="1" a="1"/>
  <c r="P394" i="2" s="1"/>
  <c r="D395" i="2"/>
  <c r="P395" i="2" s="1" a="1"/>
  <c r="P395" i="2" s="1"/>
  <c r="D396" i="2"/>
  <c r="P396" i="2" s="1" a="1"/>
  <c r="P396" i="2" s="1"/>
  <c r="D397" i="2"/>
  <c r="P397" i="2" s="1" a="1"/>
  <c r="P397" i="2" s="1"/>
  <c r="D398" i="2"/>
  <c r="P398" i="2" s="1" a="1"/>
  <c r="P398" i="2" s="1"/>
  <c r="D399" i="2"/>
  <c r="P399" i="2" s="1" a="1"/>
  <c r="P399" i="2" s="1"/>
  <c r="D400" i="2"/>
  <c r="P400" i="2" s="1" a="1"/>
  <c r="P400" i="2" s="1"/>
  <c r="D401" i="2"/>
  <c r="P401" i="2" s="1" a="1"/>
  <c r="P401" i="2" s="1"/>
  <c r="D402" i="2"/>
  <c r="P402" i="2" s="1" a="1"/>
  <c r="P402" i="2" s="1"/>
  <c r="D403" i="2"/>
  <c r="D404" i="2"/>
  <c r="P404" i="2" s="1" a="1"/>
  <c r="P404" i="2" s="1"/>
  <c r="D405" i="2"/>
  <c r="P405" i="2" s="1" a="1"/>
  <c r="P405" i="2" s="1"/>
  <c r="D406" i="2"/>
  <c r="P406" i="2" s="1" a="1"/>
  <c r="P406" i="2" s="1"/>
  <c r="D407" i="2"/>
  <c r="P407" i="2" s="1" a="1"/>
  <c r="P407" i="2" s="1"/>
  <c r="D408" i="2"/>
  <c r="P408" i="2" s="1" a="1"/>
  <c r="P408" i="2" s="1"/>
  <c r="D409" i="2"/>
  <c r="P409" i="2" s="1" a="1"/>
  <c r="P409" i="2" s="1"/>
  <c r="D410" i="2"/>
  <c r="P410" i="2" s="1" a="1"/>
  <c r="P410" i="2" s="1"/>
  <c r="D411" i="2"/>
  <c r="P411" i="2" s="1" a="1"/>
  <c r="P411" i="2" s="1"/>
  <c r="D412" i="2"/>
  <c r="P412" i="2" s="1" a="1"/>
  <c r="P412" i="2" s="1"/>
  <c r="D413" i="2"/>
  <c r="D414" i="2"/>
  <c r="P414" i="2" s="1" a="1"/>
  <c r="P414" i="2" s="1"/>
  <c r="D415" i="2"/>
  <c r="P415" i="2" s="1" a="1"/>
  <c r="P415" i="2" s="1"/>
  <c r="D416" i="2"/>
  <c r="P416" i="2" s="1" a="1"/>
  <c r="P416" i="2" s="1"/>
  <c r="D417" i="2"/>
  <c r="D418" i="2"/>
  <c r="P418" i="2" s="1" a="1"/>
  <c r="P418" i="2" s="1"/>
  <c r="D419" i="2"/>
  <c r="P419" i="2" s="1" a="1"/>
  <c r="P419" i="2" s="1"/>
  <c r="D420" i="2"/>
  <c r="P420" i="2" s="1" a="1"/>
  <c r="P420" i="2" s="1"/>
  <c r="D421" i="2"/>
  <c r="D422" i="2"/>
  <c r="P422" i="2" s="1" a="1"/>
  <c r="P422" i="2" s="1"/>
  <c r="D423" i="2"/>
  <c r="D424" i="2"/>
  <c r="P424" i="2" s="1" a="1"/>
  <c r="P424" i="2" s="1"/>
  <c r="D425" i="2"/>
  <c r="P425" i="2" s="1" a="1"/>
  <c r="P425" i="2" s="1"/>
  <c r="D426" i="2"/>
  <c r="P426" i="2" s="1" a="1"/>
  <c r="P426" i="2" s="1"/>
  <c r="D427" i="2"/>
  <c r="P427" i="2" s="1" a="1"/>
  <c r="P427" i="2" s="1"/>
  <c r="D428" i="2"/>
  <c r="P428" i="2" s="1" a="1"/>
  <c r="P428" i="2" s="1"/>
  <c r="D429" i="2"/>
  <c r="P429" i="2" s="1" a="1"/>
  <c r="P429" i="2" s="1"/>
  <c r="D430" i="2"/>
  <c r="P430" i="2" s="1" a="1"/>
  <c r="P430" i="2" s="1"/>
  <c r="D431" i="2"/>
  <c r="P431" i="2" s="1" a="1"/>
  <c r="P431" i="2" s="1"/>
  <c r="D432" i="2"/>
  <c r="P432" i="2" s="1" a="1"/>
  <c r="P432" i="2" s="1"/>
  <c r="D433" i="2"/>
  <c r="P433" i="2" s="1" a="1"/>
  <c r="P433" i="2" s="1"/>
  <c r="D434" i="2"/>
  <c r="P434" i="2" s="1" a="1"/>
  <c r="P434" i="2" s="1"/>
  <c r="D435" i="2"/>
  <c r="P435" i="2" s="1" a="1"/>
  <c r="P435" i="2" s="1"/>
  <c r="D436" i="2"/>
  <c r="P436" i="2" s="1" a="1"/>
  <c r="P436" i="2" s="1"/>
  <c r="D437" i="2"/>
  <c r="P437" i="2" s="1" a="1"/>
  <c r="P437" i="2" s="1"/>
  <c r="D438" i="2"/>
  <c r="P438" i="2" s="1" a="1"/>
  <c r="P438" i="2" s="1"/>
  <c r="D439" i="2"/>
  <c r="P439" i="2" s="1" a="1"/>
  <c r="P439" i="2" s="1"/>
  <c r="D440" i="2"/>
  <c r="P440" i="2" s="1" a="1"/>
  <c r="P440" i="2" s="1"/>
  <c r="D441" i="2"/>
  <c r="P441" i="2" s="1" a="1"/>
  <c r="P441" i="2" s="1"/>
  <c r="D442" i="2"/>
  <c r="D443" i="2"/>
  <c r="D444" i="2"/>
  <c r="P444" i="2" s="1" a="1"/>
  <c r="P444" i="2" s="1"/>
  <c r="D445" i="2"/>
  <c r="P445" i="2" s="1" a="1"/>
  <c r="P445" i="2" s="1"/>
  <c r="D446" i="2"/>
  <c r="P446" i="2" s="1" a="1"/>
  <c r="P446" i="2" s="1"/>
  <c r="D447" i="2"/>
  <c r="P447" i="2" s="1" a="1"/>
  <c r="P447" i="2" s="1"/>
  <c r="D448" i="2"/>
  <c r="P448" i="2" s="1" a="1"/>
  <c r="P448" i="2" s="1"/>
  <c r="D449" i="2"/>
  <c r="P449" i="2" s="1" a="1"/>
  <c r="P449" i="2" s="1"/>
  <c r="D450" i="2"/>
  <c r="P450" i="2" s="1" a="1"/>
  <c r="P450" i="2" s="1"/>
  <c r="D451" i="2"/>
  <c r="P451" i="2" s="1" a="1"/>
  <c r="P451" i="2" s="1"/>
  <c r="D452" i="2"/>
  <c r="P452" i="2" s="1" a="1"/>
  <c r="P452" i="2" s="1"/>
  <c r="D453" i="2"/>
  <c r="P453" i="2" s="1" a="1"/>
  <c r="P453" i="2" s="1"/>
  <c r="D454" i="2"/>
  <c r="P454" i="2" s="1" a="1"/>
  <c r="P454" i="2" s="1"/>
  <c r="D455" i="2"/>
  <c r="D456" i="2"/>
  <c r="P456" i="2" s="1" a="1"/>
  <c r="P456" i="2" s="1"/>
  <c r="D457" i="2"/>
  <c r="P457" i="2" s="1" a="1"/>
  <c r="P457" i="2" s="1"/>
  <c r="D458" i="2"/>
  <c r="P458" i="2" s="1" a="1"/>
  <c r="P458" i="2" s="1"/>
  <c r="D459" i="2"/>
  <c r="P459" i="2" s="1" a="1"/>
  <c r="P459" i="2" s="1"/>
  <c r="D460" i="2"/>
  <c r="P460" i="2" s="1" a="1"/>
  <c r="P460" i="2" s="1"/>
  <c r="D461" i="2"/>
  <c r="P461" i="2" s="1" a="1"/>
  <c r="P461" i="2" s="1"/>
  <c r="D462" i="2"/>
  <c r="P462" i="2" s="1" a="1"/>
  <c r="P462" i="2" s="1"/>
  <c r="D463" i="2"/>
  <c r="P463" i="2" s="1" a="1"/>
  <c r="P463" i="2" s="1"/>
  <c r="D464" i="2"/>
  <c r="P464" i="2" s="1" a="1"/>
  <c r="P464" i="2" s="1"/>
  <c r="D465" i="2"/>
  <c r="D466" i="2"/>
  <c r="P466" i="2" s="1" a="1"/>
  <c r="P466" i="2" s="1"/>
  <c r="D467" i="2"/>
  <c r="P467" i="2" s="1" a="1"/>
  <c r="P467" i="2" s="1"/>
  <c r="D468" i="2"/>
  <c r="P468" i="2" s="1" a="1"/>
  <c r="P468" i="2" s="1"/>
  <c r="D469" i="2"/>
  <c r="P469" i="2" s="1" a="1"/>
  <c r="P469" i="2" s="1"/>
  <c r="D470" i="2"/>
  <c r="P470" i="2" s="1" a="1"/>
  <c r="P470" i="2" s="1"/>
  <c r="D471" i="2"/>
  <c r="P471" i="2" s="1" a="1"/>
  <c r="P471" i="2" s="1"/>
  <c r="D472" i="2"/>
  <c r="P472" i="2" s="1" a="1"/>
  <c r="P472" i="2" s="1"/>
  <c r="D473" i="2"/>
  <c r="P473" i="2" s="1" a="1"/>
  <c r="P473" i="2" s="1"/>
  <c r="D474" i="2"/>
  <c r="P474" i="2" s="1" a="1"/>
  <c r="P474" i="2" s="1"/>
  <c r="D475" i="2"/>
  <c r="P475" i="2" s="1" a="1"/>
  <c r="P475" i="2" s="1"/>
  <c r="D476" i="2"/>
  <c r="P476" i="2" s="1" a="1"/>
  <c r="P476" i="2" s="1"/>
  <c r="D477" i="2"/>
  <c r="P477" i="2" s="1" a="1"/>
  <c r="P477" i="2" s="1"/>
  <c r="D478" i="2"/>
  <c r="P478" i="2" s="1" a="1"/>
  <c r="P478" i="2" s="1"/>
  <c r="D479" i="2"/>
  <c r="D480" i="2"/>
  <c r="P480" i="2" s="1" a="1"/>
  <c r="P480" i="2" s="1"/>
  <c r="D481" i="2"/>
  <c r="P481" i="2" s="1" a="1"/>
  <c r="P481" i="2" s="1"/>
  <c r="D482" i="2"/>
  <c r="P482" i="2" s="1" a="1"/>
  <c r="P482" i="2" s="1"/>
  <c r="D483" i="2"/>
  <c r="P483" i="2" s="1" a="1"/>
  <c r="P483" i="2" s="1"/>
  <c r="D484" i="2"/>
  <c r="P484" i="2" s="1" a="1"/>
  <c r="P484" i="2" s="1"/>
  <c r="D485" i="2"/>
  <c r="P485" i="2" s="1" a="1"/>
  <c r="P485" i="2" s="1"/>
  <c r="D486" i="2"/>
  <c r="P486" i="2" s="1" a="1"/>
  <c r="D487" i="2"/>
  <c r="P487" i="2" s="1" a="1"/>
  <c r="P487" i="2" s="1"/>
  <c r="D488" i="2"/>
  <c r="P488" i="2" s="1" a="1"/>
  <c r="P488" i="2" s="1"/>
  <c r="D489" i="2"/>
  <c r="P489" i="2" s="1" a="1"/>
  <c r="P489" i="2" s="1"/>
  <c r="D490" i="2"/>
  <c r="P490" i="2" s="1" a="1"/>
  <c r="P490" i="2" s="1"/>
  <c r="D491" i="2"/>
  <c r="P491" i="2" s="1" a="1"/>
  <c r="P491" i="2" s="1"/>
  <c r="D492" i="2"/>
  <c r="P492" i="2" s="1" a="1"/>
  <c r="P492" i="2" s="1"/>
  <c r="D493" i="2"/>
  <c r="P493" i="2" s="1" a="1"/>
  <c r="P493" i="2" s="1"/>
  <c r="D494" i="2"/>
  <c r="P494" i="2" s="1" a="1"/>
  <c r="P494" i="2" s="1"/>
  <c r="D495" i="2"/>
  <c r="P495" i="2" s="1" a="1"/>
  <c r="P495" i="2" s="1"/>
  <c r="D496" i="2"/>
  <c r="P496" i="2" s="1" a="1"/>
  <c r="P496" i="2" s="1"/>
  <c r="D497" i="2"/>
  <c r="P497" i="2" s="1" a="1"/>
  <c r="P497" i="2" s="1"/>
  <c r="P498" i="2" a="1"/>
  <c r="P498" i="2" s="1"/>
  <c r="D500" i="2"/>
  <c r="P500" i="2" s="1" a="1"/>
  <c r="P500" i="2" s="1"/>
  <c r="D501" i="2"/>
  <c r="P501" i="2" s="1" a="1"/>
  <c r="P501" i="2" s="1"/>
  <c r="D2" i="2"/>
  <c r="P2" i="2" s="1" a="1"/>
  <c r="P2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2" i="2"/>
  <c r="A2" i="2"/>
  <c r="O500" i="2" a="1"/>
  <c r="O500" i="2" s="1"/>
  <c r="O499" i="2" a="1"/>
  <c r="O499" i="2" s="1"/>
  <c r="O497" i="2" a="1"/>
  <c r="O497" i="2" s="1"/>
  <c r="O496" i="2" a="1"/>
  <c r="O496" i="2" s="1"/>
  <c r="O495" i="2" a="1"/>
  <c r="O495" i="2" s="1"/>
  <c r="O493" i="2" a="1"/>
  <c r="O493" i="2" s="1"/>
  <c r="O492" i="2" a="1"/>
  <c r="O492" i="2" s="1"/>
  <c r="O491" i="2" a="1"/>
  <c r="O491" i="2" s="1"/>
  <c r="O489" i="2" a="1"/>
  <c r="O489" i="2" s="1"/>
  <c r="O488" i="2" a="1"/>
  <c r="O488" i="2" s="1"/>
  <c r="O487" i="2" a="1"/>
  <c r="O487" i="2" s="1"/>
  <c r="P486" i="2"/>
  <c r="O484" i="2" a="1"/>
  <c r="O484" i="2" s="1"/>
  <c r="O483" i="2" a="1"/>
  <c r="O483" i="2" s="1"/>
  <c r="O480" i="2" a="1"/>
  <c r="O480" i="2" s="1"/>
  <c r="O479" i="2" a="1"/>
  <c r="O479" i="2" s="1"/>
  <c r="P479" i="2" a="1"/>
  <c r="P479" i="2" s="1"/>
  <c r="O476" i="2" a="1"/>
  <c r="O476" i="2" s="1"/>
  <c r="O475" i="2" a="1"/>
  <c r="O475" i="2" s="1"/>
  <c r="O473" i="2" a="1"/>
  <c r="O473" i="2" s="1"/>
  <c r="O472" i="2" a="1"/>
  <c r="O472" i="2" s="1"/>
  <c r="O471" i="2" a="1"/>
  <c r="O471" i="2" s="1"/>
  <c r="O469" i="2" a="1"/>
  <c r="O469" i="2" s="1"/>
  <c r="O468" i="2" a="1"/>
  <c r="O468" i="2" s="1"/>
  <c r="O467" i="2" a="1"/>
  <c r="O467" i="2" s="1"/>
  <c r="O465" i="2" a="1"/>
  <c r="O465" i="2" s="1"/>
  <c r="P465" i="2" a="1"/>
  <c r="P465" i="2" s="1"/>
  <c r="O464" i="2" a="1"/>
  <c r="O464" i="2" s="1"/>
  <c r="O463" i="2" a="1"/>
  <c r="O463" i="2" s="1"/>
  <c r="O461" i="2" a="1"/>
  <c r="O461" i="2" s="1"/>
  <c r="O460" i="2" a="1"/>
  <c r="O460" i="2" s="1"/>
  <c r="O459" i="2" a="1"/>
  <c r="O459" i="2" s="1"/>
  <c r="O457" i="2" a="1"/>
  <c r="O457" i="2" s="1"/>
  <c r="O456" i="2" a="1"/>
  <c r="O456" i="2" s="1"/>
  <c r="O455" i="2" a="1"/>
  <c r="O455" i="2" s="1"/>
  <c r="P455" i="2" a="1"/>
  <c r="P455" i="2" s="1"/>
  <c r="O453" i="2" a="1"/>
  <c r="O453" i="2" s="1"/>
  <c r="O452" i="2" a="1"/>
  <c r="O452" i="2" s="1"/>
  <c r="O451" i="2" a="1"/>
  <c r="O451" i="2" s="1"/>
  <c r="O449" i="2" a="1"/>
  <c r="O449" i="2" s="1"/>
  <c r="O448" i="2" a="1"/>
  <c r="O448" i="2" s="1"/>
  <c r="O447" i="2" a="1"/>
  <c r="O447" i="2" s="1"/>
  <c r="O444" i="2" a="1"/>
  <c r="O444" i="2" s="1"/>
  <c r="O443" i="2"/>
  <c r="O443" i="2" a="1"/>
  <c r="P443" i="2" a="1"/>
  <c r="P443" i="2" s="1"/>
  <c r="P442" i="2" a="1"/>
  <c r="P442" i="2" s="1"/>
  <c r="O440" i="2" a="1"/>
  <c r="O440" i="2" s="1"/>
  <c r="O439" i="2" a="1"/>
  <c r="O439" i="2" s="1"/>
  <c r="O436" i="2" a="1"/>
  <c r="O436" i="2" s="1"/>
  <c r="O435" i="2" a="1"/>
  <c r="O435" i="2" s="1"/>
  <c r="O432" i="2" a="1"/>
  <c r="O432" i="2" s="1"/>
  <c r="O431" i="2" a="1"/>
  <c r="O431" i="2" s="1"/>
  <c r="O428" i="2" a="1"/>
  <c r="O428" i="2" s="1"/>
  <c r="O427" i="2" a="1"/>
  <c r="O427" i="2" s="1"/>
  <c r="O424" i="2" a="1"/>
  <c r="O424" i="2" s="1"/>
  <c r="O423" i="2" a="1"/>
  <c r="O423" i="2" s="1"/>
  <c r="P423" i="2" a="1"/>
  <c r="P423" i="2" s="1"/>
  <c r="P421" i="2" a="1"/>
  <c r="P421" i="2" s="1"/>
  <c r="O420" i="2" a="1"/>
  <c r="O420" i="2" s="1"/>
  <c r="O419" i="2" a="1"/>
  <c r="O419" i="2" s="1"/>
  <c r="O417" i="2" a="1"/>
  <c r="O417" i="2" s="1"/>
  <c r="P417" i="2" a="1"/>
  <c r="P417" i="2" s="1"/>
  <c r="O416" i="2" a="1"/>
  <c r="O416" i="2" s="1"/>
  <c r="O415" i="2" a="1"/>
  <c r="O415" i="2" s="1"/>
  <c r="O413" i="2" a="1"/>
  <c r="O413" i="2" s="1"/>
  <c r="P413" i="2" a="1"/>
  <c r="P413" i="2" s="1"/>
  <c r="O412" i="2" a="1"/>
  <c r="O412" i="2" s="1"/>
  <c r="O411" i="2" a="1"/>
  <c r="O411" i="2" s="1"/>
  <c r="O409" i="2" a="1"/>
  <c r="O409" i="2" s="1"/>
  <c r="O408" i="2" a="1"/>
  <c r="O408" i="2" s="1"/>
  <c r="O407" i="2" a="1"/>
  <c r="O407" i="2" s="1"/>
  <c r="O405" i="2" a="1"/>
  <c r="O405" i="2" s="1"/>
  <c r="O404" i="2" a="1"/>
  <c r="O404" i="2" s="1"/>
  <c r="P403" i="2" a="1"/>
  <c r="P403" i="2" s="1"/>
  <c r="O403" i="2" a="1"/>
  <c r="O403" i="2" s="1"/>
  <c r="O401" i="2" a="1"/>
  <c r="O401" i="2" s="1"/>
  <c r="O400" i="2" a="1"/>
  <c r="O400" i="2" s="1"/>
  <c r="O399" i="2" a="1"/>
  <c r="O399" i="2" s="1"/>
  <c r="O396" i="2" a="1"/>
  <c r="O396" i="2" s="1"/>
  <c r="O395" i="2" a="1"/>
  <c r="O395" i="2" s="1"/>
  <c r="O392" i="2" a="1"/>
  <c r="O392" i="2" s="1"/>
  <c r="O391" i="2" a="1"/>
  <c r="O391" i="2" s="1"/>
  <c r="O389" i="2" a="1"/>
  <c r="O389" i="2" s="1"/>
  <c r="O388" i="2" a="1"/>
  <c r="O388" i="2" s="1"/>
  <c r="O387" i="2" a="1"/>
  <c r="O387" i="2" s="1"/>
  <c r="O384" i="2" a="1"/>
  <c r="O384" i="2" s="1"/>
  <c r="O383" i="2" a="1"/>
  <c r="O383" i="2" s="1"/>
  <c r="O380" i="2" a="1"/>
  <c r="O380" i="2" s="1"/>
  <c r="O379" i="2" a="1"/>
  <c r="O379" i="2" s="1"/>
  <c r="O376" i="2" a="1"/>
  <c r="O376" i="2" s="1"/>
  <c r="O375" i="2" a="1"/>
  <c r="O375" i="2" s="1"/>
  <c r="O372" i="2" a="1"/>
  <c r="O372" i="2" s="1"/>
  <c r="O371" i="2" a="1"/>
  <c r="O371" i="2" s="1"/>
  <c r="O369" i="2" a="1"/>
  <c r="O369" i="2" s="1"/>
  <c r="O368" i="2" a="1"/>
  <c r="O368" i="2" s="1"/>
  <c r="O367" i="2" a="1"/>
  <c r="O367" i="2" s="1"/>
  <c r="O364" i="2" a="1"/>
  <c r="O364" i="2" s="1"/>
  <c r="O363" i="2" a="1"/>
  <c r="O363" i="2" s="1"/>
  <c r="O361" i="2" a="1"/>
  <c r="O361" i="2" s="1"/>
  <c r="O360" i="2" a="1"/>
  <c r="O360" i="2" s="1"/>
  <c r="O359" i="2" a="1"/>
  <c r="O359" i="2" s="1"/>
  <c r="O357" i="2" a="1"/>
  <c r="O357" i="2" s="1"/>
  <c r="O356" i="2" a="1"/>
  <c r="O356" i="2" s="1"/>
  <c r="O355" i="2" a="1"/>
  <c r="O355" i="2" s="1"/>
  <c r="O352" i="2" a="1"/>
  <c r="O352" i="2" s="1"/>
  <c r="O351" i="2" a="1"/>
  <c r="O351" i="2" s="1"/>
  <c r="O348" i="2" a="1"/>
  <c r="O348" i="2" s="1"/>
  <c r="O347" i="2" a="1"/>
  <c r="O347" i="2" s="1"/>
  <c r="O344" i="2" a="1"/>
  <c r="O344" i="2" s="1"/>
  <c r="O343" i="2" a="1"/>
  <c r="O343" i="2" s="1"/>
  <c r="P343" i="2" a="1"/>
  <c r="P343" i="2" s="1"/>
  <c r="O341" i="2" a="1"/>
  <c r="O341" i="2" s="1"/>
  <c r="O340" i="2" a="1"/>
  <c r="O340" i="2" s="1"/>
  <c r="O339" i="2" a="1"/>
  <c r="O339" i="2" s="1"/>
  <c r="P339" i="2" a="1"/>
  <c r="P339" i="2" s="1"/>
  <c r="O337" i="2" a="1"/>
  <c r="O337" i="2" s="1"/>
  <c r="O336" i="2" a="1"/>
  <c r="O336" i="2" s="1"/>
  <c r="O335" i="2" a="1"/>
  <c r="O335" i="2" s="1"/>
  <c r="O333" i="2" a="1"/>
  <c r="O333" i="2" s="1"/>
  <c r="O332" i="2" a="1"/>
  <c r="O332" i="2" s="1"/>
  <c r="O331" i="2" a="1"/>
  <c r="O331" i="2" s="1"/>
  <c r="O328" i="2" a="1"/>
  <c r="O328" i="2" s="1"/>
  <c r="O327" i="2" a="1"/>
  <c r="O327" i="2" s="1"/>
  <c r="O324" i="2" a="1"/>
  <c r="O324" i="2" s="1"/>
  <c r="O323" i="2" a="1"/>
  <c r="O323" i="2" s="1"/>
  <c r="O320" i="2" a="1"/>
  <c r="O320" i="2" s="1"/>
  <c r="O319" i="2" a="1"/>
  <c r="O319" i="2" s="1"/>
  <c r="O316" i="2" a="1"/>
  <c r="O316" i="2" s="1"/>
  <c r="O315" i="2" a="1"/>
  <c r="O315" i="2" s="1"/>
  <c r="P315" i="2" a="1"/>
  <c r="P315" i="2" s="1"/>
  <c r="O312" i="2" a="1"/>
  <c r="O312" i="2" s="1"/>
  <c r="O311" i="2" a="1"/>
  <c r="O311" i="2" s="1"/>
  <c r="O308" i="2" a="1"/>
  <c r="O308" i="2" s="1"/>
  <c r="O307" i="2" a="1"/>
  <c r="O307" i="2" s="1"/>
  <c r="O305" i="2" a="1"/>
  <c r="O305" i="2" s="1"/>
  <c r="O304" i="2" a="1"/>
  <c r="O304" i="2" s="1"/>
  <c r="O303" i="2" a="1"/>
  <c r="O303" i="2" s="1"/>
  <c r="O301" i="2" a="1"/>
  <c r="O301" i="2" s="1"/>
  <c r="O300" i="2" a="1"/>
  <c r="O300" i="2" s="1"/>
  <c r="O299" i="2" a="1"/>
  <c r="O299" i="2" s="1"/>
  <c r="O297" i="2" a="1"/>
  <c r="O297" i="2" s="1"/>
  <c r="O296" i="2" a="1"/>
  <c r="O296" i="2" s="1"/>
  <c r="O295" i="2" a="1"/>
  <c r="O295" i="2" s="1"/>
  <c r="O293" i="2" a="1"/>
  <c r="O293" i="2" s="1"/>
  <c r="O292" i="2" a="1"/>
  <c r="O292" i="2" s="1"/>
  <c r="O291" i="2" a="1"/>
  <c r="O291" i="2" s="1"/>
  <c r="O289" i="2" a="1"/>
  <c r="O289" i="2" s="1"/>
  <c r="O288" i="2" a="1"/>
  <c r="O288" i="2" s="1"/>
  <c r="O287" i="2" a="1"/>
  <c r="O287" i="2" s="1"/>
  <c r="O285" i="2" a="1"/>
  <c r="O285" i="2" s="1"/>
  <c r="O284" i="2" a="1"/>
  <c r="O284" i="2" s="1"/>
  <c r="O283" i="2" a="1"/>
  <c r="O283" i="2" s="1"/>
  <c r="P282" i="2" a="1"/>
  <c r="P282" i="2" s="1"/>
  <c r="O281" i="2" a="1"/>
  <c r="O281" i="2" s="1"/>
  <c r="O280" i="2" a="1"/>
  <c r="O280" i="2" s="1"/>
  <c r="O279" i="2" a="1"/>
  <c r="O279" i="2" s="1"/>
  <c r="P278" i="2" a="1"/>
  <c r="P278" i="2" s="1"/>
  <c r="O277" i="2" a="1"/>
  <c r="O277" i="2" s="1"/>
  <c r="O276" i="2" a="1"/>
  <c r="O276" i="2" s="1"/>
  <c r="O275" i="2" a="1"/>
  <c r="O275" i="2" s="1"/>
  <c r="O273" i="2" a="1"/>
  <c r="O273" i="2" s="1"/>
  <c r="O272" i="2" a="1"/>
  <c r="O272" i="2" s="1"/>
  <c r="O271" i="2" a="1"/>
  <c r="O271" i="2" s="1"/>
  <c r="O269" i="2" a="1"/>
  <c r="O269" i="2" s="1"/>
  <c r="O268" i="2" a="1"/>
  <c r="O268" i="2" s="1"/>
  <c r="O267" i="2" a="1"/>
  <c r="O267" i="2" s="1"/>
  <c r="P267" i="2" a="1"/>
  <c r="P267" i="2" s="1"/>
  <c r="O264" i="2" a="1"/>
  <c r="O264" i="2" s="1"/>
  <c r="O263" i="2" a="1"/>
  <c r="O263" i="2" s="1"/>
  <c r="O261" i="2" a="1"/>
  <c r="O261" i="2" s="1"/>
  <c r="O260" i="2" a="1"/>
  <c r="O260" i="2" s="1"/>
  <c r="O259" i="2" a="1"/>
  <c r="O259" i="2" s="1"/>
  <c r="O257" i="2" a="1"/>
  <c r="O257" i="2" s="1"/>
  <c r="O256" i="2" a="1"/>
  <c r="O256" i="2" s="1"/>
  <c r="O255" i="2" a="1"/>
  <c r="O255" i="2" s="1"/>
  <c r="O252" i="2" a="1"/>
  <c r="O252" i="2" s="1"/>
  <c r="O251" i="2" a="1"/>
  <c r="O251" i="2" s="1"/>
  <c r="P249" i="2" a="1"/>
  <c r="P249" i="2" s="1"/>
  <c r="O249" i="2" a="1"/>
  <c r="O249" i="2" s="1"/>
  <c r="O248" i="2" a="1"/>
  <c r="O248" i="2" s="1"/>
  <c r="O247" i="2" a="1"/>
  <c r="O247" i="2" s="1"/>
  <c r="P246" i="2"/>
  <c r="O244" i="2" a="1"/>
  <c r="O244" i="2" s="1"/>
  <c r="O243" i="2" a="1"/>
  <c r="O243" i="2" s="1"/>
  <c r="O240" i="2" a="1"/>
  <c r="O240" i="2" s="1"/>
  <c r="O239" i="2" a="1"/>
  <c r="O239" i="2" s="1"/>
  <c r="O237" i="2" a="1"/>
  <c r="O237" i="2" s="1"/>
  <c r="O236" i="2" a="1"/>
  <c r="O236" i="2" s="1"/>
  <c r="O235" i="2" a="1"/>
  <c r="O235" i="2" s="1"/>
  <c r="O233" i="2" a="1"/>
  <c r="O233" i="2" s="1"/>
  <c r="O232" i="2" a="1"/>
  <c r="O232" i="2" s="1"/>
  <c r="O231" i="2" a="1"/>
  <c r="O231" i="2" s="1"/>
  <c r="P230" i="2"/>
  <c r="P229" i="2" a="1"/>
  <c r="P229" i="2" s="1"/>
  <c r="O228" i="2" a="1"/>
  <c r="O228" i="2" s="1"/>
  <c r="O227" i="2" a="1"/>
  <c r="O227" i="2" s="1"/>
  <c r="O224" i="2" a="1"/>
  <c r="O224" i="2" s="1"/>
  <c r="O223" i="2" a="1"/>
  <c r="O223" i="2" s="1"/>
  <c r="O220" i="2" a="1"/>
  <c r="O220" i="2" s="1"/>
  <c r="O219" i="2" a="1"/>
  <c r="O219" i="2" s="1"/>
  <c r="O216" i="2" a="1"/>
  <c r="O216" i="2" s="1"/>
  <c r="O215" i="2" a="1"/>
  <c r="O215" i="2" s="1"/>
  <c r="P214" i="2"/>
  <c r="P213" i="2" a="1"/>
  <c r="P213" i="2" s="1"/>
  <c r="O213" i="2" a="1"/>
  <c r="O213" i="2" s="1"/>
  <c r="O212" i="2" a="1"/>
  <c r="O212" i="2" s="1"/>
  <c r="O211" i="2" a="1"/>
  <c r="O211" i="2" s="1"/>
  <c r="P209" i="2" a="1"/>
  <c r="P209" i="2" s="1"/>
  <c r="O209" i="2" a="1"/>
  <c r="O209" i="2" s="1"/>
  <c r="O208" i="2" a="1"/>
  <c r="O208" i="2" s="1"/>
  <c r="O207" i="2" a="1"/>
  <c r="O207" i="2" s="1"/>
  <c r="O204" i="2" a="1"/>
  <c r="O204" i="2" s="1"/>
  <c r="O203" i="2" a="1"/>
  <c r="O203" i="2" s="1"/>
  <c r="O200" i="2" a="1"/>
  <c r="O200" i="2" s="1"/>
  <c r="O199" i="2" a="1"/>
  <c r="O199" i="2" s="1"/>
  <c r="P198" i="2"/>
  <c r="O197" i="2" a="1"/>
  <c r="O197" i="2" s="1"/>
  <c r="O196" i="2" a="1"/>
  <c r="O196" i="2" s="1"/>
  <c r="O195" i="2" a="1"/>
  <c r="O195" i="2" s="1"/>
  <c r="P195" i="2" a="1"/>
  <c r="P195" i="2" s="1"/>
  <c r="O192" i="2" a="1"/>
  <c r="O192" i="2" s="1"/>
  <c r="O191" i="2" a="1"/>
  <c r="O191" i="2" s="1"/>
  <c r="O188" i="2"/>
  <c r="O188" i="2" a="1"/>
  <c r="O187" i="2" a="1"/>
  <c r="O187" i="2" s="1"/>
  <c r="O184" i="2" a="1"/>
  <c r="O184" i="2" s="1"/>
  <c r="O183" i="2" a="1"/>
  <c r="O183" i="2" s="1"/>
  <c r="P182" i="2" a="1"/>
  <c r="P182" i="2" s="1"/>
  <c r="O180" i="2" a="1"/>
  <c r="O180" i="2" s="1"/>
  <c r="O179" i="2" a="1"/>
  <c r="O179" i="2" s="1"/>
  <c r="P177" i="2" a="1"/>
  <c r="P177" i="2" s="1"/>
  <c r="O176" i="2" a="1"/>
  <c r="O176" i="2" s="1"/>
  <c r="O175" i="2" a="1"/>
  <c r="O175" i="2" s="1"/>
  <c r="O172" i="2" a="1"/>
  <c r="O172" i="2" s="1"/>
  <c r="O171" i="2" a="1"/>
  <c r="O171" i="2" s="1"/>
  <c r="O170" i="2" a="1"/>
  <c r="O170" i="2" s="1"/>
  <c r="O169" i="2" a="1"/>
  <c r="O169" i="2" s="1"/>
  <c r="O168" i="2" a="1"/>
  <c r="O168" i="2" s="1"/>
  <c r="O167" i="2" a="1"/>
  <c r="O167" i="2" s="1"/>
  <c r="P167" i="2" a="1"/>
  <c r="P167" i="2" s="1"/>
  <c r="O165" i="2" a="1"/>
  <c r="O165" i="2" s="1"/>
  <c r="O164" i="2" a="1"/>
  <c r="O164" i="2" s="1"/>
  <c r="O163" i="2" a="1"/>
  <c r="O163" i="2" s="1"/>
  <c r="P162" i="2" a="1"/>
  <c r="P162" i="2" s="1"/>
  <c r="O161" i="2" a="1"/>
  <c r="O161" i="2" s="1"/>
  <c r="O160" i="2" a="1"/>
  <c r="O160" i="2" s="1"/>
  <c r="O159" i="2" a="1"/>
  <c r="O159" i="2" s="1"/>
  <c r="O156" i="2" a="1"/>
  <c r="O156" i="2" s="1"/>
  <c r="O155" i="2" a="1"/>
  <c r="O155" i="2" s="1"/>
  <c r="O152" i="2" a="1"/>
  <c r="O152" i="2" s="1"/>
  <c r="O151" i="2" a="1"/>
  <c r="O151" i="2" s="1"/>
  <c r="P150" i="2"/>
  <c r="O148" i="2" a="1"/>
  <c r="O148" i="2" s="1"/>
  <c r="O147" i="2" a="1"/>
  <c r="O147" i="2" s="1"/>
  <c r="P147" i="2" a="1"/>
  <c r="P147" i="2" s="1"/>
  <c r="O146" i="2" a="1"/>
  <c r="O146" i="2" s="1"/>
  <c r="O144" i="2" a="1"/>
  <c r="O144" i="2" s="1"/>
  <c r="O143" i="2" a="1"/>
  <c r="O143" i="2" s="1"/>
  <c r="P142" i="2" a="1"/>
  <c r="P142" i="2" s="1"/>
  <c r="O140" i="2" a="1"/>
  <c r="O140" i="2" s="1"/>
  <c r="O139" i="2" a="1"/>
  <c r="O139" i="2" s="1"/>
  <c r="P138" i="2"/>
  <c r="O136" i="2" a="1"/>
  <c r="O136" i="2" s="1"/>
  <c r="O135" i="2" a="1"/>
  <c r="O135" i="2" s="1"/>
  <c r="P133" i="2" a="1"/>
  <c r="P133" i="2" s="1"/>
  <c r="O132" i="2" a="1"/>
  <c r="O132" i="2" s="1"/>
  <c r="O131" i="2" a="1"/>
  <c r="O131" i="2" s="1"/>
  <c r="O129" i="2" a="1"/>
  <c r="O129" i="2" s="1"/>
  <c r="P129" i="2" a="1"/>
  <c r="P129" i="2" s="1"/>
  <c r="O128" i="2" a="1"/>
  <c r="O128" i="2" s="1"/>
  <c r="O127" i="2" a="1"/>
  <c r="O127" i="2" s="1"/>
  <c r="P127" i="2" a="1"/>
  <c r="P127" i="2" s="1"/>
  <c r="O125" i="2" a="1"/>
  <c r="O125" i="2" s="1"/>
  <c r="O124" i="2" a="1"/>
  <c r="O124" i="2" s="1"/>
  <c r="O123" i="2" a="1"/>
  <c r="O123" i="2" s="1"/>
  <c r="O120" i="2" a="1"/>
  <c r="O120" i="2" s="1"/>
  <c r="O119" i="2" a="1"/>
  <c r="O119" i="2" s="1"/>
  <c r="O116" i="2"/>
  <c r="O116" i="2" a="1"/>
  <c r="O115" i="2" a="1"/>
  <c r="O115" i="2" s="1"/>
  <c r="P113" i="2" a="1"/>
  <c r="P113" i="2" s="1"/>
  <c r="O112" i="2" a="1"/>
  <c r="O112" i="2" s="1"/>
  <c r="O111" i="2" a="1"/>
  <c r="O111" i="2" s="1"/>
  <c r="P111" i="2" a="1"/>
  <c r="P111" i="2" s="1"/>
  <c r="O109" i="2" a="1"/>
  <c r="O109" i="2" s="1"/>
  <c r="O108" i="2" a="1"/>
  <c r="O108" i="2" s="1"/>
  <c r="O107" i="2" a="1"/>
  <c r="O107" i="2" s="1"/>
  <c r="P107" i="2" a="1"/>
  <c r="P107" i="2" s="1"/>
  <c r="P106" i="2" a="1"/>
  <c r="P106" i="2" s="1"/>
  <c r="O106" i="2" a="1"/>
  <c r="O106" i="2" s="1"/>
  <c r="O104" i="2" a="1"/>
  <c r="O104" i="2" s="1"/>
  <c r="O103" i="2" a="1"/>
  <c r="O103" i="2" s="1"/>
  <c r="P102" i="2" a="1"/>
  <c r="P102" i="2" s="1"/>
  <c r="O100" i="2" a="1"/>
  <c r="O100" i="2" s="1"/>
  <c r="O99" i="2" a="1"/>
  <c r="O99" i="2" s="1"/>
  <c r="P99" i="2" a="1"/>
  <c r="P99" i="2" s="1"/>
  <c r="O96" i="2" a="1"/>
  <c r="O96" i="2" s="1"/>
  <c r="O95" i="2" a="1"/>
  <c r="O95" i="2" s="1"/>
  <c r="O92" i="2" a="1"/>
  <c r="O92" i="2" s="1"/>
  <c r="O91" i="2" a="1"/>
  <c r="O91" i="2" s="1"/>
  <c r="O89" i="2" a="1"/>
  <c r="O89" i="2" s="1"/>
  <c r="O88" i="2" a="1"/>
  <c r="O88" i="2" s="1"/>
  <c r="O87" i="2" a="1"/>
  <c r="O87" i="2" s="1"/>
  <c r="O85" i="2" a="1"/>
  <c r="O85" i="2" s="1"/>
  <c r="O84" i="2" a="1"/>
  <c r="O84" i="2" s="1"/>
  <c r="O83" i="2" a="1"/>
  <c r="O83" i="2" s="1"/>
  <c r="P83" i="2" a="1"/>
  <c r="P83" i="2" s="1"/>
  <c r="P82" i="2" a="1"/>
  <c r="P82" i="2" s="1"/>
  <c r="O81" i="2" a="1"/>
  <c r="O81" i="2" s="1"/>
  <c r="O80" i="2" a="1"/>
  <c r="O80" i="2" s="1"/>
  <c r="P80" i="2" a="1"/>
  <c r="P80" i="2" s="1"/>
  <c r="O79" i="2" a="1"/>
  <c r="O79" i="2" s="1"/>
  <c r="P79" i="2" a="1"/>
  <c r="P79" i="2" s="1"/>
  <c r="O76" i="2" a="1"/>
  <c r="O76" i="2" s="1"/>
  <c r="O75" i="2" a="1"/>
  <c r="O75" i="2" s="1"/>
  <c r="P75" i="2" a="1"/>
  <c r="P75" i="2" s="1"/>
  <c r="P72" i="2" a="1"/>
  <c r="P72" i="2" s="1"/>
  <c r="O72" i="2" a="1"/>
  <c r="O72" i="2" s="1"/>
  <c r="O71" i="2" a="1"/>
  <c r="O71" i="2" s="1"/>
  <c r="P71" i="2" a="1"/>
  <c r="P71" i="2" s="1"/>
  <c r="O69" i="2" a="1"/>
  <c r="O69" i="2" s="1"/>
  <c r="O68" i="2" a="1"/>
  <c r="O68" i="2" s="1"/>
  <c r="O67" i="2" a="1"/>
  <c r="O67" i="2" s="1"/>
  <c r="P67" i="2" a="1"/>
  <c r="P67" i="2" s="1"/>
  <c r="O64" i="2" a="1"/>
  <c r="O64" i="2" s="1"/>
  <c r="O63" i="2" a="1"/>
  <c r="O63" i="2" s="1"/>
  <c r="P63" i="2" a="1"/>
  <c r="P63" i="2" s="1"/>
  <c r="O60" i="2" a="1"/>
  <c r="O60" i="2" s="1"/>
  <c r="O59" i="2" a="1"/>
  <c r="O59" i="2" s="1"/>
  <c r="P59" i="2" a="1"/>
  <c r="P59" i="2" s="1"/>
  <c r="O57" i="2" a="1"/>
  <c r="O57" i="2" s="1"/>
  <c r="O56" i="2" a="1"/>
  <c r="O56" i="2" s="1"/>
  <c r="O55" i="2" a="1"/>
  <c r="O55" i="2" s="1"/>
  <c r="P55" i="2" a="1"/>
  <c r="P55" i="2" s="1"/>
  <c r="P54" i="2" a="1"/>
  <c r="P54" i="2" s="1"/>
  <c r="O52" i="2" a="1"/>
  <c r="O52" i="2" s="1"/>
  <c r="O51" i="2" a="1"/>
  <c r="O51" i="2" s="1"/>
  <c r="P51" i="2" a="1"/>
  <c r="P51" i="2" s="1"/>
  <c r="O49" i="2" a="1"/>
  <c r="O49" i="2" s="1"/>
  <c r="O48" i="2" a="1"/>
  <c r="O48" i="2" s="1"/>
  <c r="O47" i="2"/>
  <c r="O47" i="2" a="1"/>
  <c r="P47" i="2" a="1"/>
  <c r="P47" i="2" s="1"/>
  <c r="O44" i="2" a="1"/>
  <c r="O44" i="2" s="1"/>
  <c r="O43" i="2" a="1"/>
  <c r="O43" i="2" s="1"/>
  <c r="P43" i="2" a="1"/>
  <c r="P43" i="2" s="1"/>
  <c r="O41" i="2" a="1"/>
  <c r="O41" i="2" s="1"/>
  <c r="O40" i="2" a="1"/>
  <c r="O40" i="2" s="1"/>
  <c r="O39" i="2" a="1"/>
  <c r="O39" i="2" s="1"/>
  <c r="P39" i="2" a="1"/>
  <c r="P39" i="2" s="1"/>
  <c r="O37" i="2" a="1"/>
  <c r="O37" i="2" s="1"/>
  <c r="O36" i="2" a="1"/>
  <c r="O36" i="2" s="1"/>
  <c r="O35" i="2" a="1"/>
  <c r="O35" i="2" s="1"/>
  <c r="P35" i="2" a="1"/>
  <c r="P35" i="2" s="1"/>
  <c r="O32" i="2" a="1"/>
  <c r="O32" i="2" s="1"/>
  <c r="O31" i="2" a="1"/>
  <c r="O31" i="2" s="1"/>
  <c r="P31" i="2" a="1"/>
  <c r="P31" i="2" s="1"/>
  <c r="O28" i="2" a="1"/>
  <c r="O28" i="2" s="1"/>
  <c r="O27" i="2" a="1"/>
  <c r="O27" i="2" s="1"/>
  <c r="P27" i="2" a="1"/>
  <c r="P27" i="2" s="1"/>
  <c r="O25" i="2" a="1"/>
  <c r="O25" i="2" s="1"/>
  <c r="O24" i="2" a="1"/>
  <c r="O24" i="2" s="1"/>
  <c r="O23" i="2" a="1"/>
  <c r="O23" i="2" s="1"/>
  <c r="P23" i="2" a="1"/>
  <c r="P23" i="2" s="1"/>
  <c r="O21" i="2" a="1"/>
  <c r="O21" i="2" s="1"/>
  <c r="O20" i="2" a="1"/>
  <c r="O20" i="2" s="1"/>
  <c r="O19" i="2" a="1"/>
  <c r="O19" i="2" s="1"/>
  <c r="P19" i="2" a="1"/>
  <c r="P19" i="2" s="1"/>
  <c r="O16" i="2" a="1"/>
  <c r="O16" i="2" s="1"/>
  <c r="O15" i="2" a="1"/>
  <c r="O15" i="2" s="1"/>
  <c r="P15" i="2" a="1"/>
  <c r="P15" i="2" s="1"/>
  <c r="O12" i="2" a="1"/>
  <c r="O12" i="2" s="1"/>
  <c r="O11" i="2" a="1"/>
  <c r="O11" i="2" s="1"/>
  <c r="P11" i="2" a="1"/>
  <c r="P11" i="2" s="1"/>
  <c r="O8" i="2" a="1"/>
  <c r="O8" i="2" s="1"/>
  <c r="O7" i="2" a="1"/>
  <c r="O7" i="2" s="1"/>
  <c r="O4" i="2" a="1"/>
  <c r="O4" i="2" s="1"/>
  <c r="O3" i="2" a="1"/>
  <c r="O3" i="2" s="1"/>
  <c r="P3" i="2" a="1"/>
  <c r="P3" i="2" s="1"/>
  <c r="Q146" i="2" l="1"/>
  <c r="Q166" i="2"/>
  <c r="Q114" i="2"/>
  <c r="Q86" i="2"/>
  <c r="Q320" i="2"/>
  <c r="Q10" i="2"/>
  <c r="Q15" i="2"/>
  <c r="Q19" i="2"/>
  <c r="Q23" i="2"/>
  <c r="Q27" i="2"/>
  <c r="Q31" i="2"/>
  <c r="Q37" i="2"/>
  <c r="Q41" i="2"/>
  <c r="Q48" i="2"/>
  <c r="Q87" i="2"/>
  <c r="Q104" i="2"/>
  <c r="Q112" i="2"/>
  <c r="Q151" i="2"/>
  <c r="Q168" i="2"/>
  <c r="Q176" i="2"/>
  <c r="Q354" i="2"/>
  <c r="Q3" i="2"/>
  <c r="Q70" i="2"/>
  <c r="Q94" i="2"/>
  <c r="Q134" i="2"/>
  <c r="Q158" i="2"/>
  <c r="Q266" i="2"/>
  <c r="Q182" i="2"/>
  <c r="Q162" i="2"/>
  <c r="Q118" i="2"/>
  <c r="Q102" i="2"/>
  <c r="Q66" i="2"/>
  <c r="Q50" i="2"/>
  <c r="Q13" i="2"/>
  <c r="Q17" i="2"/>
  <c r="Q20" i="2"/>
  <c r="Q25" i="2"/>
  <c r="Q29" i="2"/>
  <c r="Q33" i="2"/>
  <c r="Q36" i="2"/>
  <c r="Q40" i="2"/>
  <c r="Q43" i="2"/>
  <c r="Q47" i="2"/>
  <c r="Q252" i="2"/>
  <c r="Q52" i="2"/>
  <c r="Q91" i="2"/>
  <c r="Q116" i="2"/>
  <c r="Q155" i="2"/>
  <c r="Q180" i="2"/>
  <c r="Q282" i="2"/>
  <c r="Q178" i="2"/>
  <c r="Q150" i="2"/>
  <c r="Q130" i="2"/>
  <c r="Q98" i="2"/>
  <c r="Q54" i="2"/>
  <c r="Q280" i="2"/>
  <c r="Q12" i="2"/>
  <c r="Q16" i="2"/>
  <c r="Q21" i="2"/>
  <c r="Q24" i="2"/>
  <c r="Q28" i="2"/>
  <c r="Q32" i="2"/>
  <c r="Q35" i="2"/>
  <c r="Q39" i="2"/>
  <c r="Q44" i="2"/>
  <c r="Q45" i="2"/>
  <c r="Q82" i="2"/>
  <c r="Q264" i="2"/>
  <c r="Q277" i="2"/>
  <c r="Q296" i="2"/>
  <c r="Q71" i="2"/>
  <c r="Q75" i="2"/>
  <c r="Q78" i="2"/>
  <c r="Q88" i="2"/>
  <c r="Q96" i="2"/>
  <c r="Q100" i="2"/>
  <c r="Q135" i="2"/>
  <c r="Q139" i="2"/>
  <c r="Q142" i="2"/>
  <c r="Q152" i="2"/>
  <c r="Q160" i="2"/>
  <c r="Q164" i="2"/>
  <c r="Q261" i="2"/>
  <c r="Q286" i="2"/>
  <c r="Q11" i="2"/>
  <c r="Q6" i="2"/>
  <c r="Q55" i="2"/>
  <c r="Q59" i="2"/>
  <c r="Q62" i="2"/>
  <c r="Q72" i="2"/>
  <c r="Q80" i="2"/>
  <c r="Q84" i="2"/>
  <c r="Q119" i="2"/>
  <c r="Q123" i="2"/>
  <c r="Q126" i="2"/>
  <c r="Q136" i="2"/>
  <c r="Q144" i="2"/>
  <c r="Q148" i="2"/>
  <c r="Q183" i="2"/>
  <c r="Q312" i="2"/>
  <c r="Q336" i="2"/>
  <c r="Q242" i="2"/>
  <c r="Q420" i="2"/>
  <c r="Q5" i="2"/>
  <c r="Q7" i="2"/>
  <c r="Q8" i="2"/>
  <c r="Q9" i="2"/>
  <c r="Q14" i="2"/>
  <c r="Q18" i="2"/>
  <c r="Q22" i="2"/>
  <c r="Q26" i="2"/>
  <c r="Q30" i="2"/>
  <c r="Q34" i="2"/>
  <c r="Q38" i="2"/>
  <c r="Q42" i="2"/>
  <c r="Q46" i="2"/>
  <c r="Q56" i="2"/>
  <c r="Q64" i="2"/>
  <c r="Q68" i="2"/>
  <c r="Q103" i="2"/>
  <c r="Q107" i="2"/>
  <c r="Q110" i="2"/>
  <c r="Q120" i="2"/>
  <c r="Q128" i="2"/>
  <c r="Q132" i="2"/>
  <c r="Q167" i="2"/>
  <c r="Q171" i="2"/>
  <c r="Q174" i="2"/>
  <c r="Q184" i="2"/>
  <c r="Q268" i="2"/>
  <c r="Q302" i="2"/>
  <c r="Q358" i="2"/>
  <c r="Q2" i="2"/>
  <c r="Q51" i="2"/>
  <c r="Q65" i="2"/>
  <c r="Q67" i="2"/>
  <c r="Q81" i="2"/>
  <c r="Q99" i="2"/>
  <c r="Q115" i="2"/>
  <c r="Q129" i="2"/>
  <c r="Q138" i="2"/>
  <c r="Q140" i="2"/>
  <c r="Q145" i="2"/>
  <c r="Q147" i="2"/>
  <c r="Q154" i="2"/>
  <c r="Q161" i="2"/>
  <c r="Q163" i="2"/>
  <c r="Q170" i="2"/>
  <c r="Q172" i="2"/>
  <c r="Q177" i="2"/>
  <c r="Q179" i="2"/>
  <c r="Q186" i="2"/>
  <c r="Q198" i="2"/>
  <c r="Q206" i="2"/>
  <c r="Q214" i="2"/>
  <c r="Q218" i="2"/>
  <c r="Q230" i="2"/>
  <c r="Q234" i="2"/>
  <c r="Q238" i="2"/>
  <c r="Q246" i="2"/>
  <c r="Q250" i="2"/>
  <c r="Q254" i="2"/>
  <c r="Q258" i="2"/>
  <c r="Q278" i="2"/>
  <c r="Q284" i="2"/>
  <c r="Q291" i="2"/>
  <c r="Q293" i="2"/>
  <c r="Q297" i="2"/>
  <c r="Q303" i="2"/>
  <c r="Q305" i="2"/>
  <c r="Q308" i="2"/>
  <c r="Q314" i="2"/>
  <c r="Q418" i="2"/>
  <c r="Q477" i="2"/>
  <c r="Q61" i="2"/>
  <c r="Q63" i="2"/>
  <c r="Q77" i="2"/>
  <c r="Q93" i="2"/>
  <c r="Q109" i="2"/>
  <c r="Q125" i="2"/>
  <c r="Q127" i="2"/>
  <c r="Q141" i="2"/>
  <c r="Q143" i="2"/>
  <c r="Q157" i="2"/>
  <c r="Q159" i="2"/>
  <c r="Q175" i="2"/>
  <c r="Q187" i="2"/>
  <c r="Q195" i="2"/>
  <c r="Q199" i="2"/>
  <c r="Q207" i="2"/>
  <c r="Q219" i="2"/>
  <c r="Q231" i="2"/>
  <c r="Q235" i="2"/>
  <c r="Q247" i="2"/>
  <c r="Q255" i="2"/>
  <c r="Q270" i="2"/>
  <c r="Q272" i="2"/>
  <c r="Q294" i="2"/>
  <c r="Q300" i="2"/>
  <c r="Q307" i="2"/>
  <c r="Q309" i="2"/>
  <c r="Q313" i="2"/>
  <c r="Q321" i="2"/>
  <c r="Q328" i="2"/>
  <c r="Q338" i="2"/>
  <c r="Q343" i="2"/>
  <c r="Q349" i="2"/>
  <c r="Q352" i="2"/>
  <c r="Q366" i="2"/>
  <c r="Q370" i="2"/>
  <c r="Q374" i="2"/>
  <c r="Q378" i="2"/>
  <c r="Q382" i="2"/>
  <c r="Q386" i="2"/>
  <c r="Q390" i="2"/>
  <c r="Q394" i="2"/>
  <c r="Q398" i="2"/>
  <c r="Q402" i="2"/>
  <c r="Q406" i="2"/>
  <c r="Q410" i="2"/>
  <c r="Q414" i="2"/>
  <c r="Q454" i="2"/>
  <c r="Q458" i="2"/>
  <c r="Q463" i="2"/>
  <c r="Q467" i="2"/>
  <c r="Q470" i="2"/>
  <c r="Q472" i="2"/>
  <c r="Q475" i="2"/>
  <c r="Q500" i="2"/>
  <c r="Q456" i="2"/>
  <c r="Q447" i="2"/>
  <c r="Q495" i="2"/>
  <c r="Q492" i="2"/>
  <c r="Q451" i="2"/>
  <c r="Q439" i="2"/>
  <c r="Q425" i="2"/>
  <c r="Q435" i="2"/>
  <c r="Q412" i="2"/>
  <c r="Q408" i="2"/>
  <c r="Q404" i="2"/>
  <c r="Q400" i="2"/>
  <c r="Q396" i="2"/>
  <c r="Q392" i="2"/>
  <c r="Q388" i="2"/>
  <c r="Q384" i="2"/>
  <c r="Q380" i="2"/>
  <c r="Q376" i="2"/>
  <c r="Q372" i="2"/>
  <c r="Q368" i="2"/>
  <c r="Q357" i="2"/>
  <c r="Q341" i="2"/>
  <c r="Q488" i="2"/>
  <c r="Q476" i="2"/>
  <c r="Q345" i="2"/>
  <c r="Q342" i="2"/>
  <c r="Q318" i="2"/>
  <c r="Q442" i="2"/>
  <c r="Q429" i="2"/>
  <c r="Q325" i="2"/>
  <c r="Q4" i="2"/>
  <c r="Q57" i="2"/>
  <c r="Q73" i="2"/>
  <c r="Q89" i="2"/>
  <c r="Q105" i="2"/>
  <c r="Q121" i="2"/>
  <c r="Q137" i="2"/>
  <c r="Q153" i="2"/>
  <c r="Q169" i="2"/>
  <c r="Q185" i="2"/>
  <c r="Q188" i="2"/>
  <c r="Q192" i="2"/>
  <c r="Q196" i="2"/>
  <c r="Q200" i="2"/>
  <c r="Q204" i="2"/>
  <c r="Q208" i="2"/>
  <c r="Q212" i="2"/>
  <c r="Q216" i="2"/>
  <c r="Q220" i="2"/>
  <c r="Q224" i="2"/>
  <c r="Q228" i="2"/>
  <c r="Q232" i="2"/>
  <c r="Q236" i="2"/>
  <c r="Q240" i="2"/>
  <c r="Q244" i="2"/>
  <c r="Q248" i="2"/>
  <c r="Q259" i="2"/>
  <c r="Q265" i="2"/>
  <c r="Q269" i="2"/>
  <c r="Q271" i="2"/>
  <c r="Q273" i="2"/>
  <c r="Q276" i="2"/>
  <c r="Q288" i="2"/>
  <c r="Q290" i="2"/>
  <c r="Q310" i="2"/>
  <c r="Q316" i="2"/>
  <c r="Q326" i="2"/>
  <c r="Q329" i="2"/>
  <c r="Q332" i="2"/>
  <c r="Q340" i="2"/>
  <c r="Q346" i="2"/>
  <c r="Q347" i="2"/>
  <c r="Q356" i="2"/>
  <c r="Q361" i="2"/>
  <c r="Q364" i="2"/>
  <c r="Q367" i="2"/>
  <c r="Q371" i="2"/>
  <c r="Q375" i="2"/>
  <c r="Q379" i="2"/>
  <c r="Q383" i="2"/>
  <c r="Q387" i="2"/>
  <c r="Q391" i="2"/>
  <c r="Q395" i="2"/>
  <c r="Q399" i="2"/>
  <c r="Q403" i="2"/>
  <c r="Q407" i="2"/>
  <c r="Q411" i="2"/>
  <c r="Q427" i="2"/>
  <c r="Q482" i="2"/>
  <c r="Q58" i="2"/>
  <c r="Q60" i="2"/>
  <c r="Q74" i="2"/>
  <c r="Q76" i="2"/>
  <c r="Q83" i="2"/>
  <c r="Q90" i="2"/>
  <c r="Q92" i="2"/>
  <c r="Q97" i="2"/>
  <c r="Q106" i="2"/>
  <c r="Q108" i="2"/>
  <c r="Q113" i="2"/>
  <c r="Q122" i="2"/>
  <c r="Q124" i="2"/>
  <c r="Q131" i="2"/>
  <c r="Q156" i="2"/>
  <c r="Q190" i="2"/>
  <c r="Q194" i="2"/>
  <c r="Q202" i="2"/>
  <c r="Q210" i="2"/>
  <c r="Q222" i="2"/>
  <c r="Q226" i="2"/>
  <c r="Q256" i="2"/>
  <c r="Q301" i="2"/>
  <c r="Q334" i="2"/>
  <c r="Q416" i="2"/>
  <c r="Q432" i="2"/>
  <c r="Q79" i="2"/>
  <c r="Q95" i="2"/>
  <c r="Q111" i="2"/>
  <c r="Q173" i="2"/>
  <c r="Q191" i="2"/>
  <c r="Q203" i="2"/>
  <c r="Q211" i="2"/>
  <c r="Q215" i="2"/>
  <c r="Q223" i="2"/>
  <c r="Q227" i="2"/>
  <c r="Q239" i="2"/>
  <c r="Q243" i="2"/>
  <c r="Q253" i="2"/>
  <c r="Q257" i="2"/>
  <c r="Q260" i="2"/>
  <c r="Q274" i="2"/>
  <c r="Q49" i="2"/>
  <c r="Q53" i="2"/>
  <c r="Q69" i="2"/>
  <c r="Q85" i="2"/>
  <c r="Q101" i="2"/>
  <c r="Q117" i="2"/>
  <c r="Q133" i="2"/>
  <c r="Q149" i="2"/>
  <c r="Q165" i="2"/>
  <c r="Q181" i="2"/>
  <c r="Q189" i="2"/>
  <c r="Q193" i="2"/>
  <c r="Q197" i="2"/>
  <c r="Q201" i="2"/>
  <c r="Q205" i="2"/>
  <c r="Q209" i="2"/>
  <c r="Q213" i="2"/>
  <c r="Q217" i="2"/>
  <c r="Q221" i="2"/>
  <c r="Q225" i="2"/>
  <c r="Q229" i="2"/>
  <c r="Q233" i="2"/>
  <c r="Q237" i="2"/>
  <c r="Q241" i="2"/>
  <c r="Q245" i="2"/>
  <c r="Q249" i="2"/>
  <c r="Q262" i="2"/>
  <c r="Q275" i="2"/>
  <c r="Q281" i="2"/>
  <c r="Q285" i="2"/>
  <c r="Q287" i="2"/>
  <c r="Q289" i="2"/>
  <c r="Q292" i="2"/>
  <c r="Q298" i="2"/>
  <c r="Q304" i="2"/>
  <c r="Q306" i="2"/>
  <c r="Q317" i="2"/>
  <c r="Q322" i="2"/>
  <c r="Q323" i="2"/>
  <c r="Q324" i="2"/>
  <c r="Q327" i="2"/>
  <c r="Q333" i="2"/>
  <c r="Q337" i="2"/>
  <c r="Q344" i="2"/>
  <c r="Q422" i="2"/>
  <c r="Q449" i="2"/>
  <c r="Q479" i="2"/>
  <c r="Q251" i="2"/>
  <c r="Q267" i="2"/>
  <c r="Q283" i="2"/>
  <c r="Q299" i="2"/>
  <c r="Q315" i="2"/>
  <c r="Q330" i="2"/>
  <c r="Q353" i="2"/>
  <c r="Q359" i="2"/>
  <c r="Q360" i="2"/>
  <c r="Q362" i="2"/>
  <c r="Q363" i="2"/>
  <c r="Q433" i="2"/>
  <c r="Q496" i="2"/>
  <c r="Q263" i="2"/>
  <c r="Q279" i="2"/>
  <c r="Q295" i="2"/>
  <c r="Q311" i="2"/>
  <c r="Q331" i="2"/>
  <c r="Q348" i="2"/>
  <c r="Q350" i="2"/>
  <c r="Q365" i="2"/>
  <c r="Q369" i="2"/>
  <c r="Q373" i="2"/>
  <c r="Q377" i="2"/>
  <c r="Q381" i="2"/>
  <c r="Q385" i="2"/>
  <c r="Q389" i="2"/>
  <c r="Q393" i="2"/>
  <c r="Q397" i="2"/>
  <c r="Q401" i="2"/>
  <c r="Q405" i="2"/>
  <c r="Q409" i="2"/>
  <c r="Q413" i="2"/>
  <c r="Q430" i="2"/>
  <c r="Q440" i="2"/>
  <c r="Q452" i="2"/>
  <c r="Q459" i="2"/>
  <c r="Q460" i="2"/>
  <c r="Q466" i="2"/>
  <c r="Q474" i="2"/>
  <c r="Q478" i="2"/>
  <c r="Q480" i="2"/>
  <c r="Q483" i="2"/>
  <c r="Q486" i="2"/>
  <c r="Q339" i="2"/>
  <c r="Q355" i="2"/>
  <c r="Q424" i="2"/>
  <c r="Q426" i="2"/>
  <c r="Q434" i="2"/>
  <c r="Q438" i="2"/>
  <c r="Q461" i="2"/>
  <c r="Q465" i="2"/>
  <c r="Q494" i="2"/>
  <c r="Q319" i="2"/>
  <c r="Q335" i="2"/>
  <c r="Q351" i="2"/>
  <c r="Q417" i="2"/>
  <c r="Q421" i="2"/>
  <c r="Q423" i="2"/>
  <c r="Q428" i="2"/>
  <c r="Q444" i="2"/>
  <c r="Q455" i="2"/>
  <c r="Q471" i="2"/>
  <c r="Q490" i="2"/>
  <c r="Q499" i="2"/>
  <c r="Q419" i="2"/>
  <c r="Q436" i="2"/>
  <c r="Q446" i="2"/>
  <c r="Q448" i="2"/>
  <c r="Q468" i="2"/>
  <c r="Q481" i="2"/>
  <c r="Q487" i="2"/>
  <c r="Q491" i="2"/>
  <c r="Q493" i="2"/>
  <c r="Q498" i="2"/>
  <c r="Q415" i="2"/>
  <c r="Q431" i="2"/>
  <c r="Q437" i="2"/>
  <c r="Q443" i="2"/>
  <c r="Q445" i="2"/>
  <c r="Q450" i="2"/>
  <c r="Q462" i="2"/>
  <c r="Q464" i="2"/>
  <c r="Q484" i="2"/>
  <c r="Q497" i="2"/>
  <c r="Q441" i="2"/>
  <c r="Q457" i="2"/>
  <c r="Q473" i="2"/>
  <c r="Q489" i="2"/>
  <c r="Q453" i="2"/>
  <c r="Q469" i="2"/>
  <c r="Q485" i="2"/>
  <c r="Q5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8B0A02-E79A-466B-9EAA-5B9DCBE45E2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6DE58C1-F298-4802-BE31-BB1647BC3680}" name="WorksheetConnection_Main_Data!$A$1:$L$5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Main_DataA1L5011"/>
        </x15:connection>
      </ext>
    </extLst>
  </connection>
  <connection id="3" xr16:uid="{CA89F0F8-C25B-4170-81BB-7FCD5FDEF8D0}" name="WorksheetConnection_Pivot Chart!$A$1:$B$8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PivotChartA1B8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<sst xmlns="http://schemas.openxmlformats.org/spreadsheetml/2006/main" count="6157" uniqueCount="55">
  <si>
    <t>Country</t>
  </si>
  <si>
    <t>Region</t>
  </si>
  <si>
    <t>Year</t>
  </si>
  <si>
    <t>GDP_per_Capita</t>
  </si>
  <si>
    <t>Health_Exp_%</t>
  </si>
  <si>
    <t>Life_Expectancy</t>
  </si>
  <si>
    <t>Population</t>
  </si>
  <si>
    <t>Healthcare_Index</t>
  </si>
  <si>
    <t>Unemployment_Rate</t>
  </si>
  <si>
    <t>Literacy_Rate</t>
  </si>
  <si>
    <t>Covid_Impact</t>
  </si>
  <si>
    <t>Continent</t>
  </si>
  <si>
    <t>India</t>
  </si>
  <si>
    <t>South Asia</t>
  </si>
  <si>
    <t>Asia</t>
  </si>
  <si>
    <t>USA</t>
  </si>
  <si>
    <t>North America</t>
  </si>
  <si>
    <t>Germany</t>
  </si>
  <si>
    <t>Europe</t>
  </si>
  <si>
    <t>Brazil</t>
  </si>
  <si>
    <t>South America</t>
  </si>
  <si>
    <t>China</t>
  </si>
  <si>
    <t>East Asia</t>
  </si>
  <si>
    <t>UK</t>
  </si>
  <si>
    <t>Canada</t>
  </si>
  <si>
    <t>Australia</t>
  </si>
  <si>
    <t>Oceania</t>
  </si>
  <si>
    <t>Japan</t>
  </si>
  <si>
    <t>South Africa</t>
  </si>
  <si>
    <t>Africa</t>
  </si>
  <si>
    <t>Clean_Country</t>
  </si>
  <si>
    <t>Clean_Region</t>
  </si>
  <si>
    <t>Health_Category</t>
  </si>
  <si>
    <t>Economic_Category</t>
  </si>
  <si>
    <t>Quality</t>
  </si>
  <si>
    <t>Country_List</t>
  </si>
  <si>
    <t>Region_List</t>
  </si>
  <si>
    <t>Year_List</t>
  </si>
  <si>
    <t>Continent_List</t>
  </si>
  <si>
    <t>Fetched_Continent</t>
  </si>
  <si>
    <t>Avg_GDP</t>
  </si>
  <si>
    <t>Avg_Life</t>
  </si>
  <si>
    <t>Avg_HealthExp</t>
  </si>
  <si>
    <t>Row Labels</t>
  </si>
  <si>
    <t>Total Covid Impact</t>
  </si>
  <si>
    <t>Sum of GDP_per_Capita</t>
  </si>
  <si>
    <t>GDP</t>
  </si>
  <si>
    <t>Life Expectancy</t>
  </si>
  <si>
    <t>Health Exp</t>
  </si>
  <si>
    <t>GLOBAL HEALTH &amp; ECONOMIC ANALYTICS DASHBOARD</t>
  </si>
  <si>
    <t>Avg GDP</t>
  </si>
  <si>
    <t>Avg Life Expectancy</t>
  </si>
  <si>
    <t>Total Population</t>
  </si>
  <si>
    <t>Max GDP</t>
  </si>
  <si>
    <t>Average_GDP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</si>
</sst>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name val="Calibri"/>
      <family val="2"/>
    </font>
    <font>
      <b/>
      <sz val="20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2" xfId="0" pivotButton="1" applyBorder="1"/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5" xfId="0" applyNumberFormat="1" applyBorder="1"/>
    <xf numFmtId="0" fontId="0" fillId="0" borderId="4" xfId="0" applyBorder="1" applyAlignment="1">
      <alignment horizontal="left" indent="1"/>
    </xf>
    <xf numFmtId="0" fontId="0" fillId="0" borderId="6" xfId="0" applyBorder="1" applyAlignment="1">
      <alignment horizontal="left" indent="1"/>
    </xf>
    <xf numFmtId="0" fontId="0" fillId="0" borderId="7" xfId="0" applyNumberFormat="1" applyBorder="1"/>
    <xf numFmtId="0" fontId="0" fillId="0" borderId="2" xfId="0" pivotButton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50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u="sng"/>
              <a:t>Average GDP by Region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135735351597201"/>
          <c:y val="0.1701415071105388"/>
          <c:w val="0.81713889777209248"/>
          <c:h val="0.6031999887413537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'Pivot Chart'!$B$1</c:f>
              <c:strCache>
                <c:ptCount val="1"/>
                <c:pt idx="0">
                  <c:v>Avg_GDP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7DC-4B65-AA02-FC362D2DED71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7DC-4B65-AA02-FC362D2DED71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37DC-4B65-AA02-FC362D2DED71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37DC-4B65-AA02-FC362D2DED71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7DC-4B65-AA02-FC362D2DED71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37DC-4B65-AA02-FC362D2DED71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7DC-4B65-AA02-FC362D2DED71}"/>
              </c:ext>
            </c:extLst>
          </c:dPt>
          <c:dLbls>
            <c:dLbl>
              <c:idx val="0"/>
              <c:layout>
                <c:manualLayout>
                  <c:x val="-2.256333724194314E-3"/>
                  <c:y val="1.072386058981233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7DC-4B65-AA02-FC362D2DED71}"/>
                </c:ext>
              </c:extLst>
            </c:dLbl>
            <c:dLbl>
              <c:idx val="1"/>
              <c:layout>
                <c:manualLayout>
                  <c:x val="0"/>
                  <c:y val="1.429848078641637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7DC-4B65-AA02-FC362D2DED71}"/>
                </c:ext>
              </c:extLst>
            </c:dLbl>
            <c:dLbl>
              <c:idx val="2"/>
              <c:layout>
                <c:manualLayout>
                  <c:x val="-8.2731280834974824E-17"/>
                  <c:y val="1.0723860589812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DC-4B65-AA02-FC362D2DED71}"/>
                </c:ext>
              </c:extLst>
            </c:dLbl>
            <c:dLbl>
              <c:idx val="3"/>
              <c:layout>
                <c:manualLayout>
                  <c:x val="0"/>
                  <c:y val="7.149240393208221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7DC-4B65-AA02-FC362D2DED71}"/>
                </c:ext>
              </c:extLst>
            </c:dLbl>
            <c:dLbl>
              <c:idx val="4"/>
              <c:layout>
                <c:manualLayout>
                  <c:x val="2.2563337241942108E-3"/>
                  <c:y val="1.0723860589812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7DC-4B65-AA02-FC362D2DED71}"/>
                </c:ext>
              </c:extLst>
            </c:dLbl>
            <c:dLbl>
              <c:idx val="5"/>
              <c:layout>
                <c:manualLayout>
                  <c:x val="8.2731280834974824E-17"/>
                  <c:y val="1.429848078641637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7DC-4B65-AA02-FC362D2DED71}"/>
                </c:ext>
              </c:extLst>
            </c:dLbl>
            <c:dLbl>
              <c:idx val="6"/>
              <c:layout>
                <c:manualLayout>
                  <c:x val="0"/>
                  <c:y val="1.429848078641644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7DC-4B65-AA02-FC362D2DED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Chart'!$A$2:$A$8</c:f>
              <c:strCache>
                <c:ptCount val="7"/>
                <c:pt idx="0">
                  <c:v>East Asia</c:v>
                </c:pt>
                <c:pt idx="1">
                  <c:v>South Asia</c:v>
                </c:pt>
                <c:pt idx="2">
                  <c:v>Europe</c:v>
                </c:pt>
                <c:pt idx="3">
                  <c:v>Africa</c:v>
                </c:pt>
                <c:pt idx="4">
                  <c:v>North America</c:v>
                </c:pt>
                <c:pt idx="5">
                  <c:v>South America</c:v>
                </c:pt>
                <c:pt idx="6">
                  <c:v>Oceania</c:v>
                </c:pt>
              </c:strCache>
            </c:strRef>
          </c:cat>
          <c:val>
            <c:numRef>
              <c:f>'Pivot Chart'!$B$2:$B$8</c:f>
              <c:numCache>
                <c:formatCode>General</c:formatCode>
                <c:ptCount val="7"/>
                <c:pt idx="0">
                  <c:v>36483.089999999997</c:v>
                </c:pt>
                <c:pt idx="1">
                  <c:v>35770.980000000003</c:v>
                </c:pt>
                <c:pt idx="2">
                  <c:v>38347.440000000002</c:v>
                </c:pt>
                <c:pt idx="3">
                  <c:v>35281.68</c:v>
                </c:pt>
                <c:pt idx="4">
                  <c:v>37229.07</c:v>
                </c:pt>
                <c:pt idx="5">
                  <c:v>34413.360000000001</c:v>
                </c:pt>
                <c:pt idx="6">
                  <c:v>34481.5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DC-4B65-AA02-FC362D2DED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sng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u="sng"/>
                  <a:t>Region</a:t>
                </a:r>
              </a:p>
            </c:rich>
          </c:tx>
          <c:layout>
            <c:manualLayout>
              <c:xMode val="edge"/>
              <c:yMode val="edge"/>
              <c:x val="0.352756635753118"/>
              <c:y val="0.8464925798484305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sng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sng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u="sng"/>
                  <a:t>GDP</a:t>
                </a:r>
              </a:p>
            </c:rich>
          </c:tx>
          <c:layout>
            <c:manualLayout>
              <c:xMode val="edge"/>
              <c:yMode val="edge"/>
              <c:x val="1.8084425967380878E-2"/>
              <c:y val="0.43206321729891001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sng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7648148148148155E-2"/>
          <c:y val="0.92290613807322341"/>
          <c:w val="0.87862114913122269"/>
          <c:h val="6.03221380169301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GDP by Region</a:t>
            </a:r>
          </a:p>
        </c:rich>
      </c:tx>
      <c:layout>
        <c:manualLayout>
          <c:xMode val="edge"/>
          <c:yMode val="edge"/>
          <c:x val="0.36377481481481472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2.587037037037037E-2"/>
          <c:y val="0.10274809831596535"/>
          <c:w val="0.75396148148148145"/>
          <c:h val="0.8615134327045685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Clean_Data!$D$1</c:f>
              <c:strCache>
                <c:ptCount val="1"/>
                <c:pt idx="0">
                  <c:v>GDP_per_Capita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Clean_Data!$B$2:$B$20</c:f>
              <c:strCache>
                <c:ptCount val="19"/>
                <c:pt idx="0">
                  <c:v>South Asia</c:v>
                </c:pt>
                <c:pt idx="1">
                  <c:v>North America</c:v>
                </c:pt>
                <c:pt idx="2">
                  <c:v>Europe</c:v>
                </c:pt>
                <c:pt idx="3">
                  <c:v>South America</c:v>
                </c:pt>
                <c:pt idx="4">
                  <c:v>East Asia</c:v>
                </c:pt>
                <c:pt idx="5">
                  <c:v>Europe</c:v>
                </c:pt>
                <c:pt idx="6">
                  <c:v>North America</c:v>
                </c:pt>
                <c:pt idx="7">
                  <c:v>Oceania</c:v>
                </c:pt>
                <c:pt idx="8">
                  <c:v>East Asia</c:v>
                </c:pt>
                <c:pt idx="9">
                  <c:v>Africa</c:v>
                </c:pt>
                <c:pt idx="10">
                  <c:v>South Asia</c:v>
                </c:pt>
                <c:pt idx="11">
                  <c:v>North America</c:v>
                </c:pt>
                <c:pt idx="12">
                  <c:v>Europe</c:v>
                </c:pt>
                <c:pt idx="13">
                  <c:v>South America</c:v>
                </c:pt>
                <c:pt idx="14">
                  <c:v>East Asia</c:v>
                </c:pt>
                <c:pt idx="15">
                  <c:v>Europe</c:v>
                </c:pt>
                <c:pt idx="16">
                  <c:v>North America</c:v>
                </c:pt>
                <c:pt idx="17">
                  <c:v>Oceania</c:v>
                </c:pt>
                <c:pt idx="18">
                  <c:v>East Asia</c:v>
                </c:pt>
              </c:strCache>
            </c:strRef>
          </c:cat>
          <c:val>
            <c:numRef>
              <c:f>Clean_Data!$D$2:$D$20</c:f>
              <c:numCache>
                <c:formatCode>General</c:formatCode>
                <c:ptCount val="19"/>
                <c:pt idx="0">
                  <c:v>28697</c:v>
                </c:pt>
                <c:pt idx="1">
                  <c:v>9328</c:v>
                </c:pt>
                <c:pt idx="2">
                  <c:v>32915</c:v>
                </c:pt>
                <c:pt idx="3">
                  <c:v>48330</c:v>
                </c:pt>
                <c:pt idx="4">
                  <c:v>46701</c:v>
                </c:pt>
                <c:pt idx="5">
                  <c:v>53760</c:v>
                </c:pt>
                <c:pt idx="6">
                  <c:v>49493</c:v>
                </c:pt>
                <c:pt idx="7">
                  <c:v>33504</c:v>
                </c:pt>
                <c:pt idx="8">
                  <c:v>54027</c:v>
                </c:pt>
                <c:pt idx="9">
                  <c:v>49580</c:v>
                </c:pt>
                <c:pt idx="10">
                  <c:v>12017</c:v>
                </c:pt>
                <c:pt idx="11">
                  <c:v>32580</c:v>
                </c:pt>
                <c:pt idx="12">
                  <c:v>65224</c:v>
                </c:pt>
                <c:pt idx="13">
                  <c:v>5969</c:v>
                </c:pt>
                <c:pt idx="14">
                  <c:v>10110</c:v>
                </c:pt>
                <c:pt idx="15">
                  <c:v>57088</c:v>
                </c:pt>
                <c:pt idx="16">
                  <c:v>51446</c:v>
                </c:pt>
                <c:pt idx="17">
                  <c:v>61238</c:v>
                </c:pt>
                <c:pt idx="18">
                  <c:v>16498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B-400C-BBF3-6EF7BAFA6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570222222222221"/>
          <c:y val="5.5699248120300755E-2"/>
          <c:w val="0.18018666666666666"/>
          <c:h val="0.8886015037593985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Life Expectancy</a:t>
            </a:r>
          </a:p>
        </c:rich>
      </c:tx>
      <c:layout>
        <c:manualLayout>
          <c:xMode val="edge"/>
          <c:yMode val="edge"/>
          <c:x val="0.36535055555555562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2.587037037037037E-2"/>
          <c:y val="9.8434004474272932E-2"/>
          <c:w val="0.75396148148148145"/>
          <c:h val="0.852348993288590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Clean_Data!$F$1</c:f>
              <c:strCache>
                <c:ptCount val="1"/>
                <c:pt idx="0">
                  <c:v>Life_Expectancy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Clean_Data!$B$2:$B$20</c:f>
              <c:strCache>
                <c:ptCount val="19"/>
                <c:pt idx="0">
                  <c:v>South Asia</c:v>
                </c:pt>
                <c:pt idx="1">
                  <c:v>North America</c:v>
                </c:pt>
                <c:pt idx="2">
                  <c:v>Europe</c:v>
                </c:pt>
                <c:pt idx="3">
                  <c:v>South America</c:v>
                </c:pt>
                <c:pt idx="4">
                  <c:v>East Asia</c:v>
                </c:pt>
                <c:pt idx="5">
                  <c:v>Europe</c:v>
                </c:pt>
                <c:pt idx="6">
                  <c:v>North America</c:v>
                </c:pt>
                <c:pt idx="7">
                  <c:v>Oceania</c:v>
                </c:pt>
                <c:pt idx="8">
                  <c:v>East Asia</c:v>
                </c:pt>
                <c:pt idx="9">
                  <c:v>Africa</c:v>
                </c:pt>
                <c:pt idx="10">
                  <c:v>South Asia</c:v>
                </c:pt>
                <c:pt idx="11">
                  <c:v>North America</c:v>
                </c:pt>
                <c:pt idx="12">
                  <c:v>Europe</c:v>
                </c:pt>
                <c:pt idx="13">
                  <c:v>South America</c:v>
                </c:pt>
                <c:pt idx="14">
                  <c:v>East Asia</c:v>
                </c:pt>
                <c:pt idx="15">
                  <c:v>Europe</c:v>
                </c:pt>
                <c:pt idx="16">
                  <c:v>North America</c:v>
                </c:pt>
                <c:pt idx="17">
                  <c:v>Oceania</c:v>
                </c:pt>
                <c:pt idx="18">
                  <c:v>East Asia</c:v>
                </c:pt>
              </c:strCache>
            </c:strRef>
          </c:cat>
          <c:val>
            <c:numRef>
              <c:f>Clean_Data!$F$2:$F$20</c:f>
              <c:numCache>
                <c:formatCode>General</c:formatCode>
                <c:ptCount val="19"/>
                <c:pt idx="0">
                  <c:v>68</c:v>
                </c:pt>
                <c:pt idx="1">
                  <c:v>61</c:v>
                </c:pt>
                <c:pt idx="2">
                  <c:v>81</c:v>
                </c:pt>
                <c:pt idx="3">
                  <c:v>73</c:v>
                </c:pt>
                <c:pt idx="4">
                  <c:v>84</c:v>
                </c:pt>
                <c:pt idx="5">
                  <c:v>65</c:v>
                </c:pt>
                <c:pt idx="6">
                  <c:v>76</c:v>
                </c:pt>
                <c:pt idx="7">
                  <c:v>71</c:v>
                </c:pt>
                <c:pt idx="8">
                  <c:v>78</c:v>
                </c:pt>
                <c:pt idx="9">
                  <c:v>65</c:v>
                </c:pt>
                <c:pt idx="10">
                  <c:v>82</c:v>
                </c:pt>
                <c:pt idx="11">
                  <c:v>64</c:v>
                </c:pt>
                <c:pt idx="12">
                  <c:v>66</c:v>
                </c:pt>
                <c:pt idx="13">
                  <c:v>66</c:v>
                </c:pt>
                <c:pt idx="14">
                  <c:v>78</c:v>
                </c:pt>
                <c:pt idx="15">
                  <c:v>84</c:v>
                </c:pt>
                <c:pt idx="16">
                  <c:v>66</c:v>
                </c:pt>
                <c:pt idx="17">
                  <c:v>67</c:v>
                </c:pt>
                <c:pt idx="18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D1-418C-A3B0-443F8E21D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GDP Trend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587037037037037E-2"/>
          <c:y val="0.13170370370370371"/>
          <c:w val="0.83974481481481478"/>
          <c:h val="0.81655555555555559"/>
        </c:manualLayout>
      </c:layout>
      <c:lineChart>
        <c:grouping val="standard"/>
        <c:varyColors val="1"/>
        <c:ser>
          <c:idx val="0"/>
          <c:order val="0"/>
          <c:tx>
            <c:strRef>
              <c:f>Clean_Data!$D$1</c:f>
              <c:strCache>
                <c:ptCount val="1"/>
                <c:pt idx="0">
                  <c:v>GDP_per_Capita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Clean_Data!$D$2:$D$20</c:f>
              <c:numCache>
                <c:formatCode>General</c:formatCode>
                <c:ptCount val="19"/>
                <c:pt idx="0">
                  <c:v>28697</c:v>
                </c:pt>
                <c:pt idx="1">
                  <c:v>9328</c:v>
                </c:pt>
                <c:pt idx="2">
                  <c:v>32915</c:v>
                </c:pt>
                <c:pt idx="3">
                  <c:v>48330</c:v>
                </c:pt>
                <c:pt idx="4">
                  <c:v>46701</c:v>
                </c:pt>
                <c:pt idx="5">
                  <c:v>53760</c:v>
                </c:pt>
                <c:pt idx="6">
                  <c:v>49493</c:v>
                </c:pt>
                <c:pt idx="7">
                  <c:v>33504</c:v>
                </c:pt>
                <c:pt idx="8">
                  <c:v>54027</c:v>
                </c:pt>
                <c:pt idx="9">
                  <c:v>49580</c:v>
                </c:pt>
                <c:pt idx="10">
                  <c:v>12017</c:v>
                </c:pt>
                <c:pt idx="11">
                  <c:v>32580</c:v>
                </c:pt>
                <c:pt idx="12">
                  <c:v>65224</c:v>
                </c:pt>
                <c:pt idx="13">
                  <c:v>5969</c:v>
                </c:pt>
                <c:pt idx="14">
                  <c:v>10110</c:v>
                </c:pt>
                <c:pt idx="15">
                  <c:v>57088</c:v>
                </c:pt>
                <c:pt idx="16">
                  <c:v>51446</c:v>
                </c:pt>
                <c:pt idx="17">
                  <c:v>61238</c:v>
                </c:pt>
                <c:pt idx="18">
                  <c:v>16498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80B-4873-8636-D39B64069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GDP vs Life Expectancy</a:t>
            </a:r>
          </a:p>
        </c:rich>
      </c:tx>
      <c:layout>
        <c:manualLayout>
          <c:xMode val="edge"/>
          <c:yMode val="edge"/>
          <c:x val="0.26113999999999998"/>
          <c:y val="3.2925925925925928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2.587037037037037E-2"/>
          <c:y val="0.15992592592592592"/>
          <c:w val="0.80397314814814813"/>
          <c:h val="0.78833333333333333"/>
        </c:manualLayout>
      </c:layout>
      <c:scatterChart>
        <c:scatterStyle val="lineMarker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xVal>
            <c:numRef>
              <c:f>Clean_Data!$D$2:$D$20</c:f>
              <c:numCache>
                <c:formatCode>General</c:formatCode>
                <c:ptCount val="19"/>
                <c:pt idx="0">
                  <c:v>28697</c:v>
                </c:pt>
                <c:pt idx="1">
                  <c:v>9328</c:v>
                </c:pt>
                <c:pt idx="2">
                  <c:v>32915</c:v>
                </c:pt>
                <c:pt idx="3">
                  <c:v>48330</c:v>
                </c:pt>
                <c:pt idx="4">
                  <c:v>46701</c:v>
                </c:pt>
                <c:pt idx="5">
                  <c:v>53760</c:v>
                </c:pt>
                <c:pt idx="6">
                  <c:v>49493</c:v>
                </c:pt>
                <c:pt idx="7">
                  <c:v>33504</c:v>
                </c:pt>
                <c:pt idx="8">
                  <c:v>54027</c:v>
                </c:pt>
                <c:pt idx="9">
                  <c:v>49580</c:v>
                </c:pt>
                <c:pt idx="10">
                  <c:v>12017</c:v>
                </c:pt>
                <c:pt idx="11">
                  <c:v>32580</c:v>
                </c:pt>
                <c:pt idx="12">
                  <c:v>65224</c:v>
                </c:pt>
                <c:pt idx="13">
                  <c:v>5969</c:v>
                </c:pt>
                <c:pt idx="14">
                  <c:v>10110</c:v>
                </c:pt>
                <c:pt idx="15">
                  <c:v>57088</c:v>
                </c:pt>
                <c:pt idx="16">
                  <c:v>51446</c:v>
                </c:pt>
                <c:pt idx="17">
                  <c:v>61238</c:v>
                </c:pt>
                <c:pt idx="18">
                  <c:v>16498</c:v>
                </c:pt>
              </c:numCache>
            </c:numRef>
          </c:xVal>
          <c:yVal>
            <c:numRef>
              <c:f>Clean_Data!$F$2:$F$20</c:f>
              <c:numCache>
                <c:formatCode>General</c:formatCode>
                <c:ptCount val="19"/>
                <c:pt idx="0">
                  <c:v>68</c:v>
                </c:pt>
                <c:pt idx="1">
                  <c:v>61</c:v>
                </c:pt>
                <c:pt idx="2">
                  <c:v>81</c:v>
                </c:pt>
                <c:pt idx="3">
                  <c:v>73</c:v>
                </c:pt>
                <c:pt idx="4">
                  <c:v>84</c:v>
                </c:pt>
                <c:pt idx="5">
                  <c:v>65</c:v>
                </c:pt>
                <c:pt idx="6">
                  <c:v>76</c:v>
                </c:pt>
                <c:pt idx="7">
                  <c:v>71</c:v>
                </c:pt>
                <c:pt idx="8">
                  <c:v>78</c:v>
                </c:pt>
                <c:pt idx="9">
                  <c:v>65</c:v>
                </c:pt>
                <c:pt idx="10">
                  <c:v>82</c:v>
                </c:pt>
                <c:pt idx="11">
                  <c:v>64</c:v>
                </c:pt>
                <c:pt idx="12">
                  <c:v>66</c:v>
                </c:pt>
                <c:pt idx="13">
                  <c:v>66</c:v>
                </c:pt>
                <c:pt idx="14">
                  <c:v>78</c:v>
                </c:pt>
                <c:pt idx="15">
                  <c:v>84</c:v>
                </c:pt>
                <c:pt idx="16">
                  <c:v>66</c:v>
                </c:pt>
                <c:pt idx="17">
                  <c:v>67</c:v>
                </c:pt>
                <c:pt idx="18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36-4DCA-B06D-AD7752D4D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u="sng"/>
            </a:pPr>
            <a:r>
              <a:rPr lang="en-IN" u="sng"/>
              <a:t>Population Distribution by Region</a:t>
            </a:r>
          </a:p>
        </c:rich>
      </c:tx>
      <c:layout>
        <c:manualLayout>
          <c:xMode val="edge"/>
          <c:yMode val="edge"/>
          <c:x val="0.20383227377055618"/>
          <c:y val="4.737023273757317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1816646909723045"/>
          <c:y val="0.16241222652882231"/>
          <c:w val="0.48742462155420357"/>
          <c:h val="0.800368304891656"/>
        </c:manualLayout>
      </c:layout>
      <c:pieChart>
        <c:varyColors val="1"/>
        <c:ser>
          <c:idx val="1"/>
          <c:order val="0"/>
          <c:tx>
            <c:strRef>
              <c:f>Analysis!$B$8</c:f>
              <c:strCache>
                <c:ptCount val="1"/>
                <c:pt idx="0">
                  <c:v>Average_GDP</c:v>
                </c:pt>
              </c:strCache>
            </c:strRef>
          </c:tx>
          <c:cat>
            <c:strRef>
              <c:f>Analysis!$A$9:$A$14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Ref>
              <c:f>Analysis!$B$9:$B$14</c:f>
              <c:numCache>
                <c:formatCode>General</c:formatCode>
                <c:ptCount val="6"/>
                <c:pt idx="0">
                  <c:v>35281.68</c:v>
                </c:pt>
                <c:pt idx="1">
                  <c:v>36245.72</c:v>
                </c:pt>
                <c:pt idx="2">
                  <c:v>38347.440000000002</c:v>
                </c:pt>
                <c:pt idx="3">
                  <c:v>37229.07</c:v>
                </c:pt>
                <c:pt idx="4">
                  <c:v>34481.5</c:v>
                </c:pt>
                <c:pt idx="5">
                  <c:v>34413.360000000001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04-4EF2-AF69-3538DDADCF59}"/>
            </c:ext>
          </c:extLst>
        </c:ser>
        <c:ser>
          <c:idx val="0"/>
          <c:order val="1"/>
          <c:cat>
            <c:strRef>
              <c:f>Analysis!$A$9:$A$14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Oceania</c:v>
                </c:pt>
                <c:pt idx="5">
                  <c:v>South America</c:v>
                </c:pt>
              </c:strCache>
            </c: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3-2704-4EF2-AF69-3538DDADC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9159111111111113"/>
          <c:y val="0.24482999999999999"/>
          <c:w val="0.19429777777777779"/>
          <c:h val="0.58559925925925926"/>
        </c:manualLayout>
      </c:layout>
      <c:overlay val="1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361950</xdr:colOff>
      <xdr:row>0</xdr:row>
      <xdr:rowOff>180975</xdr:rowOff>
    </xdr:from>
    <xdr:ext cx="5628600" cy="35528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9106AA-9345-4C2A-A3EE-E21AFF690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6</xdr:row>
      <xdr:rowOff>9525</xdr:rowOff>
    </xdr:from>
    <xdr:ext cx="5400000" cy="28428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CCE32D-91DE-46EF-9BA5-F701758520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552450</xdr:colOff>
      <xdr:row>6</xdr:row>
      <xdr:rowOff>0</xdr:rowOff>
    </xdr:from>
    <xdr:ext cx="5400000" cy="28384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426B97-ACF6-4E40-8717-1E9C4CF3A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104775</xdr:colOff>
      <xdr:row>22</xdr:row>
      <xdr:rowOff>9525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FA4ECA-386B-4940-BD98-5DF3C6BBC6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523875</xdr:colOff>
      <xdr:row>21</xdr:row>
      <xdr:rowOff>180975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F625EB-ABB3-4D3A-9914-2828DE41EA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37</xdr:row>
      <xdr:rowOff>123824</xdr:rowOff>
    </xdr:from>
    <xdr:ext cx="6163234" cy="3753412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F095B58-7C89-45B1-94E8-5612A44A61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it\AppData\Local\Packages\5319275A.WhatsAppDesktop_cv1g1gvanyjgm\LocalState\sessions\15C056CB6524E45283BC475067013B1364C61898\transfers\2026-12\Pivot_Chart_Global_Health.xlsx" TargetMode="External"/><Relationship Id="rId1" Type="http://schemas.openxmlformats.org/officeDocument/2006/relationships/externalLinkPath" Target="/Users/jit/AppData/Local/Packages/5319275A.WhatsAppDesktop_cv1g1gvanyjgm/LocalState/sessions/15C056CB6524E45283BC475067013B1364C61898/transfers/2026-12/Pivot_Chart_Global_Health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it\AppData\Local\Packages\5319275A.WhatsAppDesktop_cv1g1gvanyjgm\LocalState\sessions\15C056CB6524E45283BC475067013B1364C61898\transfers\2026-12\Next_Level_Dashboard.xlsx" TargetMode="External"/><Relationship Id="rId1" Type="http://schemas.openxmlformats.org/officeDocument/2006/relationships/externalLinkPath" Target="/Users/jit/AppData/Local/Packages/5319275A.WhatsAppDesktop_cv1g1gvanyjgm/LocalState/sessions/15C056CB6524E45283BC475067013B1364C61898/transfers/2026-12/Next_Level_Dashboar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it\AppData\Local\Packages\5319275A.WhatsAppDesktop_cv1g1gvanyjgm\LocalState\sessions\15C056CB6524E45283BC475067013B1364C61898\transfers\2026-12\official_excel_data_analytics_project.xlsx" TargetMode="External"/><Relationship Id="rId1" Type="http://schemas.openxmlformats.org/officeDocument/2006/relationships/externalLinkPath" Target="/Users/jit/AppData/Local/Packages/5319275A.WhatsAppDesktop_cv1g1gvanyjgm/LocalState/sessions/15C056CB6524E45283BC475067013B1364C61898/transfers/2026-12/official_excel_data_analytics_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_Data"/>
      <sheetName val="Pivot_Chart"/>
    </sheetNames>
    <sheetDataSet>
      <sheetData sheetId="0"/>
      <sheetData sheetId="1">
        <row r="1">
          <cell r="B1" t="str">
            <v>Avg_GDP</v>
          </cell>
        </row>
        <row r="2">
          <cell r="A2" t="str">
            <v>South America</v>
          </cell>
          <cell r="B2">
            <v>38669.9</v>
          </cell>
        </row>
        <row r="3">
          <cell r="A3" t="str">
            <v>East Asia</v>
          </cell>
          <cell r="B3">
            <v>40369.29</v>
          </cell>
        </row>
        <row r="4">
          <cell r="A4" t="str">
            <v>Europe</v>
          </cell>
          <cell r="B4">
            <v>34695.01</v>
          </cell>
        </row>
        <row r="5">
          <cell r="A5" t="str">
            <v>South Asia</v>
          </cell>
          <cell r="B5">
            <v>37758.720000000001</v>
          </cell>
        </row>
        <row r="6">
          <cell r="A6" t="str">
            <v>North America</v>
          </cell>
          <cell r="B6">
            <v>38589.22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_Data"/>
      <sheetName val="Clean_Data"/>
      <sheetName val="Validation"/>
      <sheetName val="VLookup_Tables"/>
      <sheetName val="HLookup_Tables"/>
      <sheetName val="Shorting"/>
      <sheetName val="Filtering"/>
      <sheetName val="Conditional Formating"/>
      <sheetName val="Analysis"/>
      <sheetName val="Pivot_Health_GDP"/>
      <sheetName val="Pivot_Region"/>
      <sheetName val="Pivot Chart"/>
      <sheetName val="Dashboard"/>
    </sheetNames>
    <sheetDataSet>
      <sheetData sheetId="0"/>
      <sheetData sheetId="1">
        <row r="1">
          <cell r="D1" t="str">
            <v>GDP_per_Capita</v>
          </cell>
          <cell r="F1" t="str">
            <v>Life_Expectancy</v>
          </cell>
        </row>
        <row r="2">
          <cell r="B2" t="str">
            <v>South Asia</v>
          </cell>
          <cell r="D2">
            <v>28697</v>
          </cell>
          <cell r="F2">
            <v>68</v>
          </cell>
        </row>
        <row r="3">
          <cell r="B3" t="str">
            <v>North America</v>
          </cell>
          <cell r="D3">
            <v>9328</v>
          </cell>
          <cell r="F3">
            <v>61</v>
          </cell>
        </row>
        <row r="4">
          <cell r="B4" t="str">
            <v>Europe</v>
          </cell>
          <cell r="D4">
            <v>32915</v>
          </cell>
          <cell r="F4">
            <v>81</v>
          </cell>
        </row>
        <row r="5">
          <cell r="B5" t="str">
            <v>South America</v>
          </cell>
          <cell r="D5">
            <v>48330</v>
          </cell>
          <cell r="F5">
            <v>73</v>
          </cell>
        </row>
        <row r="6">
          <cell r="B6" t="str">
            <v>East Asia</v>
          </cell>
          <cell r="D6">
            <v>46701</v>
          </cell>
          <cell r="F6">
            <v>84</v>
          </cell>
        </row>
        <row r="7">
          <cell r="B7" t="str">
            <v>Europe</v>
          </cell>
          <cell r="D7">
            <v>53760</v>
          </cell>
          <cell r="F7">
            <v>65</v>
          </cell>
        </row>
        <row r="8">
          <cell r="B8" t="str">
            <v>North America</v>
          </cell>
          <cell r="D8">
            <v>49493</v>
          </cell>
          <cell r="F8">
            <v>76</v>
          </cell>
        </row>
        <row r="9">
          <cell r="B9" t="str">
            <v>Oceania</v>
          </cell>
          <cell r="D9">
            <v>33504</v>
          </cell>
          <cell r="F9">
            <v>71</v>
          </cell>
        </row>
        <row r="10">
          <cell r="B10" t="str">
            <v>East Asia</v>
          </cell>
          <cell r="D10">
            <v>54027</v>
          </cell>
          <cell r="F10">
            <v>78</v>
          </cell>
        </row>
        <row r="11">
          <cell r="B11" t="str">
            <v>Africa</v>
          </cell>
          <cell r="D11">
            <v>49580</v>
          </cell>
          <cell r="F11">
            <v>65</v>
          </cell>
        </row>
        <row r="12">
          <cell r="B12" t="str">
            <v>South Asia</v>
          </cell>
          <cell r="D12">
            <v>12017</v>
          </cell>
          <cell r="F12">
            <v>82</v>
          </cell>
        </row>
        <row r="13">
          <cell r="B13" t="str">
            <v>North America</v>
          </cell>
          <cell r="D13">
            <v>32580</v>
          </cell>
          <cell r="F13">
            <v>64</v>
          </cell>
        </row>
        <row r="14">
          <cell r="B14" t="str">
            <v>Europe</v>
          </cell>
          <cell r="D14">
            <v>65224</v>
          </cell>
          <cell r="F14">
            <v>66</v>
          </cell>
        </row>
        <row r="15">
          <cell r="B15" t="str">
            <v>South America</v>
          </cell>
          <cell r="D15">
            <v>5969</v>
          </cell>
          <cell r="F15">
            <v>66</v>
          </cell>
        </row>
        <row r="16">
          <cell r="B16" t="str">
            <v>East Asia</v>
          </cell>
          <cell r="D16">
            <v>10110</v>
          </cell>
          <cell r="F16">
            <v>78</v>
          </cell>
        </row>
        <row r="17">
          <cell r="B17" t="str">
            <v>Europe</v>
          </cell>
          <cell r="D17">
            <v>57088</v>
          </cell>
          <cell r="F17">
            <v>84</v>
          </cell>
        </row>
        <row r="18">
          <cell r="B18" t="str">
            <v>North America</v>
          </cell>
          <cell r="D18">
            <v>51446</v>
          </cell>
          <cell r="F18">
            <v>66</v>
          </cell>
        </row>
        <row r="19">
          <cell r="B19" t="str">
            <v>Oceania</v>
          </cell>
          <cell r="D19">
            <v>61238</v>
          </cell>
          <cell r="F19">
            <v>67</v>
          </cell>
        </row>
        <row r="20">
          <cell r="B20" t="str">
            <v>East Asia</v>
          </cell>
          <cell r="D20">
            <v>16498</v>
          </cell>
          <cell r="F20">
            <v>85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_Raw_Data"/>
      <sheetName val="02_Lookup_Tables"/>
      <sheetName val="03_Data_Model"/>
      <sheetName val="04_KPI_Calculations"/>
      <sheetName val="05_Pivot_GDP_by_Region"/>
      <sheetName val="06_Pivot_Life_by_Country"/>
      <sheetName val="07_Trend_Analysis"/>
      <sheetName val="08_Function_Demo"/>
      <sheetName val="09_Executive_Dashboard"/>
    </sheetNames>
    <sheetDataSet>
      <sheetData sheetId="0"/>
      <sheetData sheetId="1"/>
      <sheetData sheetId="2"/>
      <sheetData sheetId="3"/>
      <sheetData sheetId="4">
        <row r="1">
          <cell r="B1" t="str">
            <v>Average_GDP</v>
          </cell>
        </row>
        <row r="2">
          <cell r="A2" t="str">
            <v>Africa</v>
          </cell>
          <cell r="B2">
            <v>31282.866666666665</v>
          </cell>
        </row>
        <row r="3">
          <cell r="A3" t="str">
            <v>Asia</v>
          </cell>
          <cell r="B3">
            <v>54137</v>
          </cell>
        </row>
        <row r="4">
          <cell r="A4" t="str">
            <v>Europe</v>
          </cell>
          <cell r="B4">
            <v>29770.293333333335</v>
          </cell>
        </row>
        <row r="5">
          <cell r="A5" t="str">
            <v>North America</v>
          </cell>
          <cell r="B5">
            <v>36112.355555555558</v>
          </cell>
        </row>
        <row r="6">
          <cell r="A6" t="str">
            <v>Oceania</v>
          </cell>
          <cell r="B6">
            <v>47617.466666666667</v>
          </cell>
        </row>
        <row r="7">
          <cell r="A7" t="str">
            <v>South America</v>
          </cell>
          <cell r="B7">
            <v>41909.066666666666</v>
          </cell>
        </row>
      </sheetData>
      <sheetData sheetId="5"/>
      <sheetData sheetId="6"/>
      <sheetData sheetId="7"/>
      <sheetData sheetId="8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it" refreshedDate="46104.738824074077" backgroundQuery="1" createdVersion="8" refreshedVersion="8" minRefreshableVersion="3" recordCount="0" supportSubquery="1" supportAdvancedDrill="1" xr:uid="{391E41F4-DBAD-42E7-B8A3-F782EA6C90E8}">
  <cacheSource type="external" connectionId="1"/>
  <cacheFields count="3">
    <cacheField name="[Range].[Country].[Country]" caption="Country" numFmtId="0" level="1">
      <sharedItems count="10">
        <s v="Australia"/>
        <s v="Brazil"/>
        <s v="Canada"/>
        <s v="China"/>
        <s v="Germany"/>
        <s v="India"/>
        <s v="Japan"/>
        <s v="South Africa"/>
        <s v="UK"/>
        <s v="USA"/>
      </sharedItems>
    </cacheField>
    <cacheField name="[Measures].[Sum of GDP_per_Capita]" caption="Sum of GDP_per_Capita" numFmtId="0" hierarchy="19" level="32767"/>
    <cacheField name="[Range].[Year].[Year]" caption="Year" numFmtId="0" hierarchy="2" level="1">
      <sharedItems containsSemiMixedTypes="0" containsString="0" containsNumber="1" containsInteger="1" minValue="2020" maxValue="2022" count="3">
        <n v="2020"/>
        <n v="2021"/>
        <n v="2022"/>
      </sharedItems>
      <extLst>
        <ext xmlns:x15="http://schemas.microsoft.com/office/spreadsheetml/2010/11/main" uri="{4F2E5C28-24EA-4eb8-9CBF-B6C8F9C3D259}">
          <x15:cachedUniqueNames>
            <x15:cachedUniqueName index="0" name="[Range].[Year].&amp;[2020]"/>
            <x15:cachedUniqueName index="1" name="[Range].[Year].&amp;[2021]"/>
            <x15:cachedUniqueName index="2" name="[Range].[Year].&amp;[2022]"/>
          </x15:cachedUniqueNames>
        </ext>
      </extLst>
    </cacheField>
  </cacheFields>
  <cacheHierarchies count="21"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2" memberValueDatatype="20" unbalanced="0">
      <fieldsUsage count="2">
        <fieldUsage x="-1"/>
        <fieldUsage x="2"/>
      </fieldsUsage>
    </cacheHierarchy>
    <cacheHierarchy uniqueName="[Range].[GDP_per_Capita]" caption="GDP_per_Capita" attribute="1" defaultMemberUniqueName="[Range].[GDP_per_Capita].[All]" allUniqueName="[Range].[GDP_per_Capita].[All]" dimensionUniqueName="[Range]" displayFolder="" count="0" memberValueDatatype="20" unbalanced="0"/>
    <cacheHierarchy uniqueName="[Range].[Health_Exp_%]" caption="Health_Exp_%" attribute="1" defaultMemberUniqueName="[Range].[Health_Exp_%].[All]" allUniqueName="[Range].[Health_Exp_%].[All]" dimensionUniqueName="[Range]" displayFolder="" count="0" memberValueDatatype="5" unbalanced="0"/>
    <cacheHierarchy uniqueName="[Range].[Life_Expectancy]" caption="Life_Expectancy" attribute="1" defaultMemberUniqueName="[Range].[Life_Expectancy].[All]" allUniqueName="[Range].[Life_Expectancy].[All]" dimensionUniqueName="[Range]" displayFolder="" count="0" memberValueDatatype="20" unbalanced="0"/>
    <cacheHierarchy uniqueName="[Range].[Population]" caption="Population" attribute="1" defaultMemberUniqueName="[Range].[Population].[All]" allUniqueName="[Range].[Population].[All]" dimensionUniqueName="[Range]" displayFolder="" count="0" memberValueDatatype="20" unbalanced="0"/>
    <cacheHierarchy uniqueName="[Range].[Healthcare_Index]" caption="Healthcare_Index" attribute="1" defaultMemberUniqueName="[Range].[Healthcare_Index].[All]" allUniqueName="[Range].[Healthcare_Index].[All]" dimensionUniqueName="[Range]" displayFolder="" count="0" memberValueDatatype="20" unbalanced="0"/>
    <cacheHierarchy uniqueName="[Range].[Unemployment_Rate]" caption="Unemployment_Rate" attribute="1" defaultMemberUniqueName="[Range].[Unemployment_Rate].[All]" allUniqueName="[Range].[Unemployment_Rate].[All]" dimensionUniqueName="[Range]" displayFolder="" count="0" memberValueDatatype="5" unbalanced="0"/>
    <cacheHierarchy uniqueName="[Range].[Literacy_Rate]" caption="Literacy_Rate" attribute="1" defaultMemberUniqueName="[Range].[Literacy_Rate].[All]" allUniqueName="[Range].[Literacy_Rate].[All]" dimensionUniqueName="[Range]" displayFolder="" count="0" memberValueDatatype="20" unbalanced="0"/>
    <cacheHierarchy uniqueName="[Range].[Covid_Impact]" caption="Covid_Impact" attribute="1" defaultMemberUniqueName="[Range].[Covid_Impact].[All]" allUniqueName="[Range].[Covid_Impact].[All]" dimensionUniqueName="[Range]" displayFolder="" count="0" memberValueDatatype="20" unbalanced="0"/>
    <cacheHierarchy uniqueName="[Range].[Continent]" caption="Continent" attribute="1" defaultMemberUniqueName="[Range].[Continent].[All]" allUniqueName="[Range].[Continent].[All]" dimensionUniqueName="[Range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Avg_GDP]" caption="Avg_GDP" attribute="1" defaultMemberUniqueName="[Range 1].[Avg_GDP].[All]" allUniqueName="[Range 1].[Avg_GDP].[All]" dimensionUniqueName="[Range 1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Region]" caption="Count of Region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ovid_Impact]" caption="Sum of Covid_Impact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GDP_per_Capita]" caption="Sum of GDP_per_Capita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vg_GDP]" caption="Sum of Avg_GDP" measure="1" displayFolder="" measureGroup="Range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it" refreshedDate="46104.736490393516" backgroundQuery="1" createdVersion="8" refreshedVersion="8" minRefreshableVersion="3" recordCount="0" supportSubquery="1" supportAdvancedDrill="1" xr:uid="{DDB17AB4-7236-4AF2-8E54-151C0DF4432E}">
  <cacheSource type="external" connectionId="1"/>
  <cacheFields count="3">
    <cacheField name="[Range].[Country].[Country]" caption="Country" numFmtId="0" level="1">
      <sharedItems count="10">
        <s v="Australia"/>
        <s v="Brazil"/>
        <s v="Canada"/>
        <s v="China"/>
        <s v="Germany"/>
        <s v="India"/>
        <s v="Japan"/>
        <s v="South Africa"/>
        <s v="UK"/>
        <s v="USA"/>
      </sharedItems>
    </cacheField>
    <cacheField name="[Range].[Region].[Region]" caption="Region" numFmtId="0" hierarchy="1" level="1">
      <sharedItems count="7">
        <s v="Oceania"/>
        <s v="South America"/>
        <s v="North America"/>
        <s v="East Asia"/>
        <s v="Europe"/>
        <s v="South Asia"/>
        <s v="Africa"/>
      </sharedItems>
    </cacheField>
    <cacheField name="[Measures].[Sum of Covid_Impact]" caption="Sum of Covid_Impact" numFmtId="0" hierarchy="18" level="32767"/>
  </cacheFields>
  <cacheHierarchies count="21"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1"/>
      </fieldsUsage>
    </cacheHierarchy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GDP_per_Capita]" caption="GDP_per_Capita" attribute="1" defaultMemberUniqueName="[Range].[GDP_per_Capita].[All]" allUniqueName="[Range].[GDP_per_Capita].[All]" dimensionUniqueName="[Range]" displayFolder="" count="0" memberValueDatatype="20" unbalanced="0"/>
    <cacheHierarchy uniqueName="[Range].[Health_Exp_%]" caption="Health_Exp_%" attribute="1" defaultMemberUniqueName="[Range].[Health_Exp_%].[All]" allUniqueName="[Range].[Health_Exp_%].[All]" dimensionUniqueName="[Range]" displayFolder="" count="0" memberValueDatatype="5" unbalanced="0"/>
    <cacheHierarchy uniqueName="[Range].[Life_Expectancy]" caption="Life_Expectancy" attribute="1" defaultMemberUniqueName="[Range].[Life_Expectancy].[All]" allUniqueName="[Range].[Life_Expectancy].[All]" dimensionUniqueName="[Range]" displayFolder="" count="0" memberValueDatatype="20" unbalanced="0"/>
    <cacheHierarchy uniqueName="[Range].[Population]" caption="Population" attribute="1" defaultMemberUniqueName="[Range].[Population].[All]" allUniqueName="[Range].[Population].[All]" dimensionUniqueName="[Range]" displayFolder="" count="0" memberValueDatatype="20" unbalanced="0"/>
    <cacheHierarchy uniqueName="[Range].[Healthcare_Index]" caption="Healthcare_Index" attribute="1" defaultMemberUniqueName="[Range].[Healthcare_Index].[All]" allUniqueName="[Range].[Healthcare_Index].[All]" dimensionUniqueName="[Range]" displayFolder="" count="0" memberValueDatatype="20" unbalanced="0"/>
    <cacheHierarchy uniqueName="[Range].[Unemployment_Rate]" caption="Unemployment_Rate" attribute="1" defaultMemberUniqueName="[Range].[Unemployment_Rate].[All]" allUniqueName="[Range].[Unemployment_Rate].[All]" dimensionUniqueName="[Range]" displayFolder="" count="0" memberValueDatatype="5" unbalanced="0"/>
    <cacheHierarchy uniqueName="[Range].[Literacy_Rate]" caption="Literacy_Rate" attribute="1" defaultMemberUniqueName="[Range].[Literacy_Rate].[All]" allUniqueName="[Range].[Literacy_Rate].[All]" dimensionUniqueName="[Range]" displayFolder="" count="0" memberValueDatatype="20" unbalanced="0"/>
    <cacheHierarchy uniqueName="[Range].[Covid_Impact]" caption="Covid_Impact" attribute="1" defaultMemberUniqueName="[Range].[Covid_Impact].[All]" allUniqueName="[Range].[Covid_Impact].[All]" dimensionUniqueName="[Range]" displayFolder="" count="0" memberValueDatatype="20" unbalanced="0"/>
    <cacheHierarchy uniqueName="[Range].[Continent]" caption="Continent" attribute="1" defaultMemberUniqueName="[Range].[Continent].[All]" allUniqueName="[Range].[Continent].[All]" dimensionUniqueName="[Range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Avg_GDP]" caption="Avg_GDP" attribute="1" defaultMemberUniqueName="[Range 1].[Avg_GDP].[All]" allUniqueName="[Range 1].[Avg_GDP].[All]" dimensionUniqueName="[Range 1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Region]" caption="Count of Region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ovid_Impact]" caption="Sum of Covid_Impac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GDP_per_Capita]" caption="Sum of GDP_per_Capita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vg_GDP]" caption="Sum of Avg_GDP" measure="1" displayFolder="" measureGroup="Range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A43C95-8939-4E29-A6E9-35959460B1A8}" name="PivotTable2" cacheId="4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1:B41" firstHeaderRow="1" firstDataRow="1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2">
    <field x="0"/>
    <field x="2"/>
  </rowFields>
  <rowItems count="40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</rowItems>
  <colItems count="1">
    <i/>
  </colItems>
  <dataFields count="1">
    <dataField name="Sum of GDP_per_Capita" fld="1" baseField="0" baseItem="0"/>
  </dataFields>
  <formats count="15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0" type="button" dataOnly="0" labelOnly="1" outline="0" axis="axisRow" fieldPosition="0"/>
    </format>
    <format dxfId="30">
      <pivotArea dataOnly="0" labelOnly="1" fieldPosition="0">
        <references count="1">
          <reference field="0" count="0"/>
        </references>
      </pivotArea>
    </format>
    <format dxfId="29">
      <pivotArea dataOnly="0" labelOnly="1" fieldPosition="0">
        <references count="2">
          <reference field="0" count="1" selected="0">
            <x v="0"/>
          </reference>
          <reference field="2" count="0"/>
        </references>
      </pivotArea>
    </format>
    <format dxfId="28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27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26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25">
      <pivotArea dataOnly="0" labelOnly="1" fieldPosition="0">
        <references count="2">
          <reference field="0" count="1" selected="0">
            <x v="4"/>
          </reference>
          <reference field="2" count="0"/>
        </references>
      </pivotArea>
    </format>
    <format dxfId="24">
      <pivotArea dataOnly="0" labelOnly="1" fieldPosition="0">
        <references count="2">
          <reference field="0" count="1" selected="0">
            <x v="5"/>
          </reference>
          <reference field="2" count="0"/>
        </references>
      </pivotArea>
    </format>
    <format dxfId="23">
      <pivotArea dataOnly="0" labelOnly="1" fieldPosition="0">
        <references count="2">
          <reference field="0" count="1" selected="0">
            <x v="6"/>
          </reference>
          <reference field="2" count="0"/>
        </references>
      </pivotArea>
    </format>
    <format dxfId="22">
      <pivotArea dataOnly="0" labelOnly="1" fieldPosition="0">
        <references count="2">
          <reference field="0" count="1" selected="0">
            <x v="7"/>
          </reference>
          <reference field="2" count="0"/>
        </references>
      </pivotArea>
    </format>
    <format dxfId="21">
      <pivotArea dataOnly="0" labelOnly="1" fieldPosition="0">
        <references count="2">
          <reference field="0" count="1" selected="0">
            <x v="8"/>
          </reference>
          <reference field="2" count="0"/>
        </references>
      </pivotArea>
    </format>
    <format dxfId="20">
      <pivotArea dataOnly="0" labelOnly="1" fieldPosition="0">
        <references count="2">
          <reference field="0" count="1" selected="0">
            <x v="9"/>
          </reference>
          <reference field="2" count="0"/>
        </references>
      </pivotArea>
    </format>
    <format dxfId="19">
      <pivotArea dataOnly="0" labelOnly="1" outline="0" axis="axisValues" fieldPosition="0"/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in_Data!$A$1:$L$5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6E16BB-01F5-46E1-B501-6358E1ACA158}" name="PivotTable1" cacheId="46" applyNumberFormats="0" applyBorderFormats="0" applyFontFormats="0" applyPatternFormats="0" applyAlignmentFormats="0" applyWidthHeightFormats="1" dataCaption="Values" grandTotalCaption="Total Covid Impact" updatedVersion="8" minRefreshableVersion="3" useAutoFormatting="1" itemPrintTitles="1" createdVersion="8" indent="0" outline="1" outlineData="1" multipleFieldFilters="0">
  <location ref="A1:B22" firstHeaderRow="1" firstDataRow="1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2">
    <field x="0"/>
    <field x="1"/>
  </rowFields>
  <rowItems count="21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3"/>
    </i>
    <i>
      <x v="7"/>
    </i>
    <i r="1">
      <x v="6"/>
    </i>
    <i>
      <x v="8"/>
    </i>
    <i r="1">
      <x v="4"/>
    </i>
    <i>
      <x v="9"/>
    </i>
    <i r="1">
      <x v="2"/>
    </i>
    <i t="grand">
      <x/>
    </i>
  </rowItems>
  <colItems count="1">
    <i/>
  </colItems>
  <dataFields count="1">
    <dataField name="Covid_Impact" fld="2" baseField="0" baseItem="0"/>
  </dataFields>
  <formats count="32"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0" type="button" dataOnly="0" labelOnly="1" outline="0" axis="axisRow" fieldPosition="0"/>
    </format>
    <format dxfId="46">
      <pivotArea dataOnly="0" labelOnly="1" fieldPosition="0">
        <references count="1">
          <reference field="0" count="0"/>
        </references>
      </pivotArea>
    </format>
    <format dxfId="45">
      <pivotArea dataOnly="0" labelOnly="1" grandRow="1" outline="0" fieldPosition="0"/>
    </format>
    <format dxfId="44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43">
      <pivotArea dataOnly="0" labelOnly="1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42">
      <pivotArea dataOnly="0" labelOnly="1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41">
      <pivotArea dataOnly="0" labelOnly="1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40">
      <pivotArea dataOnly="0" labelOnly="1" fieldPosition="0">
        <references count="2">
          <reference field="0" count="1" selected="0">
            <x v="4"/>
          </reference>
          <reference field="1" count="1">
            <x v="4"/>
          </reference>
        </references>
      </pivotArea>
    </format>
    <format dxfId="39">
      <pivotArea dataOnly="0" labelOnly="1" fieldPosition="0">
        <references count="2">
          <reference field="0" count="1" selected="0">
            <x v="5"/>
          </reference>
          <reference field="1" count="1">
            <x v="5"/>
          </reference>
        </references>
      </pivotArea>
    </format>
    <format dxfId="38">
      <pivotArea dataOnly="0" labelOnly="1" fieldPosition="0">
        <references count="2">
          <reference field="0" count="1" selected="0">
            <x v="6"/>
          </reference>
          <reference field="1" count="1">
            <x v="3"/>
          </reference>
        </references>
      </pivotArea>
    </format>
    <format dxfId="37">
      <pivotArea dataOnly="0" labelOnly="1" fieldPosition="0">
        <references count="2">
          <reference field="0" count="1" selected="0">
            <x v="7"/>
          </reference>
          <reference field="1" count="1">
            <x v="6"/>
          </reference>
        </references>
      </pivotArea>
    </format>
    <format dxfId="36">
      <pivotArea dataOnly="0" labelOnly="1" fieldPosition="0">
        <references count="2">
          <reference field="0" count="1" selected="0">
            <x v="8"/>
          </reference>
          <reference field="1" count="1">
            <x v="4"/>
          </reference>
        </references>
      </pivotArea>
    </format>
    <format dxfId="35">
      <pivotArea dataOnly="0" labelOnly="1" fieldPosition="0">
        <references count="2">
          <reference field="0" count="1" selected="0">
            <x v="9"/>
          </reference>
          <reference field="1" count="1">
            <x v="2"/>
          </reference>
        </references>
      </pivotArea>
    </format>
    <format dxfId="34">
      <pivotArea dataOnly="0" labelOnly="1" outline="0" axis="axisValues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2">
      <pivotArea dataOnly="0" labelOnly="1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11">
      <pivotArea dataOnly="0" labelOnly="1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10">
      <pivotArea dataOnly="0" labelOnly="1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9">
      <pivotArea dataOnly="0" labelOnly="1" fieldPosition="0">
        <references count="2">
          <reference field="0" count="1" selected="0">
            <x v="4"/>
          </reference>
          <reference field="1" count="1">
            <x v="4"/>
          </reference>
        </references>
      </pivotArea>
    </format>
    <format dxfId="8">
      <pivotArea dataOnly="0" labelOnly="1" fieldPosition="0">
        <references count="2">
          <reference field="0" count="1" selected="0">
            <x v="5"/>
          </reference>
          <reference field="1" count="1">
            <x v="5"/>
          </reference>
        </references>
      </pivotArea>
    </format>
    <format dxfId="7">
      <pivotArea dataOnly="0" labelOnly="1" fieldPosition="0">
        <references count="2">
          <reference field="0" count="1" selected="0">
            <x v="6"/>
          </reference>
          <reference field="1" count="1">
            <x v="3"/>
          </reference>
        </references>
      </pivotArea>
    </format>
    <format dxfId="6">
      <pivotArea dataOnly="0" labelOnly="1" fieldPosition="0">
        <references count="2">
          <reference field="0" count="1" selected="0">
            <x v="7"/>
          </reference>
          <reference field="1" count="1">
            <x v="6"/>
          </reference>
        </references>
      </pivotArea>
    </format>
    <format dxfId="5">
      <pivotArea dataOnly="0" labelOnly="1" fieldPosition="0">
        <references count="2">
          <reference field="0" count="1" selected="0">
            <x v="8"/>
          </reference>
          <reference field="1" count="1">
            <x v="4"/>
          </reference>
        </references>
      </pivotArea>
    </format>
    <format dxfId="4">
      <pivotArea dataOnly="0" labelOnly="1" fieldPosition="0">
        <references count="2">
          <reference field="0" count="1" selected="0">
            <x v="9"/>
          </reference>
          <reference field="1" count="1">
            <x v="2"/>
          </reference>
        </references>
      </pivotArea>
    </format>
    <format dxfId="3">
      <pivotArea dataOnly="0" labelOnly="1" outline="0" axis="axisValues" fieldPosition="0"/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vid_Impact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in_Data!$A$1:$L$5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workbookViewId="0">
      <selection activeCell="M10" sqref="M10"/>
    </sheetView>
  </sheetViews>
  <sheetFormatPr defaultRowHeight="15" x14ac:dyDescent="0.25"/>
  <cols>
    <col min="1" max="1" width="11.7109375" bestFit="1" customWidth="1"/>
    <col min="2" max="2" width="14" bestFit="1" customWidth="1"/>
    <col min="3" max="3" width="5.28515625" bestFit="1" customWidth="1"/>
    <col min="4" max="4" width="17" bestFit="1" customWidth="1"/>
    <col min="5" max="5" width="15" bestFit="1" customWidth="1"/>
    <col min="6" max="6" width="16.7109375" bestFit="1" customWidth="1"/>
    <col min="7" max="7" width="11.85546875" bestFit="1" customWidth="1"/>
    <col min="8" max="8" width="18.28515625" bestFit="1" customWidth="1"/>
    <col min="9" max="9" width="22.140625" bestFit="1" customWidth="1"/>
    <col min="10" max="11" width="14.42578125" bestFit="1" customWidth="1"/>
    <col min="12" max="12" width="14" bestFit="1" customWidth="1"/>
  </cols>
  <sheetData>
    <row r="1" spans="1:12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1" t="s">
        <v>12</v>
      </c>
      <c r="B2" s="1" t="s">
        <v>13</v>
      </c>
      <c r="C2" s="1">
        <v>2021</v>
      </c>
      <c r="D2" s="1">
        <v>28697</v>
      </c>
      <c r="E2" s="1">
        <v>10.7</v>
      </c>
      <c r="F2" s="1">
        <v>68</v>
      </c>
      <c r="G2" s="1">
        <v>320755470</v>
      </c>
      <c r="H2" s="1">
        <v>65</v>
      </c>
      <c r="I2" s="1">
        <v>21</v>
      </c>
      <c r="J2" s="1">
        <v>87</v>
      </c>
      <c r="K2" s="1">
        <v>43</v>
      </c>
      <c r="L2" s="1" t="s">
        <v>14</v>
      </c>
    </row>
    <row r="3" spans="1:12" x14ac:dyDescent="0.25">
      <c r="A3" s="1" t="s">
        <v>15</v>
      </c>
      <c r="B3" s="1" t="s">
        <v>16</v>
      </c>
      <c r="C3" s="1">
        <v>2021</v>
      </c>
      <c r="D3" s="1">
        <v>9328</v>
      </c>
      <c r="E3" s="1">
        <v>9.1</v>
      </c>
      <c r="F3" s="1">
        <v>61</v>
      </c>
      <c r="G3" s="1">
        <v>779975845</v>
      </c>
      <c r="H3" s="1">
        <v>54</v>
      </c>
      <c r="I3" s="1">
        <v>7.5</v>
      </c>
      <c r="J3" s="1">
        <v>86</v>
      </c>
      <c r="K3" s="1">
        <v>51</v>
      </c>
      <c r="L3" s="1" t="s">
        <v>16</v>
      </c>
    </row>
    <row r="4" spans="1:12" x14ac:dyDescent="0.25">
      <c r="A4" s="1" t="s">
        <v>17</v>
      </c>
      <c r="B4" s="1" t="s">
        <v>18</v>
      </c>
      <c r="C4" s="1">
        <v>2022</v>
      </c>
      <c r="D4" s="1">
        <v>32915</v>
      </c>
      <c r="E4" s="1">
        <v>7.3</v>
      </c>
      <c r="F4" s="1">
        <v>81</v>
      </c>
      <c r="G4" s="1">
        <v>1024677989</v>
      </c>
      <c r="H4" s="1">
        <v>84</v>
      </c>
      <c r="I4" s="1">
        <v>22</v>
      </c>
      <c r="J4" s="1">
        <v>86</v>
      </c>
      <c r="K4" s="1">
        <v>88</v>
      </c>
      <c r="L4" s="1" t="s">
        <v>18</v>
      </c>
    </row>
    <row r="5" spans="1:12" x14ac:dyDescent="0.25">
      <c r="A5" s="1" t="s">
        <v>19</v>
      </c>
      <c r="B5" s="1" t="s">
        <v>20</v>
      </c>
      <c r="C5" s="1">
        <v>2022</v>
      </c>
      <c r="D5" s="1">
        <v>48330</v>
      </c>
      <c r="E5" s="1">
        <v>11.3</v>
      </c>
      <c r="F5" s="1">
        <v>73</v>
      </c>
      <c r="G5" s="1">
        <v>11982489</v>
      </c>
      <c r="H5" s="1">
        <v>75</v>
      </c>
      <c r="I5" s="1">
        <v>16.3</v>
      </c>
      <c r="J5" s="1">
        <v>70</v>
      </c>
      <c r="K5" s="1">
        <v>60</v>
      </c>
      <c r="L5" s="1" t="s">
        <v>20</v>
      </c>
    </row>
    <row r="6" spans="1:12" x14ac:dyDescent="0.25">
      <c r="A6" s="1" t="s">
        <v>21</v>
      </c>
      <c r="B6" s="1" t="s">
        <v>22</v>
      </c>
      <c r="C6" s="1">
        <v>2021</v>
      </c>
      <c r="D6" s="1">
        <v>46701</v>
      </c>
      <c r="E6" s="1">
        <v>6.7</v>
      </c>
      <c r="F6" s="1">
        <v>84</v>
      </c>
      <c r="G6" s="1">
        <v>1398599595</v>
      </c>
      <c r="H6" s="1">
        <v>66</v>
      </c>
      <c r="I6" s="1">
        <v>18</v>
      </c>
      <c r="J6" s="1">
        <v>94</v>
      </c>
      <c r="K6" s="1">
        <v>87</v>
      </c>
      <c r="L6" s="1" t="s">
        <v>14</v>
      </c>
    </row>
    <row r="7" spans="1:12" x14ac:dyDescent="0.25">
      <c r="A7" s="1" t="s">
        <v>23</v>
      </c>
      <c r="B7" s="1" t="s">
        <v>18</v>
      </c>
      <c r="C7" s="1">
        <v>2020</v>
      </c>
      <c r="D7" s="1">
        <v>53760</v>
      </c>
      <c r="E7" s="1">
        <v>13.9</v>
      </c>
      <c r="F7" s="1">
        <v>65</v>
      </c>
      <c r="G7" s="1">
        <v>225142920</v>
      </c>
      <c r="H7" s="1">
        <v>80</v>
      </c>
      <c r="I7" s="1">
        <v>4</v>
      </c>
      <c r="J7" s="1">
        <v>92</v>
      </c>
      <c r="K7" s="1">
        <v>39</v>
      </c>
      <c r="L7" s="1" t="s">
        <v>18</v>
      </c>
    </row>
    <row r="8" spans="1:12" x14ac:dyDescent="0.25">
      <c r="A8" s="1" t="s">
        <v>24</v>
      </c>
      <c r="B8" s="1" t="s">
        <v>16</v>
      </c>
      <c r="C8" s="1">
        <v>2021</v>
      </c>
      <c r="D8" s="1">
        <v>49493</v>
      </c>
      <c r="E8" s="1">
        <v>11.8</v>
      </c>
      <c r="F8" s="1">
        <v>76</v>
      </c>
      <c r="G8" s="1">
        <v>1025519857</v>
      </c>
      <c r="H8" s="1">
        <v>87</v>
      </c>
      <c r="I8" s="1">
        <v>10</v>
      </c>
      <c r="J8" s="1">
        <v>81</v>
      </c>
      <c r="K8" s="1">
        <v>42</v>
      </c>
      <c r="L8" s="1" t="s">
        <v>16</v>
      </c>
    </row>
    <row r="9" spans="1:12" x14ac:dyDescent="0.25">
      <c r="A9" s="1" t="s">
        <v>25</v>
      </c>
      <c r="B9" s="1" t="s">
        <v>26</v>
      </c>
      <c r="C9" s="1">
        <v>2020</v>
      </c>
      <c r="D9" s="1">
        <v>33504</v>
      </c>
      <c r="E9" s="1">
        <v>9.9</v>
      </c>
      <c r="F9" s="1">
        <v>71</v>
      </c>
      <c r="G9" s="1">
        <v>997430905</v>
      </c>
      <c r="H9" s="1">
        <v>84</v>
      </c>
      <c r="I9" s="1">
        <v>6.4</v>
      </c>
      <c r="J9" s="1">
        <v>96</v>
      </c>
      <c r="K9" s="1">
        <v>64</v>
      </c>
      <c r="L9" s="1" t="s">
        <v>26</v>
      </c>
    </row>
    <row r="10" spans="1:12" x14ac:dyDescent="0.25">
      <c r="A10" s="1" t="s">
        <v>27</v>
      </c>
      <c r="B10" s="1" t="s">
        <v>22</v>
      </c>
      <c r="C10" s="1">
        <v>2020</v>
      </c>
      <c r="D10" s="1">
        <v>54027</v>
      </c>
      <c r="E10" s="1">
        <v>16.2</v>
      </c>
      <c r="F10" s="1">
        <v>78</v>
      </c>
      <c r="G10" s="1">
        <v>579162748</v>
      </c>
      <c r="H10" s="1">
        <v>76</v>
      </c>
      <c r="I10" s="1">
        <v>21.2</v>
      </c>
      <c r="J10" s="1">
        <v>88</v>
      </c>
      <c r="K10" s="1">
        <v>47</v>
      </c>
      <c r="L10" s="1" t="s">
        <v>14</v>
      </c>
    </row>
    <row r="11" spans="1:12" x14ac:dyDescent="0.25">
      <c r="A11" s="1" t="s">
        <v>28</v>
      </c>
      <c r="B11" s="1" t="s">
        <v>29</v>
      </c>
      <c r="C11" s="1">
        <v>2020</v>
      </c>
      <c r="D11" s="1">
        <v>49580</v>
      </c>
      <c r="E11" s="1">
        <v>11.3</v>
      </c>
      <c r="F11" s="1">
        <v>65</v>
      </c>
      <c r="G11" s="1">
        <v>1150916965</v>
      </c>
      <c r="H11" s="1">
        <v>94</v>
      </c>
      <c r="I11" s="1">
        <v>7.7</v>
      </c>
      <c r="J11" s="1">
        <v>76</v>
      </c>
      <c r="K11" s="1">
        <v>65</v>
      </c>
      <c r="L11" s="1" t="s">
        <v>29</v>
      </c>
    </row>
    <row r="12" spans="1:12" x14ac:dyDescent="0.25">
      <c r="A12" s="1" t="s">
        <v>12</v>
      </c>
      <c r="B12" s="1" t="s">
        <v>13</v>
      </c>
      <c r="C12" s="1">
        <v>2022</v>
      </c>
      <c r="D12" s="1">
        <v>12017</v>
      </c>
      <c r="E12" s="1">
        <v>6.9</v>
      </c>
      <c r="F12" s="1">
        <v>82</v>
      </c>
      <c r="G12" s="1">
        <v>583736500</v>
      </c>
      <c r="H12" s="1">
        <v>50</v>
      </c>
      <c r="I12" s="1">
        <v>13</v>
      </c>
      <c r="J12" s="1">
        <v>71</v>
      </c>
      <c r="K12" s="1">
        <v>72</v>
      </c>
      <c r="L12" s="1" t="s">
        <v>14</v>
      </c>
    </row>
    <row r="13" spans="1:12" x14ac:dyDescent="0.25">
      <c r="A13" s="1" t="s">
        <v>15</v>
      </c>
      <c r="B13" s="1" t="s">
        <v>16</v>
      </c>
      <c r="C13" s="1">
        <v>2020</v>
      </c>
      <c r="D13" s="1">
        <v>32580</v>
      </c>
      <c r="E13" s="1">
        <v>8.6999999999999993</v>
      </c>
      <c r="F13" s="1">
        <v>64</v>
      </c>
      <c r="G13" s="1">
        <v>1491550777</v>
      </c>
      <c r="H13" s="1">
        <v>66</v>
      </c>
      <c r="I13" s="1">
        <v>2.2999999999999998</v>
      </c>
      <c r="J13" s="1">
        <v>84</v>
      </c>
      <c r="K13" s="1">
        <v>87</v>
      </c>
      <c r="L13" s="1" t="s">
        <v>16</v>
      </c>
    </row>
    <row r="14" spans="1:12" x14ac:dyDescent="0.25">
      <c r="A14" s="1" t="s">
        <v>17</v>
      </c>
      <c r="B14" s="1" t="s">
        <v>18</v>
      </c>
      <c r="C14" s="1">
        <v>2021</v>
      </c>
      <c r="D14" s="1">
        <v>65224</v>
      </c>
      <c r="E14" s="1">
        <v>5.5</v>
      </c>
      <c r="F14" s="1">
        <v>66</v>
      </c>
      <c r="G14" s="1">
        <v>604209612</v>
      </c>
      <c r="H14" s="1">
        <v>95</v>
      </c>
      <c r="I14" s="1">
        <v>22.5</v>
      </c>
      <c r="J14" s="1">
        <v>90</v>
      </c>
      <c r="K14" s="1">
        <v>46</v>
      </c>
      <c r="L14" s="1" t="s">
        <v>18</v>
      </c>
    </row>
    <row r="15" spans="1:12" x14ac:dyDescent="0.25">
      <c r="A15" s="1" t="s">
        <v>19</v>
      </c>
      <c r="B15" s="1" t="s">
        <v>20</v>
      </c>
      <c r="C15" s="1">
        <v>2020</v>
      </c>
      <c r="D15" s="1">
        <v>5969</v>
      </c>
      <c r="E15" s="1">
        <v>7.6</v>
      </c>
      <c r="F15" s="1">
        <v>66</v>
      </c>
      <c r="G15" s="1">
        <v>900636370</v>
      </c>
      <c r="H15" s="1">
        <v>62</v>
      </c>
      <c r="I15" s="1">
        <v>4.2</v>
      </c>
      <c r="J15" s="1">
        <v>72</v>
      </c>
      <c r="K15" s="1">
        <v>50</v>
      </c>
      <c r="L15" s="1" t="s">
        <v>20</v>
      </c>
    </row>
    <row r="16" spans="1:12" x14ac:dyDescent="0.25">
      <c r="A16" s="1" t="s">
        <v>21</v>
      </c>
      <c r="B16" s="1" t="s">
        <v>22</v>
      </c>
      <c r="C16" s="1">
        <v>2021</v>
      </c>
      <c r="D16" s="1">
        <v>10110</v>
      </c>
      <c r="E16" s="1">
        <v>16</v>
      </c>
      <c r="F16" s="1">
        <v>78</v>
      </c>
      <c r="G16" s="1">
        <v>781479156</v>
      </c>
      <c r="H16" s="1">
        <v>92</v>
      </c>
      <c r="I16" s="1">
        <v>10.3</v>
      </c>
      <c r="J16" s="1">
        <v>78</v>
      </c>
      <c r="K16" s="1">
        <v>80</v>
      </c>
      <c r="L16" s="1" t="s">
        <v>14</v>
      </c>
    </row>
    <row r="17" spans="1:12" x14ac:dyDescent="0.25">
      <c r="A17" s="1" t="s">
        <v>23</v>
      </c>
      <c r="B17" s="1" t="s">
        <v>18</v>
      </c>
      <c r="C17" s="1">
        <v>2022</v>
      </c>
      <c r="D17" s="1">
        <v>57088</v>
      </c>
      <c r="E17" s="1">
        <v>11.9</v>
      </c>
      <c r="F17" s="1">
        <v>84</v>
      </c>
      <c r="G17" s="1">
        <v>248590736</v>
      </c>
      <c r="H17" s="1">
        <v>87</v>
      </c>
      <c r="I17" s="1">
        <v>9.6999999999999993</v>
      </c>
      <c r="J17" s="1">
        <v>81</v>
      </c>
      <c r="K17" s="1">
        <v>80</v>
      </c>
      <c r="L17" s="1" t="s">
        <v>18</v>
      </c>
    </row>
    <row r="18" spans="1:12" x14ac:dyDescent="0.25">
      <c r="A18" s="1" t="s">
        <v>24</v>
      </c>
      <c r="B18" s="1" t="s">
        <v>16</v>
      </c>
      <c r="C18" s="1">
        <v>2021</v>
      </c>
      <c r="D18" s="1">
        <v>51446</v>
      </c>
      <c r="E18" s="1">
        <v>8.1</v>
      </c>
      <c r="F18" s="1">
        <v>66</v>
      </c>
      <c r="G18" s="1">
        <v>226850356</v>
      </c>
      <c r="H18" s="1">
        <v>95</v>
      </c>
      <c r="I18" s="1">
        <v>8.1</v>
      </c>
      <c r="J18" s="1">
        <v>95</v>
      </c>
      <c r="K18" s="1">
        <v>76</v>
      </c>
      <c r="L18" s="1" t="s">
        <v>16</v>
      </c>
    </row>
    <row r="19" spans="1:12" x14ac:dyDescent="0.25">
      <c r="A19" s="1" t="s">
        <v>25</v>
      </c>
      <c r="B19" s="1" t="s">
        <v>26</v>
      </c>
      <c r="C19" s="1">
        <v>2022</v>
      </c>
      <c r="D19" s="1">
        <v>61238</v>
      </c>
      <c r="E19" s="1">
        <v>16.2</v>
      </c>
      <c r="F19" s="1">
        <v>67</v>
      </c>
      <c r="G19" s="1">
        <v>1484327543</v>
      </c>
      <c r="H19" s="1">
        <v>90</v>
      </c>
      <c r="I19" s="1">
        <v>20.6</v>
      </c>
      <c r="J19" s="1">
        <v>89</v>
      </c>
      <c r="K19" s="1">
        <v>33</v>
      </c>
      <c r="L19" s="1" t="s">
        <v>26</v>
      </c>
    </row>
    <row r="20" spans="1:12" x14ac:dyDescent="0.25">
      <c r="A20" s="1" t="s">
        <v>27</v>
      </c>
      <c r="B20" s="1" t="s">
        <v>22</v>
      </c>
      <c r="C20" s="1">
        <v>2020</v>
      </c>
      <c r="D20" s="1">
        <v>16498</v>
      </c>
      <c r="E20" s="1">
        <v>5.4</v>
      </c>
      <c r="F20" s="1">
        <v>85</v>
      </c>
      <c r="G20" s="1">
        <v>1397611416</v>
      </c>
      <c r="H20" s="1">
        <v>63</v>
      </c>
      <c r="I20" s="1">
        <v>6.2</v>
      </c>
      <c r="J20" s="1">
        <v>83</v>
      </c>
      <c r="K20" s="1">
        <v>90</v>
      </c>
      <c r="L20" s="1" t="s">
        <v>14</v>
      </c>
    </row>
    <row r="21" spans="1:12" x14ac:dyDescent="0.25">
      <c r="A21" s="1" t="s">
        <v>28</v>
      </c>
      <c r="B21" s="1" t="s">
        <v>29</v>
      </c>
      <c r="C21" s="1">
        <v>2020</v>
      </c>
      <c r="D21" s="1">
        <v>29040</v>
      </c>
      <c r="E21" s="1">
        <v>10.199999999999999</v>
      </c>
      <c r="F21" s="1">
        <v>76</v>
      </c>
      <c r="G21" s="1">
        <v>85057374</v>
      </c>
      <c r="H21" s="1">
        <v>66</v>
      </c>
      <c r="I21" s="1">
        <v>21.5</v>
      </c>
      <c r="J21" s="1">
        <v>81</v>
      </c>
      <c r="K21" s="1">
        <v>43</v>
      </c>
      <c r="L21" s="1" t="s">
        <v>29</v>
      </c>
    </row>
    <row r="22" spans="1:12" x14ac:dyDescent="0.25">
      <c r="A22" s="1" t="s">
        <v>12</v>
      </c>
      <c r="B22" s="1" t="s">
        <v>13</v>
      </c>
      <c r="C22" s="1">
        <v>2021</v>
      </c>
      <c r="D22" s="1">
        <v>33803</v>
      </c>
      <c r="E22" s="1">
        <v>13.1</v>
      </c>
      <c r="F22" s="1">
        <v>61</v>
      </c>
      <c r="G22" s="1">
        <v>1373510320</v>
      </c>
      <c r="H22" s="1">
        <v>76</v>
      </c>
      <c r="I22" s="1">
        <v>12.2</v>
      </c>
      <c r="J22" s="1">
        <v>88</v>
      </c>
      <c r="K22" s="1">
        <v>37</v>
      </c>
      <c r="L22" s="1" t="s">
        <v>14</v>
      </c>
    </row>
    <row r="23" spans="1:12" x14ac:dyDescent="0.25">
      <c r="A23" s="1" t="s">
        <v>15</v>
      </c>
      <c r="B23" s="1" t="s">
        <v>16</v>
      </c>
      <c r="C23" s="1">
        <v>2022</v>
      </c>
      <c r="D23" s="1">
        <v>43633</v>
      </c>
      <c r="E23" s="1">
        <v>9.6999999999999993</v>
      </c>
      <c r="F23" s="1">
        <v>71</v>
      </c>
      <c r="G23" s="1">
        <v>971847595</v>
      </c>
      <c r="H23" s="1">
        <v>64</v>
      </c>
      <c r="I23" s="1">
        <v>21.3</v>
      </c>
      <c r="J23" s="1">
        <v>78</v>
      </c>
      <c r="K23" s="1">
        <v>38</v>
      </c>
      <c r="L23" s="1" t="s">
        <v>16</v>
      </c>
    </row>
    <row r="24" spans="1:12" x14ac:dyDescent="0.25">
      <c r="A24" s="1" t="s">
        <v>17</v>
      </c>
      <c r="B24" s="1" t="s">
        <v>18</v>
      </c>
      <c r="C24" s="1">
        <v>2021</v>
      </c>
      <c r="D24" s="1">
        <v>47258</v>
      </c>
      <c r="E24" s="1">
        <v>5.3</v>
      </c>
      <c r="F24" s="1">
        <v>73</v>
      </c>
      <c r="G24" s="1">
        <v>415702244</v>
      </c>
      <c r="H24" s="1">
        <v>89</v>
      </c>
      <c r="I24" s="1">
        <v>15.2</v>
      </c>
      <c r="J24" s="1">
        <v>70</v>
      </c>
      <c r="K24" s="1">
        <v>74</v>
      </c>
      <c r="L24" s="1" t="s">
        <v>18</v>
      </c>
    </row>
    <row r="25" spans="1:12" x14ac:dyDescent="0.25">
      <c r="A25" s="1" t="s">
        <v>19</v>
      </c>
      <c r="B25" s="1" t="s">
        <v>20</v>
      </c>
      <c r="C25" s="1">
        <v>2021</v>
      </c>
      <c r="D25" s="1">
        <v>16371</v>
      </c>
      <c r="E25" s="1">
        <v>13</v>
      </c>
      <c r="F25" s="1">
        <v>80</v>
      </c>
      <c r="G25" s="1">
        <v>781853496</v>
      </c>
      <c r="H25" s="1">
        <v>90</v>
      </c>
      <c r="I25" s="1">
        <v>14.3</v>
      </c>
      <c r="J25" s="1">
        <v>92</v>
      </c>
      <c r="K25" s="1">
        <v>89</v>
      </c>
      <c r="L25" s="1" t="s">
        <v>20</v>
      </c>
    </row>
    <row r="26" spans="1:12" x14ac:dyDescent="0.25">
      <c r="A26" s="1" t="s">
        <v>21</v>
      </c>
      <c r="B26" s="1" t="s">
        <v>22</v>
      </c>
      <c r="C26" s="1">
        <v>2020</v>
      </c>
      <c r="D26" s="1">
        <v>63215</v>
      </c>
      <c r="E26" s="1">
        <v>7.4</v>
      </c>
      <c r="F26" s="1">
        <v>72</v>
      </c>
      <c r="G26" s="1">
        <v>558355032</v>
      </c>
      <c r="H26" s="1">
        <v>67</v>
      </c>
      <c r="I26" s="1">
        <v>15.8</v>
      </c>
      <c r="J26" s="1">
        <v>86</v>
      </c>
      <c r="K26" s="1">
        <v>87</v>
      </c>
      <c r="L26" s="1" t="s">
        <v>14</v>
      </c>
    </row>
    <row r="27" spans="1:12" x14ac:dyDescent="0.25">
      <c r="A27" s="1" t="s">
        <v>23</v>
      </c>
      <c r="B27" s="1" t="s">
        <v>18</v>
      </c>
      <c r="C27" s="1">
        <v>2021</v>
      </c>
      <c r="D27" s="1">
        <v>42849</v>
      </c>
      <c r="E27" s="1">
        <v>14.3</v>
      </c>
      <c r="F27" s="1">
        <v>73</v>
      </c>
      <c r="G27" s="1">
        <v>793703952</v>
      </c>
      <c r="H27" s="1">
        <v>61</v>
      </c>
      <c r="I27" s="1">
        <v>16.600000000000001</v>
      </c>
      <c r="J27" s="1">
        <v>78</v>
      </c>
      <c r="K27" s="1">
        <v>55</v>
      </c>
      <c r="L27" s="1" t="s">
        <v>18</v>
      </c>
    </row>
    <row r="28" spans="1:12" x14ac:dyDescent="0.25">
      <c r="A28" s="1" t="s">
        <v>24</v>
      </c>
      <c r="B28" s="1" t="s">
        <v>16</v>
      </c>
      <c r="C28" s="1">
        <v>2022</v>
      </c>
      <c r="D28" s="1">
        <v>43484</v>
      </c>
      <c r="E28" s="1">
        <v>4.0999999999999996</v>
      </c>
      <c r="F28" s="1">
        <v>84</v>
      </c>
      <c r="G28" s="1">
        <v>987668740</v>
      </c>
      <c r="H28" s="1">
        <v>89</v>
      </c>
      <c r="I28" s="1">
        <v>12</v>
      </c>
      <c r="J28" s="1">
        <v>84</v>
      </c>
      <c r="K28" s="1">
        <v>63</v>
      </c>
      <c r="L28" s="1" t="s">
        <v>16</v>
      </c>
    </row>
    <row r="29" spans="1:12" x14ac:dyDescent="0.25">
      <c r="A29" s="1" t="s">
        <v>25</v>
      </c>
      <c r="B29" s="1" t="s">
        <v>26</v>
      </c>
      <c r="C29" s="1">
        <v>2021</v>
      </c>
      <c r="D29" s="1">
        <v>59114</v>
      </c>
      <c r="E29" s="1">
        <v>14.2</v>
      </c>
      <c r="F29" s="1">
        <v>70</v>
      </c>
      <c r="G29" s="1">
        <v>1006359670</v>
      </c>
      <c r="H29" s="1">
        <v>92</v>
      </c>
      <c r="I29" s="1">
        <v>5.6</v>
      </c>
      <c r="J29" s="1">
        <v>84</v>
      </c>
      <c r="K29" s="1">
        <v>71</v>
      </c>
      <c r="L29" s="1" t="s">
        <v>26</v>
      </c>
    </row>
    <row r="30" spans="1:12" x14ac:dyDescent="0.25">
      <c r="A30" s="1" t="s">
        <v>27</v>
      </c>
      <c r="B30" s="1" t="s">
        <v>22</v>
      </c>
      <c r="C30" s="1">
        <v>2020</v>
      </c>
      <c r="D30" s="1">
        <v>44194</v>
      </c>
      <c r="E30" s="1">
        <v>4.4000000000000004</v>
      </c>
      <c r="F30" s="1">
        <v>78</v>
      </c>
      <c r="G30" s="1">
        <v>1361478031</v>
      </c>
      <c r="H30" s="1">
        <v>71</v>
      </c>
      <c r="I30" s="1">
        <v>3.3</v>
      </c>
      <c r="J30" s="1">
        <v>94</v>
      </c>
      <c r="K30" s="1">
        <v>50</v>
      </c>
      <c r="L30" s="1" t="s">
        <v>14</v>
      </c>
    </row>
    <row r="31" spans="1:12" x14ac:dyDescent="0.25">
      <c r="A31" s="1" t="s">
        <v>28</v>
      </c>
      <c r="B31" s="1" t="s">
        <v>29</v>
      </c>
      <c r="C31" s="1">
        <v>2020</v>
      </c>
      <c r="D31" s="1">
        <v>56144</v>
      </c>
      <c r="E31" s="1">
        <v>7.1</v>
      </c>
      <c r="F31" s="1">
        <v>70</v>
      </c>
      <c r="G31" s="1">
        <v>1136140974</v>
      </c>
      <c r="H31" s="1">
        <v>60</v>
      </c>
      <c r="I31" s="1">
        <v>8</v>
      </c>
      <c r="J31" s="1">
        <v>88</v>
      </c>
      <c r="K31" s="1">
        <v>61</v>
      </c>
      <c r="L31" s="1" t="s">
        <v>29</v>
      </c>
    </row>
    <row r="32" spans="1:12" x14ac:dyDescent="0.25">
      <c r="A32" s="1" t="s">
        <v>12</v>
      </c>
      <c r="B32" s="1" t="s">
        <v>13</v>
      </c>
      <c r="C32" s="1">
        <v>2021</v>
      </c>
      <c r="D32" s="1">
        <v>35240</v>
      </c>
      <c r="E32" s="1">
        <v>4.7</v>
      </c>
      <c r="F32" s="1">
        <v>67</v>
      </c>
      <c r="G32" s="1">
        <v>347279427</v>
      </c>
      <c r="H32" s="1">
        <v>84</v>
      </c>
      <c r="I32" s="1">
        <v>22.9</v>
      </c>
      <c r="J32" s="1">
        <v>97</v>
      </c>
      <c r="K32" s="1">
        <v>54</v>
      </c>
      <c r="L32" s="1" t="s">
        <v>14</v>
      </c>
    </row>
    <row r="33" spans="1:12" x14ac:dyDescent="0.25">
      <c r="A33" s="1" t="s">
        <v>15</v>
      </c>
      <c r="B33" s="1" t="s">
        <v>16</v>
      </c>
      <c r="C33" s="1">
        <v>2020</v>
      </c>
      <c r="D33" s="1">
        <v>65393</v>
      </c>
      <c r="E33" s="1">
        <v>13.9</v>
      </c>
      <c r="F33" s="1">
        <v>66</v>
      </c>
      <c r="G33" s="1">
        <v>1311001448</v>
      </c>
      <c r="H33" s="1">
        <v>50</v>
      </c>
      <c r="I33" s="1">
        <v>6.7</v>
      </c>
      <c r="J33" s="1">
        <v>78</v>
      </c>
      <c r="K33" s="1">
        <v>87</v>
      </c>
      <c r="L33" s="1" t="s">
        <v>16</v>
      </c>
    </row>
    <row r="34" spans="1:12" x14ac:dyDescent="0.25">
      <c r="A34" s="1" t="s">
        <v>17</v>
      </c>
      <c r="B34" s="1" t="s">
        <v>18</v>
      </c>
      <c r="C34" s="1">
        <v>2022</v>
      </c>
      <c r="D34" s="1">
        <v>11497</v>
      </c>
      <c r="E34" s="1">
        <v>7.4</v>
      </c>
      <c r="F34" s="1">
        <v>68</v>
      </c>
      <c r="G34" s="1">
        <v>518591098</v>
      </c>
      <c r="H34" s="1">
        <v>75</v>
      </c>
      <c r="I34" s="1">
        <v>22.9</v>
      </c>
      <c r="J34" s="1">
        <v>97</v>
      </c>
      <c r="K34" s="1">
        <v>76</v>
      </c>
      <c r="L34" s="1" t="s">
        <v>18</v>
      </c>
    </row>
    <row r="35" spans="1:12" x14ac:dyDescent="0.25">
      <c r="A35" s="1" t="s">
        <v>19</v>
      </c>
      <c r="B35" s="1" t="s">
        <v>20</v>
      </c>
      <c r="C35" s="1">
        <v>2022</v>
      </c>
      <c r="D35" s="1">
        <v>60984</v>
      </c>
      <c r="E35" s="1">
        <v>8.4</v>
      </c>
      <c r="F35" s="1">
        <v>63</v>
      </c>
      <c r="G35" s="1">
        <v>318736337</v>
      </c>
      <c r="H35" s="1">
        <v>67</v>
      </c>
      <c r="I35" s="1">
        <v>4.2</v>
      </c>
      <c r="J35" s="1">
        <v>82</v>
      </c>
      <c r="K35" s="1">
        <v>62</v>
      </c>
      <c r="L35" s="1" t="s">
        <v>20</v>
      </c>
    </row>
    <row r="36" spans="1:12" x14ac:dyDescent="0.25">
      <c r="A36" s="1" t="s">
        <v>21</v>
      </c>
      <c r="B36" s="1" t="s">
        <v>22</v>
      </c>
      <c r="C36" s="1">
        <v>2021</v>
      </c>
      <c r="D36" s="1">
        <v>34214</v>
      </c>
      <c r="E36" s="1">
        <v>13.2</v>
      </c>
      <c r="F36" s="1">
        <v>73</v>
      </c>
      <c r="G36" s="1">
        <v>1162132779</v>
      </c>
      <c r="H36" s="1">
        <v>85</v>
      </c>
      <c r="I36" s="1">
        <v>12.4</v>
      </c>
      <c r="J36" s="1">
        <v>74</v>
      </c>
      <c r="K36" s="1">
        <v>58</v>
      </c>
      <c r="L36" s="1" t="s">
        <v>14</v>
      </c>
    </row>
    <row r="37" spans="1:12" x14ac:dyDescent="0.25">
      <c r="A37" s="1" t="s">
        <v>23</v>
      </c>
      <c r="B37" s="1" t="s">
        <v>18</v>
      </c>
      <c r="C37" s="1">
        <v>2022</v>
      </c>
      <c r="D37" s="1">
        <v>67823</v>
      </c>
      <c r="E37" s="1">
        <v>5.3</v>
      </c>
      <c r="F37" s="1">
        <v>76</v>
      </c>
      <c r="G37" s="1">
        <v>607447700</v>
      </c>
      <c r="H37" s="1">
        <v>55</v>
      </c>
      <c r="I37" s="1">
        <v>4.5</v>
      </c>
      <c r="J37" s="1">
        <v>88</v>
      </c>
      <c r="K37" s="1">
        <v>58</v>
      </c>
      <c r="L37" s="1" t="s">
        <v>18</v>
      </c>
    </row>
    <row r="38" spans="1:12" x14ac:dyDescent="0.25">
      <c r="A38" s="1" t="s">
        <v>24</v>
      </c>
      <c r="B38" s="1" t="s">
        <v>16</v>
      </c>
      <c r="C38" s="1">
        <v>2022</v>
      </c>
      <c r="D38" s="1">
        <v>51976</v>
      </c>
      <c r="E38" s="1">
        <v>5.4</v>
      </c>
      <c r="F38" s="1">
        <v>73</v>
      </c>
      <c r="G38" s="1">
        <v>661569142</v>
      </c>
      <c r="H38" s="1">
        <v>63</v>
      </c>
      <c r="I38" s="1">
        <v>10.199999999999999</v>
      </c>
      <c r="J38" s="1">
        <v>99</v>
      </c>
      <c r="K38" s="1">
        <v>87</v>
      </c>
      <c r="L38" s="1" t="s">
        <v>16</v>
      </c>
    </row>
    <row r="39" spans="1:12" x14ac:dyDescent="0.25">
      <c r="A39" s="1" t="s">
        <v>25</v>
      </c>
      <c r="B39" s="1" t="s">
        <v>26</v>
      </c>
      <c r="C39" s="1">
        <v>2020</v>
      </c>
      <c r="D39" s="1">
        <v>61612</v>
      </c>
      <c r="E39" s="1">
        <v>6.8</v>
      </c>
      <c r="F39" s="1">
        <v>84</v>
      </c>
      <c r="G39" s="1">
        <v>1335176541</v>
      </c>
      <c r="H39" s="1">
        <v>63</v>
      </c>
      <c r="I39" s="1">
        <v>14.9</v>
      </c>
      <c r="J39" s="1">
        <v>73</v>
      </c>
      <c r="K39" s="1">
        <v>69</v>
      </c>
      <c r="L39" s="1" t="s">
        <v>26</v>
      </c>
    </row>
    <row r="40" spans="1:12" x14ac:dyDescent="0.25">
      <c r="A40" s="1" t="s">
        <v>27</v>
      </c>
      <c r="B40" s="1" t="s">
        <v>22</v>
      </c>
      <c r="C40" s="1">
        <v>2020</v>
      </c>
      <c r="D40" s="1">
        <v>13090</v>
      </c>
      <c r="E40" s="1">
        <v>12.9</v>
      </c>
      <c r="F40" s="1">
        <v>62</v>
      </c>
      <c r="G40" s="1">
        <v>805568777</v>
      </c>
      <c r="H40" s="1">
        <v>69</v>
      </c>
      <c r="I40" s="1">
        <v>13</v>
      </c>
      <c r="J40" s="1">
        <v>70</v>
      </c>
      <c r="K40" s="1">
        <v>33</v>
      </c>
      <c r="L40" s="1" t="s">
        <v>14</v>
      </c>
    </row>
    <row r="41" spans="1:12" x14ac:dyDescent="0.25">
      <c r="A41" s="1" t="s">
        <v>28</v>
      </c>
      <c r="B41" s="1" t="s">
        <v>29</v>
      </c>
      <c r="C41" s="1">
        <v>2021</v>
      </c>
      <c r="D41" s="1">
        <v>50374</v>
      </c>
      <c r="E41" s="1">
        <v>14.6</v>
      </c>
      <c r="F41" s="1">
        <v>84</v>
      </c>
      <c r="G41" s="1">
        <v>325233161</v>
      </c>
      <c r="H41" s="1">
        <v>64</v>
      </c>
      <c r="I41" s="1">
        <v>13</v>
      </c>
      <c r="J41" s="1">
        <v>86</v>
      </c>
      <c r="K41" s="1">
        <v>50</v>
      </c>
      <c r="L41" s="1" t="s">
        <v>29</v>
      </c>
    </row>
    <row r="42" spans="1:12" x14ac:dyDescent="0.25">
      <c r="A42" s="1" t="s">
        <v>12</v>
      </c>
      <c r="B42" s="1" t="s">
        <v>13</v>
      </c>
      <c r="C42" s="1">
        <v>2022</v>
      </c>
      <c r="D42" s="1">
        <v>14668</v>
      </c>
      <c r="E42" s="1">
        <v>7.5</v>
      </c>
      <c r="F42" s="1">
        <v>82</v>
      </c>
      <c r="G42" s="1">
        <v>1036423983</v>
      </c>
      <c r="H42" s="1">
        <v>52</v>
      </c>
      <c r="I42" s="1">
        <v>17.3</v>
      </c>
      <c r="J42" s="1">
        <v>78</v>
      </c>
      <c r="K42" s="1">
        <v>52</v>
      </c>
      <c r="L42" s="1" t="s">
        <v>14</v>
      </c>
    </row>
    <row r="43" spans="1:12" x14ac:dyDescent="0.25">
      <c r="A43" s="1" t="s">
        <v>15</v>
      </c>
      <c r="B43" s="1" t="s">
        <v>16</v>
      </c>
      <c r="C43" s="1">
        <v>2021</v>
      </c>
      <c r="D43" s="1">
        <v>59007</v>
      </c>
      <c r="E43" s="1">
        <v>3.5</v>
      </c>
      <c r="F43" s="1">
        <v>65</v>
      </c>
      <c r="G43" s="1">
        <v>502614406</v>
      </c>
      <c r="H43" s="1">
        <v>89</v>
      </c>
      <c r="I43" s="1">
        <v>17.899999999999999</v>
      </c>
      <c r="J43" s="1">
        <v>77</v>
      </c>
      <c r="K43" s="1">
        <v>55</v>
      </c>
      <c r="L43" s="1" t="s">
        <v>16</v>
      </c>
    </row>
    <row r="44" spans="1:12" x14ac:dyDescent="0.25">
      <c r="A44" s="1" t="s">
        <v>17</v>
      </c>
      <c r="B44" s="1" t="s">
        <v>18</v>
      </c>
      <c r="C44" s="1">
        <v>2022</v>
      </c>
      <c r="D44" s="1">
        <v>40567</v>
      </c>
      <c r="E44" s="1">
        <v>13</v>
      </c>
      <c r="F44" s="1">
        <v>60</v>
      </c>
      <c r="G44" s="1">
        <v>1073893367</v>
      </c>
      <c r="H44" s="1">
        <v>62</v>
      </c>
      <c r="I44" s="1">
        <v>13.7</v>
      </c>
      <c r="J44" s="1">
        <v>89</v>
      </c>
      <c r="K44" s="1">
        <v>40</v>
      </c>
      <c r="L44" s="1" t="s">
        <v>18</v>
      </c>
    </row>
    <row r="45" spans="1:12" x14ac:dyDescent="0.25">
      <c r="A45" s="1" t="s">
        <v>19</v>
      </c>
      <c r="B45" s="1" t="s">
        <v>20</v>
      </c>
      <c r="C45" s="1">
        <v>2021</v>
      </c>
      <c r="D45" s="1">
        <v>58923</v>
      </c>
      <c r="E45" s="1">
        <v>11.9</v>
      </c>
      <c r="F45" s="1">
        <v>85</v>
      </c>
      <c r="G45" s="1">
        <v>422096839</v>
      </c>
      <c r="H45" s="1">
        <v>65</v>
      </c>
      <c r="I45" s="1">
        <v>10.1</v>
      </c>
      <c r="J45" s="1">
        <v>87</v>
      </c>
      <c r="K45" s="1">
        <v>81</v>
      </c>
      <c r="L45" s="1" t="s">
        <v>20</v>
      </c>
    </row>
    <row r="46" spans="1:12" x14ac:dyDescent="0.25">
      <c r="A46" s="1" t="s">
        <v>21</v>
      </c>
      <c r="B46" s="1" t="s">
        <v>22</v>
      </c>
      <c r="C46" s="1">
        <v>2020</v>
      </c>
      <c r="D46" s="1">
        <v>49810</v>
      </c>
      <c r="E46" s="1">
        <v>10.4</v>
      </c>
      <c r="F46" s="1">
        <v>73</v>
      </c>
      <c r="G46" s="1">
        <v>1099672665</v>
      </c>
      <c r="H46" s="1">
        <v>78</v>
      </c>
      <c r="I46" s="1">
        <v>9.8000000000000007</v>
      </c>
      <c r="J46" s="1">
        <v>71</v>
      </c>
      <c r="K46" s="1">
        <v>58</v>
      </c>
      <c r="L46" s="1" t="s">
        <v>14</v>
      </c>
    </row>
    <row r="47" spans="1:12" x14ac:dyDescent="0.25">
      <c r="A47" s="1" t="s">
        <v>23</v>
      </c>
      <c r="B47" s="1" t="s">
        <v>18</v>
      </c>
      <c r="C47" s="1">
        <v>2021</v>
      </c>
      <c r="D47" s="1">
        <v>41139</v>
      </c>
      <c r="E47" s="1">
        <v>9.6</v>
      </c>
      <c r="F47" s="1">
        <v>66</v>
      </c>
      <c r="G47" s="1">
        <v>592002155</v>
      </c>
      <c r="H47" s="1">
        <v>68</v>
      </c>
      <c r="I47" s="1">
        <v>15.4</v>
      </c>
      <c r="J47" s="1">
        <v>93</v>
      </c>
      <c r="K47" s="1">
        <v>60</v>
      </c>
      <c r="L47" s="1" t="s">
        <v>18</v>
      </c>
    </row>
    <row r="48" spans="1:12" x14ac:dyDescent="0.25">
      <c r="A48" s="1" t="s">
        <v>24</v>
      </c>
      <c r="B48" s="1" t="s">
        <v>16</v>
      </c>
      <c r="C48" s="1">
        <v>2020</v>
      </c>
      <c r="D48" s="1">
        <v>33558</v>
      </c>
      <c r="E48" s="1">
        <v>8.6999999999999993</v>
      </c>
      <c r="F48" s="1">
        <v>74</v>
      </c>
      <c r="G48" s="1">
        <v>1014884760</v>
      </c>
      <c r="H48" s="1">
        <v>58</v>
      </c>
      <c r="I48" s="1">
        <v>21.6</v>
      </c>
      <c r="J48" s="1">
        <v>74</v>
      </c>
      <c r="K48" s="1">
        <v>62</v>
      </c>
      <c r="L48" s="1" t="s">
        <v>16</v>
      </c>
    </row>
    <row r="49" spans="1:12" x14ac:dyDescent="0.25">
      <c r="A49" s="1" t="s">
        <v>25</v>
      </c>
      <c r="B49" s="1" t="s">
        <v>26</v>
      </c>
      <c r="C49" s="1">
        <v>2020</v>
      </c>
      <c r="D49" s="1">
        <v>54191</v>
      </c>
      <c r="E49" s="1">
        <v>10.1</v>
      </c>
      <c r="F49" s="1">
        <v>60</v>
      </c>
      <c r="G49" s="1">
        <v>53256055</v>
      </c>
      <c r="H49" s="1">
        <v>61</v>
      </c>
      <c r="I49" s="1">
        <v>6.1</v>
      </c>
      <c r="J49" s="1">
        <v>73</v>
      </c>
      <c r="K49" s="1">
        <v>89</v>
      </c>
      <c r="L49" s="1" t="s">
        <v>26</v>
      </c>
    </row>
    <row r="50" spans="1:12" x14ac:dyDescent="0.25">
      <c r="A50" s="1" t="s">
        <v>27</v>
      </c>
      <c r="B50" s="1" t="s">
        <v>22</v>
      </c>
      <c r="C50" s="1">
        <v>2021</v>
      </c>
      <c r="D50" s="1">
        <v>3025</v>
      </c>
      <c r="E50" s="1">
        <v>16.600000000000001</v>
      </c>
      <c r="F50" s="1">
        <v>81</v>
      </c>
      <c r="G50" s="1">
        <v>852373935</v>
      </c>
      <c r="H50" s="1">
        <v>63</v>
      </c>
      <c r="I50" s="1">
        <v>8.3000000000000007</v>
      </c>
      <c r="J50" s="1">
        <v>96</v>
      </c>
      <c r="K50" s="1">
        <v>44</v>
      </c>
      <c r="L50" s="1" t="s">
        <v>14</v>
      </c>
    </row>
    <row r="51" spans="1:12" x14ac:dyDescent="0.25">
      <c r="A51" s="1" t="s">
        <v>28</v>
      </c>
      <c r="B51" s="1" t="s">
        <v>29</v>
      </c>
      <c r="C51" s="1">
        <v>2022</v>
      </c>
      <c r="D51" s="1">
        <v>11842</v>
      </c>
      <c r="E51" s="1">
        <v>14.8</v>
      </c>
      <c r="F51" s="1">
        <v>61</v>
      </c>
      <c r="G51" s="1">
        <v>103435563</v>
      </c>
      <c r="H51" s="1">
        <v>79</v>
      </c>
      <c r="I51" s="1">
        <v>5</v>
      </c>
      <c r="J51" s="1">
        <v>81</v>
      </c>
      <c r="K51" s="1">
        <v>59</v>
      </c>
      <c r="L51" s="1" t="s">
        <v>29</v>
      </c>
    </row>
    <row r="52" spans="1:12" x14ac:dyDescent="0.25">
      <c r="A52" s="1" t="s">
        <v>12</v>
      </c>
      <c r="B52" s="1" t="s">
        <v>13</v>
      </c>
      <c r="C52" s="1">
        <v>2022</v>
      </c>
      <c r="D52" s="1">
        <v>57086</v>
      </c>
      <c r="E52" s="1">
        <v>3.7</v>
      </c>
      <c r="F52" s="1">
        <v>70</v>
      </c>
      <c r="G52" s="1">
        <v>407781416</v>
      </c>
      <c r="H52" s="1">
        <v>86</v>
      </c>
      <c r="I52" s="1">
        <v>12.4</v>
      </c>
      <c r="J52" s="1">
        <v>80</v>
      </c>
      <c r="K52" s="1">
        <v>67</v>
      </c>
      <c r="L52" s="1" t="s">
        <v>14</v>
      </c>
    </row>
    <row r="53" spans="1:12" x14ac:dyDescent="0.25">
      <c r="A53" s="1" t="s">
        <v>15</v>
      </c>
      <c r="B53" s="1" t="s">
        <v>16</v>
      </c>
      <c r="C53" s="1">
        <v>2020</v>
      </c>
      <c r="D53" s="1">
        <v>58516</v>
      </c>
      <c r="E53" s="1">
        <v>7.2</v>
      </c>
      <c r="F53" s="1">
        <v>76</v>
      </c>
      <c r="G53" s="1">
        <v>982998397</v>
      </c>
      <c r="H53" s="1">
        <v>54</v>
      </c>
      <c r="I53" s="1">
        <v>17.899999999999999</v>
      </c>
      <c r="J53" s="1">
        <v>100</v>
      </c>
      <c r="K53" s="1">
        <v>78</v>
      </c>
      <c r="L53" s="1" t="s">
        <v>16</v>
      </c>
    </row>
    <row r="54" spans="1:12" x14ac:dyDescent="0.25">
      <c r="A54" s="1" t="s">
        <v>17</v>
      </c>
      <c r="B54" s="1" t="s">
        <v>18</v>
      </c>
      <c r="C54" s="1">
        <v>2021</v>
      </c>
      <c r="D54" s="1">
        <v>29296</v>
      </c>
      <c r="E54" s="1">
        <v>16.100000000000001</v>
      </c>
      <c r="F54" s="1">
        <v>65</v>
      </c>
      <c r="G54" s="1">
        <v>1484677109</v>
      </c>
      <c r="H54" s="1">
        <v>64</v>
      </c>
      <c r="I54" s="1">
        <v>11.6</v>
      </c>
      <c r="J54" s="1">
        <v>87</v>
      </c>
      <c r="K54" s="1">
        <v>37</v>
      </c>
      <c r="L54" s="1" t="s">
        <v>18</v>
      </c>
    </row>
    <row r="55" spans="1:12" x14ac:dyDescent="0.25">
      <c r="A55" s="1" t="s">
        <v>19</v>
      </c>
      <c r="B55" s="1" t="s">
        <v>20</v>
      </c>
      <c r="C55" s="1">
        <v>2022</v>
      </c>
      <c r="D55" s="1">
        <v>20608</v>
      </c>
      <c r="E55" s="1">
        <v>5.6</v>
      </c>
      <c r="F55" s="1">
        <v>77</v>
      </c>
      <c r="G55" s="1">
        <v>1036525703</v>
      </c>
      <c r="H55" s="1">
        <v>83</v>
      </c>
      <c r="I55" s="1">
        <v>24.6</v>
      </c>
      <c r="J55" s="1">
        <v>88</v>
      </c>
      <c r="K55" s="1">
        <v>68</v>
      </c>
      <c r="L55" s="1" t="s">
        <v>20</v>
      </c>
    </row>
    <row r="56" spans="1:12" x14ac:dyDescent="0.25">
      <c r="A56" s="1" t="s">
        <v>21</v>
      </c>
      <c r="B56" s="1" t="s">
        <v>22</v>
      </c>
      <c r="C56" s="1">
        <v>2021</v>
      </c>
      <c r="D56" s="1">
        <v>22232</v>
      </c>
      <c r="E56" s="1">
        <v>16.8</v>
      </c>
      <c r="F56" s="1">
        <v>80</v>
      </c>
      <c r="G56" s="1">
        <v>1417363838</v>
      </c>
      <c r="H56" s="1">
        <v>79</v>
      </c>
      <c r="I56" s="1">
        <v>17</v>
      </c>
      <c r="J56" s="1">
        <v>90</v>
      </c>
      <c r="K56" s="1">
        <v>47</v>
      </c>
      <c r="L56" s="1" t="s">
        <v>14</v>
      </c>
    </row>
    <row r="57" spans="1:12" x14ac:dyDescent="0.25">
      <c r="A57" s="1" t="s">
        <v>23</v>
      </c>
      <c r="B57" s="1" t="s">
        <v>18</v>
      </c>
      <c r="C57" s="1">
        <v>2020</v>
      </c>
      <c r="D57" s="1">
        <v>47638</v>
      </c>
      <c r="E57" s="1">
        <v>16.7</v>
      </c>
      <c r="F57" s="1">
        <v>84</v>
      </c>
      <c r="G57" s="1">
        <v>653352950</v>
      </c>
      <c r="H57" s="1">
        <v>77</v>
      </c>
      <c r="I57" s="1">
        <v>20.6</v>
      </c>
      <c r="J57" s="1">
        <v>70</v>
      </c>
      <c r="K57" s="1">
        <v>36</v>
      </c>
      <c r="L57" s="1" t="s">
        <v>18</v>
      </c>
    </row>
    <row r="58" spans="1:12" x14ac:dyDescent="0.25">
      <c r="A58" s="1" t="s">
        <v>24</v>
      </c>
      <c r="B58" s="1" t="s">
        <v>16</v>
      </c>
      <c r="C58" s="1">
        <v>2022</v>
      </c>
      <c r="D58" s="1">
        <v>15907</v>
      </c>
      <c r="E58" s="1">
        <v>8.4</v>
      </c>
      <c r="F58" s="1">
        <v>70</v>
      </c>
      <c r="G58" s="1">
        <v>385133136</v>
      </c>
      <c r="H58" s="1">
        <v>69</v>
      </c>
      <c r="I58" s="1">
        <v>16.5</v>
      </c>
      <c r="J58" s="1">
        <v>97</v>
      </c>
      <c r="K58" s="1">
        <v>82</v>
      </c>
      <c r="L58" s="1" t="s">
        <v>16</v>
      </c>
    </row>
    <row r="59" spans="1:12" x14ac:dyDescent="0.25">
      <c r="A59" s="1" t="s">
        <v>25</v>
      </c>
      <c r="B59" s="1" t="s">
        <v>26</v>
      </c>
      <c r="C59" s="1">
        <v>2021</v>
      </c>
      <c r="D59" s="1">
        <v>17817</v>
      </c>
      <c r="E59" s="1">
        <v>3.8</v>
      </c>
      <c r="F59" s="1">
        <v>75</v>
      </c>
      <c r="G59" s="1">
        <v>868606524</v>
      </c>
      <c r="H59" s="1">
        <v>57</v>
      </c>
      <c r="I59" s="1">
        <v>4.9000000000000004</v>
      </c>
      <c r="J59" s="1">
        <v>89</v>
      </c>
      <c r="K59" s="1">
        <v>89</v>
      </c>
      <c r="L59" s="1" t="s">
        <v>26</v>
      </c>
    </row>
    <row r="60" spans="1:12" x14ac:dyDescent="0.25">
      <c r="A60" s="1" t="s">
        <v>27</v>
      </c>
      <c r="B60" s="1" t="s">
        <v>22</v>
      </c>
      <c r="C60" s="1">
        <v>2022</v>
      </c>
      <c r="D60" s="1">
        <v>28143</v>
      </c>
      <c r="E60" s="1">
        <v>13.8</v>
      </c>
      <c r="F60" s="1">
        <v>84</v>
      </c>
      <c r="G60" s="1">
        <v>147609180</v>
      </c>
      <c r="H60" s="1">
        <v>76</v>
      </c>
      <c r="I60" s="1">
        <v>3.6</v>
      </c>
      <c r="J60" s="1">
        <v>75</v>
      </c>
      <c r="K60" s="1">
        <v>54</v>
      </c>
      <c r="L60" s="1" t="s">
        <v>14</v>
      </c>
    </row>
    <row r="61" spans="1:12" x14ac:dyDescent="0.25">
      <c r="A61" s="1" t="s">
        <v>28</v>
      </c>
      <c r="B61" s="1" t="s">
        <v>29</v>
      </c>
      <c r="C61" s="1">
        <v>2022</v>
      </c>
      <c r="D61" s="1">
        <v>27234</v>
      </c>
      <c r="E61" s="1">
        <v>8.3000000000000007</v>
      </c>
      <c r="F61" s="1">
        <v>84</v>
      </c>
      <c r="G61" s="1">
        <v>990411739</v>
      </c>
      <c r="H61" s="1">
        <v>91</v>
      </c>
      <c r="I61" s="1">
        <v>10.7</v>
      </c>
      <c r="J61" s="1">
        <v>80</v>
      </c>
      <c r="K61" s="1">
        <v>58</v>
      </c>
      <c r="L61" s="1" t="s">
        <v>29</v>
      </c>
    </row>
    <row r="62" spans="1:12" x14ac:dyDescent="0.25">
      <c r="A62" s="1" t="s">
        <v>12</v>
      </c>
      <c r="B62" s="1" t="s">
        <v>13</v>
      </c>
      <c r="C62" s="1">
        <v>2021</v>
      </c>
      <c r="D62" s="1">
        <v>49367</v>
      </c>
      <c r="E62" s="1">
        <v>3.3</v>
      </c>
      <c r="F62" s="1">
        <v>70</v>
      </c>
      <c r="G62" s="1">
        <v>548157662</v>
      </c>
      <c r="H62" s="1">
        <v>68</v>
      </c>
      <c r="I62" s="1">
        <v>4.4000000000000004</v>
      </c>
      <c r="J62" s="1">
        <v>99</v>
      </c>
      <c r="K62" s="1">
        <v>71</v>
      </c>
      <c r="L62" s="1" t="s">
        <v>14</v>
      </c>
    </row>
    <row r="63" spans="1:12" x14ac:dyDescent="0.25">
      <c r="A63" s="1" t="s">
        <v>15</v>
      </c>
      <c r="B63" s="1" t="s">
        <v>16</v>
      </c>
      <c r="C63" s="1">
        <v>2021</v>
      </c>
      <c r="D63" s="1">
        <v>10866</v>
      </c>
      <c r="E63" s="1">
        <v>3.7</v>
      </c>
      <c r="F63" s="1">
        <v>83</v>
      </c>
      <c r="G63" s="1">
        <v>1419064325</v>
      </c>
      <c r="H63" s="1">
        <v>76</v>
      </c>
      <c r="I63" s="1">
        <v>15</v>
      </c>
      <c r="J63" s="1">
        <v>100</v>
      </c>
      <c r="K63" s="1">
        <v>76</v>
      </c>
      <c r="L63" s="1" t="s">
        <v>16</v>
      </c>
    </row>
    <row r="64" spans="1:12" x14ac:dyDescent="0.25">
      <c r="A64" s="1" t="s">
        <v>17</v>
      </c>
      <c r="B64" s="1" t="s">
        <v>18</v>
      </c>
      <c r="C64" s="1">
        <v>2022</v>
      </c>
      <c r="D64" s="1">
        <v>49125</v>
      </c>
      <c r="E64" s="1">
        <v>8.8000000000000007</v>
      </c>
      <c r="F64" s="1">
        <v>67</v>
      </c>
      <c r="G64" s="1">
        <v>989617288</v>
      </c>
      <c r="H64" s="1">
        <v>51</v>
      </c>
      <c r="I64" s="1">
        <v>4.0999999999999996</v>
      </c>
      <c r="J64" s="1">
        <v>78</v>
      </c>
      <c r="K64" s="1">
        <v>86</v>
      </c>
      <c r="L64" s="1" t="s">
        <v>18</v>
      </c>
    </row>
    <row r="65" spans="1:12" x14ac:dyDescent="0.25">
      <c r="A65" s="1" t="s">
        <v>19</v>
      </c>
      <c r="B65" s="1" t="s">
        <v>20</v>
      </c>
      <c r="C65" s="1">
        <v>2021</v>
      </c>
      <c r="D65" s="1">
        <v>15389</v>
      </c>
      <c r="E65" s="1">
        <v>14.4</v>
      </c>
      <c r="F65" s="1">
        <v>76</v>
      </c>
      <c r="G65" s="1">
        <v>1460834804</v>
      </c>
      <c r="H65" s="1">
        <v>93</v>
      </c>
      <c r="I65" s="1">
        <v>10.5</v>
      </c>
      <c r="J65" s="1">
        <v>80</v>
      </c>
      <c r="K65" s="1">
        <v>77</v>
      </c>
      <c r="L65" s="1" t="s">
        <v>20</v>
      </c>
    </row>
    <row r="66" spans="1:12" x14ac:dyDescent="0.25">
      <c r="A66" s="1" t="s">
        <v>21</v>
      </c>
      <c r="B66" s="1" t="s">
        <v>22</v>
      </c>
      <c r="C66" s="1">
        <v>2021</v>
      </c>
      <c r="D66" s="1">
        <v>34433</v>
      </c>
      <c r="E66" s="1">
        <v>14</v>
      </c>
      <c r="F66" s="1">
        <v>75</v>
      </c>
      <c r="G66" s="1">
        <v>399265416</v>
      </c>
      <c r="H66" s="1">
        <v>61</v>
      </c>
      <c r="I66" s="1">
        <v>15.4</v>
      </c>
      <c r="J66" s="1">
        <v>91</v>
      </c>
      <c r="K66" s="1">
        <v>39</v>
      </c>
      <c r="L66" s="1" t="s">
        <v>14</v>
      </c>
    </row>
    <row r="67" spans="1:12" x14ac:dyDescent="0.25">
      <c r="A67" s="1" t="s">
        <v>23</v>
      </c>
      <c r="B67" s="1" t="s">
        <v>18</v>
      </c>
      <c r="C67" s="1">
        <v>2022</v>
      </c>
      <c r="D67" s="1">
        <v>65671</v>
      </c>
      <c r="E67" s="1">
        <v>4.2</v>
      </c>
      <c r="F67" s="1">
        <v>81</v>
      </c>
      <c r="G67" s="1">
        <v>997000219</v>
      </c>
      <c r="H67" s="1">
        <v>55</v>
      </c>
      <c r="I67" s="1">
        <v>11.8</v>
      </c>
      <c r="J67" s="1">
        <v>88</v>
      </c>
      <c r="K67" s="1">
        <v>83</v>
      </c>
      <c r="L67" s="1" t="s">
        <v>18</v>
      </c>
    </row>
    <row r="68" spans="1:12" x14ac:dyDescent="0.25">
      <c r="A68" s="1" t="s">
        <v>24</v>
      </c>
      <c r="B68" s="1" t="s">
        <v>16</v>
      </c>
      <c r="C68" s="1">
        <v>2020</v>
      </c>
      <c r="D68" s="1">
        <v>29118</v>
      </c>
      <c r="E68" s="1">
        <v>9.6999999999999993</v>
      </c>
      <c r="F68" s="1">
        <v>75</v>
      </c>
      <c r="G68" s="1">
        <v>918107039</v>
      </c>
      <c r="H68" s="1">
        <v>69</v>
      </c>
      <c r="I68" s="1">
        <v>8.3000000000000007</v>
      </c>
      <c r="J68" s="1">
        <v>80</v>
      </c>
      <c r="K68" s="1">
        <v>70</v>
      </c>
      <c r="L68" s="1" t="s">
        <v>16</v>
      </c>
    </row>
    <row r="69" spans="1:12" x14ac:dyDescent="0.25">
      <c r="A69" s="1" t="s">
        <v>25</v>
      </c>
      <c r="B69" s="1" t="s">
        <v>26</v>
      </c>
      <c r="C69" s="1">
        <v>2022</v>
      </c>
      <c r="D69" s="1">
        <v>7299</v>
      </c>
      <c r="E69" s="1">
        <v>16.3</v>
      </c>
      <c r="F69" s="1">
        <v>65</v>
      </c>
      <c r="G69" s="1">
        <v>1171399308</v>
      </c>
      <c r="H69" s="1">
        <v>81</v>
      </c>
      <c r="I69" s="1">
        <v>15.2</v>
      </c>
      <c r="J69" s="1">
        <v>84</v>
      </c>
      <c r="K69" s="1">
        <v>53</v>
      </c>
      <c r="L69" s="1" t="s">
        <v>26</v>
      </c>
    </row>
    <row r="70" spans="1:12" x14ac:dyDescent="0.25">
      <c r="A70" s="1" t="s">
        <v>27</v>
      </c>
      <c r="B70" s="1" t="s">
        <v>22</v>
      </c>
      <c r="C70" s="1">
        <v>2020</v>
      </c>
      <c r="D70" s="1">
        <v>12135</v>
      </c>
      <c r="E70" s="1">
        <v>7.1</v>
      </c>
      <c r="F70" s="1">
        <v>70</v>
      </c>
      <c r="G70" s="1">
        <v>312512490</v>
      </c>
      <c r="H70" s="1">
        <v>60</v>
      </c>
      <c r="I70" s="1">
        <v>17.600000000000001</v>
      </c>
      <c r="J70" s="1">
        <v>79</v>
      </c>
      <c r="K70" s="1">
        <v>74</v>
      </c>
      <c r="L70" s="1" t="s">
        <v>14</v>
      </c>
    </row>
    <row r="71" spans="1:12" x14ac:dyDescent="0.25">
      <c r="A71" s="1" t="s">
        <v>28</v>
      </c>
      <c r="B71" s="1" t="s">
        <v>29</v>
      </c>
      <c r="C71" s="1">
        <v>2022</v>
      </c>
      <c r="D71" s="1">
        <v>12646</v>
      </c>
      <c r="E71" s="1">
        <v>8.1</v>
      </c>
      <c r="F71" s="1">
        <v>69</v>
      </c>
      <c r="G71" s="1">
        <v>791588961</v>
      </c>
      <c r="H71" s="1">
        <v>53</v>
      </c>
      <c r="I71" s="1">
        <v>8.1</v>
      </c>
      <c r="J71" s="1">
        <v>99</v>
      </c>
      <c r="K71" s="1">
        <v>75</v>
      </c>
      <c r="L71" s="1" t="s">
        <v>29</v>
      </c>
    </row>
    <row r="72" spans="1:12" x14ac:dyDescent="0.25">
      <c r="A72" s="1" t="s">
        <v>12</v>
      </c>
      <c r="B72" s="1" t="s">
        <v>13</v>
      </c>
      <c r="C72" s="1">
        <v>2022</v>
      </c>
      <c r="D72" s="1">
        <v>48945</v>
      </c>
      <c r="E72" s="1">
        <v>4.3</v>
      </c>
      <c r="F72" s="1">
        <v>72</v>
      </c>
      <c r="G72" s="1">
        <v>1208978621</v>
      </c>
      <c r="H72" s="1">
        <v>88</v>
      </c>
      <c r="I72" s="1">
        <v>6.4</v>
      </c>
      <c r="J72" s="1">
        <v>100</v>
      </c>
      <c r="K72" s="1">
        <v>47</v>
      </c>
      <c r="L72" s="1" t="s">
        <v>14</v>
      </c>
    </row>
    <row r="73" spans="1:12" x14ac:dyDescent="0.25">
      <c r="A73" s="1" t="s">
        <v>15</v>
      </c>
      <c r="B73" s="1" t="s">
        <v>16</v>
      </c>
      <c r="C73" s="1">
        <v>2021</v>
      </c>
      <c r="D73" s="1">
        <v>50453</v>
      </c>
      <c r="E73" s="1">
        <v>14</v>
      </c>
      <c r="F73" s="1">
        <v>66</v>
      </c>
      <c r="G73" s="1">
        <v>1446031562</v>
      </c>
      <c r="H73" s="1">
        <v>80</v>
      </c>
      <c r="I73" s="1">
        <v>9.6999999999999993</v>
      </c>
      <c r="J73" s="1">
        <v>92</v>
      </c>
      <c r="K73" s="1">
        <v>72</v>
      </c>
      <c r="L73" s="1" t="s">
        <v>16</v>
      </c>
    </row>
    <row r="74" spans="1:12" x14ac:dyDescent="0.25">
      <c r="A74" s="1" t="s">
        <v>17</v>
      </c>
      <c r="B74" s="1" t="s">
        <v>18</v>
      </c>
      <c r="C74" s="1">
        <v>2020</v>
      </c>
      <c r="D74" s="1">
        <v>51145</v>
      </c>
      <c r="E74" s="1">
        <v>17</v>
      </c>
      <c r="F74" s="1">
        <v>83</v>
      </c>
      <c r="G74" s="1">
        <v>15001276</v>
      </c>
      <c r="H74" s="1">
        <v>94</v>
      </c>
      <c r="I74" s="1">
        <v>18.600000000000001</v>
      </c>
      <c r="J74" s="1">
        <v>71</v>
      </c>
      <c r="K74" s="1">
        <v>53</v>
      </c>
      <c r="L74" s="1" t="s">
        <v>18</v>
      </c>
    </row>
    <row r="75" spans="1:12" x14ac:dyDescent="0.25">
      <c r="A75" s="1" t="s">
        <v>19</v>
      </c>
      <c r="B75" s="1" t="s">
        <v>20</v>
      </c>
      <c r="C75" s="1">
        <v>2020</v>
      </c>
      <c r="D75" s="1">
        <v>66826</v>
      </c>
      <c r="E75" s="1">
        <v>12.2</v>
      </c>
      <c r="F75" s="1">
        <v>76</v>
      </c>
      <c r="G75" s="1">
        <v>977544151</v>
      </c>
      <c r="H75" s="1">
        <v>63</v>
      </c>
      <c r="I75" s="1">
        <v>17</v>
      </c>
      <c r="J75" s="1">
        <v>84</v>
      </c>
      <c r="K75" s="1">
        <v>51</v>
      </c>
      <c r="L75" s="1" t="s">
        <v>20</v>
      </c>
    </row>
    <row r="76" spans="1:12" x14ac:dyDescent="0.25">
      <c r="A76" s="1" t="s">
        <v>21</v>
      </c>
      <c r="B76" s="1" t="s">
        <v>22</v>
      </c>
      <c r="C76" s="1">
        <v>2020</v>
      </c>
      <c r="D76" s="1">
        <v>59521</v>
      </c>
      <c r="E76" s="1">
        <v>14.9</v>
      </c>
      <c r="F76" s="1">
        <v>68</v>
      </c>
      <c r="G76" s="1">
        <v>632459210</v>
      </c>
      <c r="H76" s="1">
        <v>92</v>
      </c>
      <c r="I76" s="1">
        <v>2.6</v>
      </c>
      <c r="J76" s="1">
        <v>78</v>
      </c>
      <c r="K76" s="1">
        <v>57</v>
      </c>
      <c r="L76" s="1" t="s">
        <v>14</v>
      </c>
    </row>
    <row r="77" spans="1:12" x14ac:dyDescent="0.25">
      <c r="A77" s="1" t="s">
        <v>23</v>
      </c>
      <c r="B77" s="1" t="s">
        <v>18</v>
      </c>
      <c r="C77" s="1">
        <v>2020</v>
      </c>
      <c r="D77" s="1">
        <v>57924</v>
      </c>
      <c r="E77" s="1">
        <v>6.1</v>
      </c>
      <c r="F77" s="1">
        <v>65</v>
      </c>
      <c r="G77" s="1">
        <v>100505635</v>
      </c>
      <c r="H77" s="1">
        <v>93</v>
      </c>
      <c r="I77" s="1">
        <v>21.2</v>
      </c>
      <c r="J77" s="1">
        <v>98</v>
      </c>
      <c r="K77" s="1">
        <v>59</v>
      </c>
      <c r="L77" s="1" t="s">
        <v>18</v>
      </c>
    </row>
    <row r="78" spans="1:12" x14ac:dyDescent="0.25">
      <c r="A78" s="1" t="s">
        <v>24</v>
      </c>
      <c r="B78" s="1" t="s">
        <v>16</v>
      </c>
      <c r="C78" s="1">
        <v>2020</v>
      </c>
      <c r="D78" s="1">
        <v>25144</v>
      </c>
      <c r="E78" s="1">
        <v>10.9</v>
      </c>
      <c r="F78" s="1">
        <v>66</v>
      </c>
      <c r="G78" s="1">
        <v>463168449</v>
      </c>
      <c r="H78" s="1">
        <v>57</v>
      </c>
      <c r="I78" s="1">
        <v>12.8</v>
      </c>
      <c r="J78" s="1">
        <v>70</v>
      </c>
      <c r="K78" s="1">
        <v>39</v>
      </c>
      <c r="L78" s="1" t="s">
        <v>16</v>
      </c>
    </row>
    <row r="79" spans="1:12" x14ac:dyDescent="0.25">
      <c r="A79" s="1" t="s">
        <v>25</v>
      </c>
      <c r="B79" s="1" t="s">
        <v>26</v>
      </c>
      <c r="C79" s="1">
        <v>2020</v>
      </c>
      <c r="D79" s="1">
        <v>61636</v>
      </c>
      <c r="E79" s="1">
        <v>8.3000000000000007</v>
      </c>
      <c r="F79" s="1">
        <v>62</v>
      </c>
      <c r="G79" s="1">
        <v>536876061</v>
      </c>
      <c r="H79" s="1">
        <v>70</v>
      </c>
      <c r="I79" s="1">
        <v>20.6</v>
      </c>
      <c r="J79" s="1">
        <v>91</v>
      </c>
      <c r="K79" s="1">
        <v>90</v>
      </c>
      <c r="L79" s="1" t="s">
        <v>26</v>
      </c>
    </row>
    <row r="80" spans="1:12" x14ac:dyDescent="0.25">
      <c r="A80" s="1" t="s">
        <v>27</v>
      </c>
      <c r="B80" s="1" t="s">
        <v>22</v>
      </c>
      <c r="C80" s="1">
        <v>2022</v>
      </c>
      <c r="D80" s="1">
        <v>63564</v>
      </c>
      <c r="E80" s="1">
        <v>7.5</v>
      </c>
      <c r="F80" s="1">
        <v>72</v>
      </c>
      <c r="G80" s="1">
        <v>939466196</v>
      </c>
      <c r="H80" s="1">
        <v>80</v>
      </c>
      <c r="I80" s="1">
        <v>14.8</v>
      </c>
      <c r="J80" s="1">
        <v>76</v>
      </c>
      <c r="K80" s="1">
        <v>66</v>
      </c>
      <c r="L80" s="1" t="s">
        <v>14</v>
      </c>
    </row>
    <row r="81" spans="1:12" x14ac:dyDescent="0.25">
      <c r="A81" s="1" t="s">
        <v>28</v>
      </c>
      <c r="B81" s="1" t="s">
        <v>29</v>
      </c>
      <c r="C81" s="1">
        <v>2020</v>
      </c>
      <c r="D81" s="1">
        <v>28071</v>
      </c>
      <c r="E81" s="1">
        <v>3.7</v>
      </c>
      <c r="F81" s="1">
        <v>82</v>
      </c>
      <c r="G81" s="1">
        <v>1366450380</v>
      </c>
      <c r="H81" s="1">
        <v>65</v>
      </c>
      <c r="I81" s="1">
        <v>9.1999999999999993</v>
      </c>
      <c r="J81" s="1">
        <v>82</v>
      </c>
      <c r="K81" s="1">
        <v>44</v>
      </c>
      <c r="L81" s="1" t="s">
        <v>29</v>
      </c>
    </row>
    <row r="82" spans="1:12" x14ac:dyDescent="0.25">
      <c r="A82" s="1" t="s">
        <v>12</v>
      </c>
      <c r="B82" s="1" t="s">
        <v>13</v>
      </c>
      <c r="C82" s="1">
        <v>2020</v>
      </c>
      <c r="D82" s="1">
        <v>19507</v>
      </c>
      <c r="E82" s="1">
        <v>7.3</v>
      </c>
      <c r="F82" s="1">
        <v>78</v>
      </c>
      <c r="G82" s="1">
        <v>1096584543</v>
      </c>
      <c r="H82" s="1">
        <v>76</v>
      </c>
      <c r="I82" s="1">
        <v>3.7</v>
      </c>
      <c r="J82" s="1">
        <v>77</v>
      </c>
      <c r="K82" s="1">
        <v>63</v>
      </c>
      <c r="L82" s="1" t="s">
        <v>14</v>
      </c>
    </row>
    <row r="83" spans="1:12" x14ac:dyDescent="0.25">
      <c r="A83" s="1" t="s">
        <v>15</v>
      </c>
      <c r="B83" s="1" t="s">
        <v>16</v>
      </c>
      <c r="C83" s="1">
        <v>2021</v>
      </c>
      <c r="D83" s="1">
        <v>55609</v>
      </c>
      <c r="E83" s="1">
        <v>16.600000000000001</v>
      </c>
      <c r="F83" s="1">
        <v>66</v>
      </c>
      <c r="G83" s="1">
        <v>1105966001</v>
      </c>
      <c r="H83" s="1">
        <v>56</v>
      </c>
      <c r="I83" s="1">
        <v>7.4</v>
      </c>
      <c r="J83" s="1">
        <v>74</v>
      </c>
      <c r="K83" s="1">
        <v>58</v>
      </c>
      <c r="L83" s="1" t="s">
        <v>16</v>
      </c>
    </row>
    <row r="84" spans="1:12" x14ac:dyDescent="0.25">
      <c r="A84" s="1" t="s">
        <v>17</v>
      </c>
      <c r="B84" s="1" t="s">
        <v>18</v>
      </c>
      <c r="C84" s="1">
        <v>2021</v>
      </c>
      <c r="D84" s="1">
        <v>68376</v>
      </c>
      <c r="E84" s="1">
        <v>6.3</v>
      </c>
      <c r="F84" s="1">
        <v>76</v>
      </c>
      <c r="G84" s="1">
        <v>1389242644</v>
      </c>
      <c r="H84" s="1">
        <v>64</v>
      </c>
      <c r="I84" s="1">
        <v>18.3</v>
      </c>
      <c r="J84" s="1">
        <v>79</v>
      </c>
      <c r="K84" s="1">
        <v>53</v>
      </c>
      <c r="L84" s="1" t="s">
        <v>18</v>
      </c>
    </row>
    <row r="85" spans="1:12" x14ac:dyDescent="0.25">
      <c r="A85" s="1" t="s">
        <v>19</v>
      </c>
      <c r="B85" s="1" t="s">
        <v>20</v>
      </c>
      <c r="C85" s="1">
        <v>2022</v>
      </c>
      <c r="D85" s="1">
        <v>4012</v>
      </c>
      <c r="E85" s="1">
        <v>7.6</v>
      </c>
      <c r="F85" s="1">
        <v>70</v>
      </c>
      <c r="G85" s="1">
        <v>823571094</v>
      </c>
      <c r="H85" s="1">
        <v>84</v>
      </c>
      <c r="I85" s="1">
        <v>16.899999999999999</v>
      </c>
      <c r="J85" s="1">
        <v>81</v>
      </c>
      <c r="K85" s="1">
        <v>75</v>
      </c>
      <c r="L85" s="1" t="s">
        <v>20</v>
      </c>
    </row>
    <row r="86" spans="1:12" x14ac:dyDescent="0.25">
      <c r="A86" s="1" t="s">
        <v>21</v>
      </c>
      <c r="B86" s="1" t="s">
        <v>22</v>
      </c>
      <c r="C86" s="1">
        <v>2021</v>
      </c>
      <c r="D86" s="1">
        <v>38104</v>
      </c>
      <c r="E86" s="1">
        <v>14.2</v>
      </c>
      <c r="F86" s="1">
        <v>81</v>
      </c>
      <c r="G86" s="1">
        <v>1127433910</v>
      </c>
      <c r="H86" s="1">
        <v>75</v>
      </c>
      <c r="I86" s="1">
        <v>22.8</v>
      </c>
      <c r="J86" s="1">
        <v>99</v>
      </c>
      <c r="K86" s="1">
        <v>32</v>
      </c>
      <c r="L86" s="1" t="s">
        <v>14</v>
      </c>
    </row>
    <row r="87" spans="1:12" x14ac:dyDescent="0.25">
      <c r="A87" s="1" t="s">
        <v>23</v>
      </c>
      <c r="B87" s="1" t="s">
        <v>18</v>
      </c>
      <c r="C87" s="1">
        <v>2020</v>
      </c>
      <c r="D87" s="1">
        <v>59393</v>
      </c>
      <c r="E87" s="1">
        <v>6.9</v>
      </c>
      <c r="F87" s="1">
        <v>64</v>
      </c>
      <c r="G87" s="1">
        <v>1018071697</v>
      </c>
      <c r="H87" s="1">
        <v>93</v>
      </c>
      <c r="I87" s="1">
        <v>24.4</v>
      </c>
      <c r="J87" s="1">
        <v>91</v>
      </c>
      <c r="K87" s="1">
        <v>57</v>
      </c>
      <c r="L87" s="1" t="s">
        <v>18</v>
      </c>
    </row>
    <row r="88" spans="1:12" x14ac:dyDescent="0.25">
      <c r="A88" s="1" t="s">
        <v>24</v>
      </c>
      <c r="B88" s="1" t="s">
        <v>16</v>
      </c>
      <c r="C88" s="1">
        <v>2021</v>
      </c>
      <c r="D88" s="1">
        <v>19696</v>
      </c>
      <c r="E88" s="1">
        <v>9.3000000000000007</v>
      </c>
      <c r="F88" s="1">
        <v>65</v>
      </c>
      <c r="G88" s="1">
        <v>453095962</v>
      </c>
      <c r="H88" s="1">
        <v>90</v>
      </c>
      <c r="I88" s="1">
        <v>10.3</v>
      </c>
      <c r="J88" s="1">
        <v>92</v>
      </c>
      <c r="K88" s="1">
        <v>72</v>
      </c>
      <c r="L88" s="1" t="s">
        <v>16</v>
      </c>
    </row>
    <row r="89" spans="1:12" x14ac:dyDescent="0.25">
      <c r="A89" s="1" t="s">
        <v>25</v>
      </c>
      <c r="B89" s="1" t="s">
        <v>26</v>
      </c>
      <c r="C89" s="1">
        <v>2021</v>
      </c>
      <c r="D89" s="1">
        <v>31117</v>
      </c>
      <c r="E89" s="1">
        <v>13.9</v>
      </c>
      <c r="F89" s="1">
        <v>63</v>
      </c>
      <c r="G89" s="1">
        <v>213430923</v>
      </c>
      <c r="H89" s="1">
        <v>95</v>
      </c>
      <c r="I89" s="1">
        <v>16.3</v>
      </c>
      <c r="J89" s="1">
        <v>72</v>
      </c>
      <c r="K89" s="1">
        <v>31</v>
      </c>
      <c r="L89" s="1" t="s">
        <v>26</v>
      </c>
    </row>
    <row r="90" spans="1:12" x14ac:dyDescent="0.25">
      <c r="A90" s="1" t="s">
        <v>27</v>
      </c>
      <c r="B90" s="1" t="s">
        <v>22</v>
      </c>
      <c r="C90" s="1">
        <v>2020</v>
      </c>
      <c r="D90" s="1">
        <v>59584</v>
      </c>
      <c r="E90" s="1">
        <v>7.8</v>
      </c>
      <c r="F90" s="1">
        <v>79</v>
      </c>
      <c r="G90" s="1">
        <v>78117296</v>
      </c>
      <c r="H90" s="1">
        <v>66</v>
      </c>
      <c r="I90" s="1">
        <v>11.9</v>
      </c>
      <c r="J90" s="1">
        <v>70</v>
      </c>
      <c r="K90" s="1">
        <v>55</v>
      </c>
      <c r="L90" s="1" t="s">
        <v>14</v>
      </c>
    </row>
    <row r="91" spans="1:12" x14ac:dyDescent="0.25">
      <c r="A91" s="1" t="s">
        <v>28</v>
      </c>
      <c r="B91" s="1" t="s">
        <v>29</v>
      </c>
      <c r="C91" s="1">
        <v>2020</v>
      </c>
      <c r="D91" s="1">
        <v>10134</v>
      </c>
      <c r="E91" s="1">
        <v>12.1</v>
      </c>
      <c r="F91" s="1">
        <v>69</v>
      </c>
      <c r="G91" s="1">
        <v>456672586</v>
      </c>
      <c r="H91" s="1">
        <v>84</v>
      </c>
      <c r="I91" s="1">
        <v>12.3</v>
      </c>
      <c r="J91" s="1">
        <v>93</v>
      </c>
      <c r="K91" s="1">
        <v>62</v>
      </c>
      <c r="L91" s="1" t="s">
        <v>29</v>
      </c>
    </row>
    <row r="92" spans="1:12" x14ac:dyDescent="0.25">
      <c r="A92" s="1" t="s">
        <v>12</v>
      </c>
      <c r="B92" s="1" t="s">
        <v>13</v>
      </c>
      <c r="C92" s="1">
        <v>2020</v>
      </c>
      <c r="D92" s="1">
        <v>50989</v>
      </c>
      <c r="E92" s="1">
        <v>12.6</v>
      </c>
      <c r="F92" s="1">
        <v>70</v>
      </c>
      <c r="G92" s="1">
        <v>1267573118</v>
      </c>
      <c r="H92" s="1">
        <v>88</v>
      </c>
      <c r="I92" s="1">
        <v>12.2</v>
      </c>
      <c r="J92" s="1">
        <v>78</v>
      </c>
      <c r="K92" s="1">
        <v>82</v>
      </c>
      <c r="L92" s="1" t="s">
        <v>14</v>
      </c>
    </row>
    <row r="93" spans="1:12" x14ac:dyDescent="0.25">
      <c r="A93" s="1" t="s">
        <v>15</v>
      </c>
      <c r="B93" s="1" t="s">
        <v>16</v>
      </c>
      <c r="C93" s="1">
        <v>2020</v>
      </c>
      <c r="D93" s="1">
        <v>59402</v>
      </c>
      <c r="E93" s="1">
        <v>13.1</v>
      </c>
      <c r="F93" s="1">
        <v>62</v>
      </c>
      <c r="G93" s="1">
        <v>527223019</v>
      </c>
      <c r="H93" s="1">
        <v>51</v>
      </c>
      <c r="I93" s="1">
        <v>17.7</v>
      </c>
      <c r="J93" s="1">
        <v>94</v>
      </c>
      <c r="K93" s="1">
        <v>32</v>
      </c>
      <c r="L93" s="1" t="s">
        <v>16</v>
      </c>
    </row>
    <row r="94" spans="1:12" x14ac:dyDescent="0.25">
      <c r="A94" s="1" t="s">
        <v>17</v>
      </c>
      <c r="B94" s="1" t="s">
        <v>18</v>
      </c>
      <c r="C94" s="1">
        <v>2021</v>
      </c>
      <c r="D94" s="1">
        <v>38360</v>
      </c>
      <c r="E94" s="1">
        <v>16.5</v>
      </c>
      <c r="F94" s="1">
        <v>74</v>
      </c>
      <c r="G94" s="1">
        <v>723344561</v>
      </c>
      <c r="H94" s="1">
        <v>50</v>
      </c>
      <c r="I94" s="1">
        <v>15.3</v>
      </c>
      <c r="J94" s="1">
        <v>89</v>
      </c>
      <c r="K94" s="1">
        <v>41</v>
      </c>
      <c r="L94" s="1" t="s">
        <v>18</v>
      </c>
    </row>
    <row r="95" spans="1:12" x14ac:dyDescent="0.25">
      <c r="A95" s="1" t="s">
        <v>19</v>
      </c>
      <c r="B95" s="1" t="s">
        <v>20</v>
      </c>
      <c r="C95" s="1">
        <v>2021</v>
      </c>
      <c r="D95" s="1">
        <v>66478</v>
      </c>
      <c r="E95" s="1">
        <v>3.3</v>
      </c>
      <c r="F95" s="1">
        <v>70</v>
      </c>
      <c r="G95" s="1">
        <v>561526459</v>
      </c>
      <c r="H95" s="1">
        <v>54</v>
      </c>
      <c r="I95" s="1">
        <v>17.5</v>
      </c>
      <c r="J95" s="1">
        <v>79</v>
      </c>
      <c r="K95" s="1">
        <v>89</v>
      </c>
      <c r="L95" s="1" t="s">
        <v>20</v>
      </c>
    </row>
    <row r="96" spans="1:12" x14ac:dyDescent="0.25">
      <c r="A96" s="1" t="s">
        <v>21</v>
      </c>
      <c r="B96" s="1" t="s">
        <v>22</v>
      </c>
      <c r="C96" s="1">
        <v>2021</v>
      </c>
      <c r="D96" s="1">
        <v>63151</v>
      </c>
      <c r="E96" s="1">
        <v>13.4</v>
      </c>
      <c r="F96" s="1">
        <v>63</v>
      </c>
      <c r="G96" s="1">
        <v>1256041242</v>
      </c>
      <c r="H96" s="1">
        <v>83</v>
      </c>
      <c r="I96" s="1">
        <v>24.6</v>
      </c>
      <c r="J96" s="1">
        <v>95</v>
      </c>
      <c r="K96" s="1">
        <v>69</v>
      </c>
      <c r="L96" s="1" t="s">
        <v>14</v>
      </c>
    </row>
    <row r="97" spans="1:12" x14ac:dyDescent="0.25">
      <c r="A97" s="1" t="s">
        <v>23</v>
      </c>
      <c r="B97" s="1" t="s">
        <v>18</v>
      </c>
      <c r="C97" s="1">
        <v>2020</v>
      </c>
      <c r="D97" s="1">
        <v>30004</v>
      </c>
      <c r="E97" s="1">
        <v>11.9</v>
      </c>
      <c r="F97" s="1">
        <v>67</v>
      </c>
      <c r="G97" s="1">
        <v>1284232344</v>
      </c>
      <c r="H97" s="1">
        <v>71</v>
      </c>
      <c r="I97" s="1">
        <v>4.5</v>
      </c>
      <c r="J97" s="1">
        <v>91</v>
      </c>
      <c r="K97" s="1">
        <v>50</v>
      </c>
      <c r="L97" s="1" t="s">
        <v>18</v>
      </c>
    </row>
    <row r="98" spans="1:12" x14ac:dyDescent="0.25">
      <c r="A98" s="1" t="s">
        <v>24</v>
      </c>
      <c r="B98" s="1" t="s">
        <v>16</v>
      </c>
      <c r="C98" s="1">
        <v>2022</v>
      </c>
      <c r="D98" s="1">
        <v>8301</v>
      </c>
      <c r="E98" s="1">
        <v>3.6</v>
      </c>
      <c r="F98" s="1">
        <v>71</v>
      </c>
      <c r="G98" s="1">
        <v>1222005245</v>
      </c>
      <c r="H98" s="1">
        <v>66</v>
      </c>
      <c r="I98" s="1">
        <v>14</v>
      </c>
      <c r="J98" s="1">
        <v>73</v>
      </c>
      <c r="K98" s="1">
        <v>36</v>
      </c>
      <c r="L98" s="1" t="s">
        <v>16</v>
      </c>
    </row>
    <row r="99" spans="1:12" x14ac:dyDescent="0.25">
      <c r="A99" s="1" t="s">
        <v>25</v>
      </c>
      <c r="B99" s="1" t="s">
        <v>26</v>
      </c>
      <c r="C99" s="1">
        <v>2021</v>
      </c>
      <c r="D99" s="1">
        <v>13745</v>
      </c>
      <c r="E99" s="1">
        <v>16.7</v>
      </c>
      <c r="F99" s="1">
        <v>83</v>
      </c>
      <c r="G99" s="1">
        <v>739964509</v>
      </c>
      <c r="H99" s="1">
        <v>56</v>
      </c>
      <c r="I99" s="1">
        <v>6.1</v>
      </c>
      <c r="J99" s="1">
        <v>87</v>
      </c>
      <c r="K99" s="1">
        <v>46</v>
      </c>
      <c r="L99" s="1" t="s">
        <v>26</v>
      </c>
    </row>
    <row r="100" spans="1:12" x14ac:dyDescent="0.25">
      <c r="A100" s="1" t="s">
        <v>27</v>
      </c>
      <c r="B100" s="1" t="s">
        <v>22</v>
      </c>
      <c r="C100" s="1">
        <v>2020</v>
      </c>
      <c r="D100" s="1">
        <v>61326</v>
      </c>
      <c r="E100" s="1">
        <v>14.3</v>
      </c>
      <c r="F100" s="1">
        <v>71</v>
      </c>
      <c r="G100" s="1">
        <v>286281086</v>
      </c>
      <c r="H100" s="1">
        <v>57</v>
      </c>
      <c r="I100" s="1">
        <v>11</v>
      </c>
      <c r="J100" s="1">
        <v>70</v>
      </c>
      <c r="K100" s="1">
        <v>75</v>
      </c>
      <c r="L100" s="1" t="s">
        <v>14</v>
      </c>
    </row>
    <row r="101" spans="1:12" x14ac:dyDescent="0.25">
      <c r="A101" s="1" t="s">
        <v>28</v>
      </c>
      <c r="B101" s="1" t="s">
        <v>29</v>
      </c>
      <c r="C101" s="1">
        <v>2021</v>
      </c>
      <c r="D101" s="1">
        <v>56258</v>
      </c>
      <c r="E101" s="1">
        <v>13.8</v>
      </c>
      <c r="F101" s="1">
        <v>77</v>
      </c>
      <c r="G101" s="1">
        <v>1271836611</v>
      </c>
      <c r="H101" s="1">
        <v>90</v>
      </c>
      <c r="I101" s="1">
        <v>23.3</v>
      </c>
      <c r="J101" s="1">
        <v>92</v>
      </c>
      <c r="K101" s="1">
        <v>67</v>
      </c>
      <c r="L101" s="1" t="s">
        <v>29</v>
      </c>
    </row>
    <row r="102" spans="1:12" x14ac:dyDescent="0.25">
      <c r="A102" s="1" t="s">
        <v>12</v>
      </c>
      <c r="B102" s="1" t="s">
        <v>13</v>
      </c>
      <c r="C102" s="1">
        <v>2021</v>
      </c>
      <c r="D102" s="1">
        <v>67370</v>
      </c>
      <c r="E102" s="1">
        <v>4</v>
      </c>
      <c r="F102" s="1">
        <v>81</v>
      </c>
      <c r="G102" s="1">
        <v>532255249</v>
      </c>
      <c r="H102" s="1">
        <v>71</v>
      </c>
      <c r="I102" s="1">
        <v>19</v>
      </c>
      <c r="J102" s="1">
        <v>75</v>
      </c>
      <c r="K102" s="1">
        <v>58</v>
      </c>
      <c r="L102" s="1" t="s">
        <v>14</v>
      </c>
    </row>
    <row r="103" spans="1:12" x14ac:dyDescent="0.25">
      <c r="A103" s="1" t="s">
        <v>15</v>
      </c>
      <c r="B103" s="1" t="s">
        <v>16</v>
      </c>
      <c r="C103" s="1">
        <v>2021</v>
      </c>
      <c r="D103" s="1">
        <v>36822</v>
      </c>
      <c r="E103" s="1">
        <v>4.5999999999999996</v>
      </c>
      <c r="F103" s="1">
        <v>61</v>
      </c>
      <c r="G103" s="1">
        <v>337667637</v>
      </c>
      <c r="H103" s="1">
        <v>87</v>
      </c>
      <c r="I103" s="1">
        <v>6</v>
      </c>
      <c r="J103" s="1">
        <v>89</v>
      </c>
      <c r="K103" s="1">
        <v>56</v>
      </c>
      <c r="L103" s="1" t="s">
        <v>16</v>
      </c>
    </row>
    <row r="104" spans="1:12" x14ac:dyDescent="0.25">
      <c r="A104" s="1" t="s">
        <v>17</v>
      </c>
      <c r="B104" s="1" t="s">
        <v>18</v>
      </c>
      <c r="C104" s="1">
        <v>2020</v>
      </c>
      <c r="D104" s="1">
        <v>15283</v>
      </c>
      <c r="E104" s="1">
        <v>3.2</v>
      </c>
      <c r="F104" s="1">
        <v>62</v>
      </c>
      <c r="G104" s="1">
        <v>1261381907</v>
      </c>
      <c r="H104" s="1">
        <v>77</v>
      </c>
      <c r="I104" s="1">
        <v>21.8</v>
      </c>
      <c r="J104" s="1">
        <v>95</v>
      </c>
      <c r="K104" s="1">
        <v>31</v>
      </c>
      <c r="L104" s="1" t="s">
        <v>18</v>
      </c>
    </row>
    <row r="105" spans="1:12" x14ac:dyDescent="0.25">
      <c r="A105" s="1" t="s">
        <v>19</v>
      </c>
      <c r="B105" s="1" t="s">
        <v>20</v>
      </c>
      <c r="C105" s="1">
        <v>2022</v>
      </c>
      <c r="D105" s="1">
        <v>41736</v>
      </c>
      <c r="E105" s="1">
        <v>9.6999999999999993</v>
      </c>
      <c r="F105" s="1">
        <v>83</v>
      </c>
      <c r="G105" s="1">
        <v>468323510</v>
      </c>
      <c r="H105" s="1">
        <v>79</v>
      </c>
      <c r="I105" s="1">
        <v>22.6</v>
      </c>
      <c r="J105" s="1">
        <v>84</v>
      </c>
      <c r="K105" s="1">
        <v>72</v>
      </c>
      <c r="L105" s="1" t="s">
        <v>20</v>
      </c>
    </row>
    <row r="106" spans="1:12" x14ac:dyDescent="0.25">
      <c r="A106" s="1" t="s">
        <v>21</v>
      </c>
      <c r="B106" s="1" t="s">
        <v>22</v>
      </c>
      <c r="C106" s="1">
        <v>2021</v>
      </c>
      <c r="D106" s="1">
        <v>69902</v>
      </c>
      <c r="E106" s="1">
        <v>9.9</v>
      </c>
      <c r="F106" s="1">
        <v>63</v>
      </c>
      <c r="G106" s="1">
        <v>22538025</v>
      </c>
      <c r="H106" s="1">
        <v>94</v>
      </c>
      <c r="I106" s="1">
        <v>17.399999999999999</v>
      </c>
      <c r="J106" s="1">
        <v>98</v>
      </c>
      <c r="K106" s="1">
        <v>48</v>
      </c>
      <c r="L106" s="1" t="s">
        <v>14</v>
      </c>
    </row>
    <row r="107" spans="1:12" x14ac:dyDescent="0.25">
      <c r="A107" s="1" t="s">
        <v>23</v>
      </c>
      <c r="B107" s="1" t="s">
        <v>18</v>
      </c>
      <c r="C107" s="1">
        <v>2022</v>
      </c>
      <c r="D107" s="1">
        <v>67591</v>
      </c>
      <c r="E107" s="1">
        <v>10</v>
      </c>
      <c r="F107" s="1">
        <v>72</v>
      </c>
      <c r="G107" s="1">
        <v>1284507238</v>
      </c>
      <c r="H107" s="1">
        <v>63</v>
      </c>
      <c r="I107" s="1">
        <v>7.4</v>
      </c>
      <c r="J107" s="1">
        <v>79</v>
      </c>
      <c r="K107" s="1">
        <v>68</v>
      </c>
      <c r="L107" s="1" t="s">
        <v>18</v>
      </c>
    </row>
    <row r="108" spans="1:12" x14ac:dyDescent="0.25">
      <c r="A108" s="1" t="s">
        <v>24</v>
      </c>
      <c r="B108" s="1" t="s">
        <v>16</v>
      </c>
      <c r="C108" s="1">
        <v>2021</v>
      </c>
      <c r="D108" s="1">
        <v>27819</v>
      </c>
      <c r="E108" s="1">
        <v>7.1</v>
      </c>
      <c r="F108" s="1">
        <v>84</v>
      </c>
      <c r="G108" s="1">
        <v>1190212334</v>
      </c>
      <c r="H108" s="1">
        <v>78</v>
      </c>
      <c r="I108" s="1">
        <v>24.2</v>
      </c>
      <c r="J108" s="1">
        <v>82</v>
      </c>
      <c r="K108" s="1">
        <v>88</v>
      </c>
      <c r="L108" s="1" t="s">
        <v>16</v>
      </c>
    </row>
    <row r="109" spans="1:12" x14ac:dyDescent="0.25">
      <c r="A109" s="1" t="s">
        <v>25</v>
      </c>
      <c r="B109" s="1" t="s">
        <v>26</v>
      </c>
      <c r="C109" s="1">
        <v>2021</v>
      </c>
      <c r="D109" s="1">
        <v>52755</v>
      </c>
      <c r="E109" s="1">
        <v>6.9</v>
      </c>
      <c r="F109" s="1">
        <v>85</v>
      </c>
      <c r="G109" s="1">
        <v>48594675</v>
      </c>
      <c r="H109" s="1">
        <v>68</v>
      </c>
      <c r="I109" s="1">
        <v>6.8</v>
      </c>
      <c r="J109" s="1">
        <v>71</v>
      </c>
      <c r="K109" s="1">
        <v>43</v>
      </c>
      <c r="L109" s="1" t="s">
        <v>26</v>
      </c>
    </row>
    <row r="110" spans="1:12" x14ac:dyDescent="0.25">
      <c r="A110" s="1" t="s">
        <v>27</v>
      </c>
      <c r="B110" s="1" t="s">
        <v>22</v>
      </c>
      <c r="C110" s="1">
        <v>2020</v>
      </c>
      <c r="D110" s="1">
        <v>12268</v>
      </c>
      <c r="E110" s="1">
        <v>12.4</v>
      </c>
      <c r="F110" s="1">
        <v>79</v>
      </c>
      <c r="G110" s="1">
        <v>376091310</v>
      </c>
      <c r="H110" s="1">
        <v>58</v>
      </c>
      <c r="I110" s="1">
        <v>15.8</v>
      </c>
      <c r="J110" s="1">
        <v>82</v>
      </c>
      <c r="K110" s="1">
        <v>80</v>
      </c>
      <c r="L110" s="1" t="s">
        <v>14</v>
      </c>
    </row>
    <row r="111" spans="1:12" x14ac:dyDescent="0.25">
      <c r="A111" s="1" t="s">
        <v>28</v>
      </c>
      <c r="B111" s="1" t="s">
        <v>29</v>
      </c>
      <c r="C111" s="1">
        <v>2020</v>
      </c>
      <c r="D111" s="1">
        <v>66881</v>
      </c>
      <c r="E111" s="1">
        <v>7</v>
      </c>
      <c r="F111" s="1">
        <v>70</v>
      </c>
      <c r="G111" s="1">
        <v>378577359</v>
      </c>
      <c r="H111" s="1">
        <v>77</v>
      </c>
      <c r="I111" s="1">
        <v>2.5</v>
      </c>
      <c r="J111" s="1">
        <v>98</v>
      </c>
      <c r="K111" s="1">
        <v>36</v>
      </c>
      <c r="L111" s="1" t="s">
        <v>29</v>
      </c>
    </row>
    <row r="112" spans="1:12" x14ac:dyDescent="0.25">
      <c r="A112" s="1" t="s">
        <v>12</v>
      </c>
      <c r="B112" s="1" t="s">
        <v>13</v>
      </c>
      <c r="C112" s="1">
        <v>2021</v>
      </c>
      <c r="D112" s="1">
        <v>18191</v>
      </c>
      <c r="E112" s="1">
        <v>4.9000000000000004</v>
      </c>
      <c r="F112" s="1">
        <v>82</v>
      </c>
      <c r="G112" s="1">
        <v>1249257061</v>
      </c>
      <c r="H112" s="1">
        <v>52</v>
      </c>
      <c r="I112" s="1">
        <v>17.5</v>
      </c>
      <c r="J112" s="1">
        <v>72</v>
      </c>
      <c r="K112" s="1">
        <v>40</v>
      </c>
      <c r="L112" s="1" t="s">
        <v>14</v>
      </c>
    </row>
    <row r="113" spans="1:12" x14ac:dyDescent="0.25">
      <c r="A113" s="1" t="s">
        <v>15</v>
      </c>
      <c r="B113" s="1" t="s">
        <v>16</v>
      </c>
      <c r="C113" s="1">
        <v>2022</v>
      </c>
      <c r="D113" s="1">
        <v>26802</v>
      </c>
      <c r="E113" s="1">
        <v>8.1</v>
      </c>
      <c r="F113" s="1">
        <v>80</v>
      </c>
      <c r="G113" s="1">
        <v>278252233</v>
      </c>
      <c r="H113" s="1">
        <v>65</v>
      </c>
      <c r="I113" s="1">
        <v>7.9</v>
      </c>
      <c r="J113" s="1">
        <v>72</v>
      </c>
      <c r="K113" s="1">
        <v>61</v>
      </c>
      <c r="L113" s="1" t="s">
        <v>16</v>
      </c>
    </row>
    <row r="114" spans="1:12" x14ac:dyDescent="0.25">
      <c r="A114" s="1" t="s">
        <v>17</v>
      </c>
      <c r="B114" s="1" t="s">
        <v>18</v>
      </c>
      <c r="C114" s="1">
        <v>2021</v>
      </c>
      <c r="D114" s="1">
        <v>52640</v>
      </c>
      <c r="E114" s="1">
        <v>15.6</v>
      </c>
      <c r="F114" s="1">
        <v>82</v>
      </c>
      <c r="G114" s="1">
        <v>552023721</v>
      </c>
      <c r="H114" s="1">
        <v>95</v>
      </c>
      <c r="I114" s="1">
        <v>4</v>
      </c>
      <c r="J114" s="1">
        <v>99</v>
      </c>
      <c r="K114" s="1">
        <v>88</v>
      </c>
      <c r="L114" s="1" t="s">
        <v>18</v>
      </c>
    </row>
    <row r="115" spans="1:12" x14ac:dyDescent="0.25">
      <c r="A115" s="1" t="s">
        <v>19</v>
      </c>
      <c r="B115" s="1" t="s">
        <v>20</v>
      </c>
      <c r="C115" s="1">
        <v>2020</v>
      </c>
      <c r="D115" s="1">
        <v>15625</v>
      </c>
      <c r="E115" s="1">
        <v>9.9</v>
      </c>
      <c r="F115" s="1">
        <v>75</v>
      </c>
      <c r="G115" s="1">
        <v>164323180</v>
      </c>
      <c r="H115" s="1">
        <v>86</v>
      </c>
      <c r="I115" s="1">
        <v>7.9</v>
      </c>
      <c r="J115" s="1">
        <v>71</v>
      </c>
      <c r="K115" s="1">
        <v>36</v>
      </c>
      <c r="L115" s="1" t="s">
        <v>20</v>
      </c>
    </row>
    <row r="116" spans="1:12" x14ac:dyDescent="0.25">
      <c r="A116" s="1" t="s">
        <v>21</v>
      </c>
      <c r="B116" s="1" t="s">
        <v>22</v>
      </c>
      <c r="C116" s="1">
        <v>2021</v>
      </c>
      <c r="D116" s="1">
        <v>3089</v>
      </c>
      <c r="E116" s="1">
        <v>9.9</v>
      </c>
      <c r="F116" s="1">
        <v>79</v>
      </c>
      <c r="G116" s="1">
        <v>535361648</v>
      </c>
      <c r="H116" s="1">
        <v>73</v>
      </c>
      <c r="I116" s="1">
        <v>13.5</v>
      </c>
      <c r="J116" s="1">
        <v>90</v>
      </c>
      <c r="K116" s="1">
        <v>43</v>
      </c>
      <c r="L116" s="1" t="s">
        <v>14</v>
      </c>
    </row>
    <row r="117" spans="1:12" x14ac:dyDescent="0.25">
      <c r="A117" s="1" t="s">
        <v>23</v>
      </c>
      <c r="B117" s="1" t="s">
        <v>18</v>
      </c>
      <c r="C117" s="1">
        <v>2020</v>
      </c>
      <c r="D117" s="1">
        <v>6442</v>
      </c>
      <c r="E117" s="1">
        <v>16.899999999999999</v>
      </c>
      <c r="F117" s="1">
        <v>85</v>
      </c>
      <c r="G117" s="1">
        <v>778481685</v>
      </c>
      <c r="H117" s="1">
        <v>82</v>
      </c>
      <c r="I117" s="1">
        <v>5</v>
      </c>
      <c r="J117" s="1">
        <v>72</v>
      </c>
      <c r="K117" s="1">
        <v>52</v>
      </c>
      <c r="L117" s="1" t="s">
        <v>18</v>
      </c>
    </row>
    <row r="118" spans="1:12" x14ac:dyDescent="0.25">
      <c r="A118" s="1" t="s">
        <v>24</v>
      </c>
      <c r="B118" s="1" t="s">
        <v>16</v>
      </c>
      <c r="C118" s="1">
        <v>2020</v>
      </c>
      <c r="D118" s="1">
        <v>19868</v>
      </c>
      <c r="E118" s="1">
        <v>6.8</v>
      </c>
      <c r="F118" s="1">
        <v>75</v>
      </c>
      <c r="G118" s="1">
        <v>173123625</v>
      </c>
      <c r="H118" s="1">
        <v>68</v>
      </c>
      <c r="I118" s="1">
        <v>16.600000000000001</v>
      </c>
      <c r="J118" s="1">
        <v>75</v>
      </c>
      <c r="K118" s="1">
        <v>32</v>
      </c>
      <c r="L118" s="1" t="s">
        <v>16</v>
      </c>
    </row>
    <row r="119" spans="1:12" x14ac:dyDescent="0.25">
      <c r="A119" s="1" t="s">
        <v>25</v>
      </c>
      <c r="B119" s="1" t="s">
        <v>26</v>
      </c>
      <c r="C119" s="1">
        <v>2021</v>
      </c>
      <c r="D119" s="1">
        <v>14574</v>
      </c>
      <c r="E119" s="1">
        <v>12</v>
      </c>
      <c r="F119" s="1">
        <v>75</v>
      </c>
      <c r="G119" s="1">
        <v>630535869</v>
      </c>
      <c r="H119" s="1">
        <v>95</v>
      </c>
      <c r="I119" s="1">
        <v>17.899999999999999</v>
      </c>
      <c r="J119" s="1">
        <v>89</v>
      </c>
      <c r="K119" s="1">
        <v>71</v>
      </c>
      <c r="L119" s="1" t="s">
        <v>26</v>
      </c>
    </row>
    <row r="120" spans="1:12" x14ac:dyDescent="0.25">
      <c r="A120" s="1" t="s">
        <v>27</v>
      </c>
      <c r="B120" s="1" t="s">
        <v>22</v>
      </c>
      <c r="C120" s="1">
        <v>2021</v>
      </c>
      <c r="D120" s="1">
        <v>5263</v>
      </c>
      <c r="E120" s="1">
        <v>8.3000000000000007</v>
      </c>
      <c r="F120" s="1">
        <v>70</v>
      </c>
      <c r="G120" s="1">
        <v>242281064</v>
      </c>
      <c r="H120" s="1">
        <v>71</v>
      </c>
      <c r="I120" s="1">
        <v>17</v>
      </c>
      <c r="J120" s="1">
        <v>88</v>
      </c>
      <c r="K120" s="1">
        <v>65</v>
      </c>
      <c r="L120" s="1" t="s">
        <v>14</v>
      </c>
    </row>
    <row r="121" spans="1:12" x14ac:dyDescent="0.25">
      <c r="A121" s="1" t="s">
        <v>28</v>
      </c>
      <c r="B121" s="1" t="s">
        <v>29</v>
      </c>
      <c r="C121" s="1">
        <v>2020</v>
      </c>
      <c r="D121" s="1">
        <v>49427</v>
      </c>
      <c r="E121" s="1">
        <v>8.9</v>
      </c>
      <c r="F121" s="1">
        <v>80</v>
      </c>
      <c r="G121" s="1">
        <v>1498703110</v>
      </c>
      <c r="H121" s="1">
        <v>91</v>
      </c>
      <c r="I121" s="1">
        <v>21.4</v>
      </c>
      <c r="J121" s="1">
        <v>83</v>
      </c>
      <c r="K121" s="1">
        <v>87</v>
      </c>
      <c r="L121" s="1" t="s">
        <v>29</v>
      </c>
    </row>
    <row r="122" spans="1:12" x14ac:dyDescent="0.25">
      <c r="A122" s="1" t="s">
        <v>12</v>
      </c>
      <c r="B122" s="1" t="s">
        <v>13</v>
      </c>
      <c r="C122" s="1">
        <v>2022</v>
      </c>
      <c r="D122" s="1">
        <v>2957</v>
      </c>
      <c r="E122" s="1">
        <v>13.4</v>
      </c>
      <c r="F122" s="1">
        <v>81</v>
      </c>
      <c r="G122" s="1">
        <v>988659312</v>
      </c>
      <c r="H122" s="1">
        <v>78</v>
      </c>
      <c r="I122" s="1">
        <v>19</v>
      </c>
      <c r="J122" s="1">
        <v>82</v>
      </c>
      <c r="K122" s="1">
        <v>56</v>
      </c>
      <c r="L122" s="1" t="s">
        <v>14</v>
      </c>
    </row>
    <row r="123" spans="1:12" x14ac:dyDescent="0.25">
      <c r="A123" s="1" t="s">
        <v>15</v>
      </c>
      <c r="B123" s="1" t="s">
        <v>16</v>
      </c>
      <c r="C123" s="1">
        <v>2021</v>
      </c>
      <c r="D123" s="1">
        <v>29486</v>
      </c>
      <c r="E123" s="1">
        <v>13.4</v>
      </c>
      <c r="F123" s="1">
        <v>71</v>
      </c>
      <c r="G123" s="1">
        <v>940192004</v>
      </c>
      <c r="H123" s="1">
        <v>95</v>
      </c>
      <c r="I123" s="1">
        <v>3.1</v>
      </c>
      <c r="J123" s="1">
        <v>73</v>
      </c>
      <c r="K123" s="1">
        <v>64</v>
      </c>
      <c r="L123" s="1" t="s">
        <v>16</v>
      </c>
    </row>
    <row r="124" spans="1:12" x14ac:dyDescent="0.25">
      <c r="A124" s="1" t="s">
        <v>17</v>
      </c>
      <c r="B124" s="1" t="s">
        <v>18</v>
      </c>
      <c r="C124" s="1">
        <v>2020</v>
      </c>
      <c r="D124" s="1">
        <v>36010</v>
      </c>
      <c r="E124" s="1">
        <v>3.9</v>
      </c>
      <c r="F124" s="1">
        <v>75</v>
      </c>
      <c r="G124" s="1">
        <v>1174036680</v>
      </c>
      <c r="H124" s="1">
        <v>93</v>
      </c>
      <c r="I124" s="1">
        <v>15.5</v>
      </c>
      <c r="J124" s="1">
        <v>83</v>
      </c>
      <c r="K124" s="1">
        <v>67</v>
      </c>
      <c r="L124" s="1" t="s">
        <v>18</v>
      </c>
    </row>
    <row r="125" spans="1:12" x14ac:dyDescent="0.25">
      <c r="A125" s="1" t="s">
        <v>19</v>
      </c>
      <c r="B125" s="1" t="s">
        <v>20</v>
      </c>
      <c r="C125" s="1">
        <v>2020</v>
      </c>
      <c r="D125" s="1">
        <v>3966</v>
      </c>
      <c r="E125" s="1">
        <v>16.5</v>
      </c>
      <c r="F125" s="1">
        <v>81</v>
      </c>
      <c r="G125" s="1">
        <v>28213754</v>
      </c>
      <c r="H125" s="1">
        <v>72</v>
      </c>
      <c r="I125" s="1">
        <v>13.5</v>
      </c>
      <c r="J125" s="1">
        <v>78</v>
      </c>
      <c r="K125" s="1">
        <v>40</v>
      </c>
      <c r="L125" s="1" t="s">
        <v>20</v>
      </c>
    </row>
    <row r="126" spans="1:12" x14ac:dyDescent="0.25">
      <c r="A126" s="1" t="s">
        <v>21</v>
      </c>
      <c r="B126" s="1" t="s">
        <v>22</v>
      </c>
      <c r="C126" s="1">
        <v>2021</v>
      </c>
      <c r="D126" s="1">
        <v>51809</v>
      </c>
      <c r="E126" s="1">
        <v>11.4</v>
      </c>
      <c r="F126" s="1">
        <v>85</v>
      </c>
      <c r="G126" s="1">
        <v>331799181</v>
      </c>
      <c r="H126" s="1">
        <v>63</v>
      </c>
      <c r="I126" s="1">
        <v>15.7</v>
      </c>
      <c r="J126" s="1">
        <v>91</v>
      </c>
      <c r="K126" s="1">
        <v>71</v>
      </c>
      <c r="L126" s="1" t="s">
        <v>14</v>
      </c>
    </row>
    <row r="127" spans="1:12" x14ac:dyDescent="0.25">
      <c r="A127" s="1" t="s">
        <v>23</v>
      </c>
      <c r="B127" s="1" t="s">
        <v>18</v>
      </c>
      <c r="C127" s="1">
        <v>2022</v>
      </c>
      <c r="D127" s="1">
        <v>21975</v>
      </c>
      <c r="E127" s="1">
        <v>13</v>
      </c>
      <c r="F127" s="1">
        <v>66</v>
      </c>
      <c r="G127" s="1">
        <v>1077294623</v>
      </c>
      <c r="H127" s="1">
        <v>64</v>
      </c>
      <c r="I127" s="1">
        <v>9.6</v>
      </c>
      <c r="J127" s="1">
        <v>86</v>
      </c>
      <c r="K127" s="1">
        <v>61</v>
      </c>
      <c r="L127" s="1" t="s">
        <v>18</v>
      </c>
    </row>
    <row r="128" spans="1:12" x14ac:dyDescent="0.25">
      <c r="A128" s="1" t="s">
        <v>24</v>
      </c>
      <c r="B128" s="1" t="s">
        <v>16</v>
      </c>
      <c r="C128" s="1">
        <v>2022</v>
      </c>
      <c r="D128" s="1">
        <v>17550</v>
      </c>
      <c r="E128" s="1">
        <v>3.3</v>
      </c>
      <c r="F128" s="1">
        <v>74</v>
      </c>
      <c r="G128" s="1">
        <v>563071192</v>
      </c>
      <c r="H128" s="1">
        <v>71</v>
      </c>
      <c r="I128" s="1">
        <v>19.8</v>
      </c>
      <c r="J128" s="1">
        <v>95</v>
      </c>
      <c r="K128" s="1">
        <v>59</v>
      </c>
      <c r="L128" s="1" t="s">
        <v>16</v>
      </c>
    </row>
    <row r="129" spans="1:12" x14ac:dyDescent="0.25">
      <c r="A129" s="1" t="s">
        <v>25</v>
      </c>
      <c r="B129" s="1" t="s">
        <v>26</v>
      </c>
      <c r="C129" s="1">
        <v>2020</v>
      </c>
      <c r="D129" s="1">
        <v>10570</v>
      </c>
      <c r="E129" s="1">
        <v>3.6</v>
      </c>
      <c r="F129" s="1">
        <v>65</v>
      </c>
      <c r="G129" s="1">
        <v>997939555</v>
      </c>
      <c r="H129" s="1">
        <v>91</v>
      </c>
      <c r="I129" s="1">
        <v>20.9</v>
      </c>
      <c r="J129" s="1">
        <v>75</v>
      </c>
      <c r="K129" s="1">
        <v>56</v>
      </c>
      <c r="L129" s="1" t="s">
        <v>26</v>
      </c>
    </row>
    <row r="130" spans="1:12" x14ac:dyDescent="0.25">
      <c r="A130" s="1" t="s">
        <v>27</v>
      </c>
      <c r="B130" s="1" t="s">
        <v>22</v>
      </c>
      <c r="C130" s="1">
        <v>2020</v>
      </c>
      <c r="D130" s="1">
        <v>64276</v>
      </c>
      <c r="E130" s="1">
        <v>8.9</v>
      </c>
      <c r="F130" s="1">
        <v>76</v>
      </c>
      <c r="G130" s="1">
        <v>1411748390</v>
      </c>
      <c r="H130" s="1">
        <v>82</v>
      </c>
      <c r="I130" s="1">
        <v>10.8</v>
      </c>
      <c r="J130" s="1">
        <v>86</v>
      </c>
      <c r="K130" s="1">
        <v>36</v>
      </c>
      <c r="L130" s="1" t="s">
        <v>14</v>
      </c>
    </row>
    <row r="131" spans="1:12" x14ac:dyDescent="0.25">
      <c r="A131" s="1" t="s">
        <v>28</v>
      </c>
      <c r="B131" s="1" t="s">
        <v>29</v>
      </c>
      <c r="C131" s="1">
        <v>2022</v>
      </c>
      <c r="D131" s="1">
        <v>45224</v>
      </c>
      <c r="E131" s="1">
        <v>3.4</v>
      </c>
      <c r="F131" s="1">
        <v>74</v>
      </c>
      <c r="G131" s="1">
        <v>207790033</v>
      </c>
      <c r="H131" s="1">
        <v>56</v>
      </c>
      <c r="I131" s="1">
        <v>5.5</v>
      </c>
      <c r="J131" s="1">
        <v>90</v>
      </c>
      <c r="K131" s="1">
        <v>35</v>
      </c>
      <c r="L131" s="1" t="s">
        <v>29</v>
      </c>
    </row>
    <row r="132" spans="1:12" x14ac:dyDescent="0.25">
      <c r="A132" s="1" t="s">
        <v>12</v>
      </c>
      <c r="B132" s="1" t="s">
        <v>13</v>
      </c>
      <c r="C132" s="1">
        <v>2022</v>
      </c>
      <c r="D132" s="1">
        <v>21322</v>
      </c>
      <c r="E132" s="1">
        <v>9.6999999999999993</v>
      </c>
      <c r="F132" s="1">
        <v>62</v>
      </c>
      <c r="G132" s="1">
        <v>387412990</v>
      </c>
      <c r="H132" s="1">
        <v>75</v>
      </c>
      <c r="I132" s="1">
        <v>4.8</v>
      </c>
      <c r="J132" s="1">
        <v>72</v>
      </c>
      <c r="K132" s="1">
        <v>55</v>
      </c>
      <c r="L132" s="1" t="s">
        <v>14</v>
      </c>
    </row>
    <row r="133" spans="1:12" x14ac:dyDescent="0.25">
      <c r="A133" s="1" t="s">
        <v>15</v>
      </c>
      <c r="B133" s="1" t="s">
        <v>16</v>
      </c>
      <c r="C133" s="1">
        <v>2022</v>
      </c>
      <c r="D133" s="1">
        <v>63624</v>
      </c>
      <c r="E133" s="1">
        <v>6.7</v>
      </c>
      <c r="F133" s="1">
        <v>73</v>
      </c>
      <c r="G133" s="1">
        <v>1486862463</v>
      </c>
      <c r="H133" s="1">
        <v>70</v>
      </c>
      <c r="I133" s="1">
        <v>3.5</v>
      </c>
      <c r="J133" s="1">
        <v>98</v>
      </c>
      <c r="K133" s="1">
        <v>53</v>
      </c>
      <c r="L133" s="1" t="s">
        <v>16</v>
      </c>
    </row>
    <row r="134" spans="1:12" x14ac:dyDescent="0.25">
      <c r="A134" s="1" t="s">
        <v>17</v>
      </c>
      <c r="B134" s="1" t="s">
        <v>18</v>
      </c>
      <c r="C134" s="1">
        <v>2021</v>
      </c>
      <c r="D134" s="1">
        <v>61951</v>
      </c>
      <c r="E134" s="1">
        <v>5.0999999999999996</v>
      </c>
      <c r="F134" s="1">
        <v>78</v>
      </c>
      <c r="G134" s="1">
        <v>1014131872</v>
      </c>
      <c r="H134" s="1">
        <v>68</v>
      </c>
      <c r="I134" s="1">
        <v>2.4</v>
      </c>
      <c r="J134" s="1">
        <v>85</v>
      </c>
      <c r="K134" s="1">
        <v>78</v>
      </c>
      <c r="L134" s="1" t="s">
        <v>18</v>
      </c>
    </row>
    <row r="135" spans="1:12" x14ac:dyDescent="0.25">
      <c r="A135" s="1" t="s">
        <v>19</v>
      </c>
      <c r="B135" s="1" t="s">
        <v>20</v>
      </c>
      <c r="C135" s="1">
        <v>2021</v>
      </c>
      <c r="D135" s="1">
        <v>40181</v>
      </c>
      <c r="E135" s="1">
        <v>8.5</v>
      </c>
      <c r="F135" s="1">
        <v>67</v>
      </c>
      <c r="G135" s="1">
        <v>237806698</v>
      </c>
      <c r="H135" s="1">
        <v>59</v>
      </c>
      <c r="I135" s="1">
        <v>18.399999999999999</v>
      </c>
      <c r="J135" s="1">
        <v>77</v>
      </c>
      <c r="K135" s="1">
        <v>84</v>
      </c>
      <c r="L135" s="1" t="s">
        <v>20</v>
      </c>
    </row>
    <row r="136" spans="1:12" x14ac:dyDescent="0.25">
      <c r="A136" s="1" t="s">
        <v>21</v>
      </c>
      <c r="B136" s="1" t="s">
        <v>22</v>
      </c>
      <c r="C136" s="1">
        <v>2020</v>
      </c>
      <c r="D136" s="1">
        <v>17879</v>
      </c>
      <c r="E136" s="1">
        <v>10.5</v>
      </c>
      <c r="F136" s="1">
        <v>61</v>
      </c>
      <c r="G136" s="1">
        <v>1022788930</v>
      </c>
      <c r="H136" s="1">
        <v>60</v>
      </c>
      <c r="I136" s="1">
        <v>18.2</v>
      </c>
      <c r="J136" s="1">
        <v>82</v>
      </c>
      <c r="K136" s="1">
        <v>89</v>
      </c>
      <c r="L136" s="1" t="s">
        <v>14</v>
      </c>
    </row>
    <row r="137" spans="1:12" x14ac:dyDescent="0.25">
      <c r="A137" s="1" t="s">
        <v>23</v>
      </c>
      <c r="B137" s="1" t="s">
        <v>18</v>
      </c>
      <c r="C137" s="1">
        <v>2020</v>
      </c>
      <c r="D137" s="1">
        <v>23500</v>
      </c>
      <c r="E137" s="1">
        <v>16.899999999999999</v>
      </c>
      <c r="F137" s="1">
        <v>75</v>
      </c>
      <c r="G137" s="1">
        <v>1440086596</v>
      </c>
      <c r="H137" s="1">
        <v>85</v>
      </c>
      <c r="I137" s="1">
        <v>7.2</v>
      </c>
      <c r="J137" s="1">
        <v>83</v>
      </c>
      <c r="K137" s="1">
        <v>39</v>
      </c>
      <c r="L137" s="1" t="s">
        <v>18</v>
      </c>
    </row>
    <row r="138" spans="1:12" x14ac:dyDescent="0.25">
      <c r="A138" s="1" t="s">
        <v>24</v>
      </c>
      <c r="B138" s="1" t="s">
        <v>16</v>
      </c>
      <c r="C138" s="1">
        <v>2022</v>
      </c>
      <c r="D138" s="1">
        <v>6329</v>
      </c>
      <c r="E138" s="1">
        <v>3.9</v>
      </c>
      <c r="F138" s="1">
        <v>69</v>
      </c>
      <c r="G138" s="1">
        <v>973035484</v>
      </c>
      <c r="H138" s="1">
        <v>82</v>
      </c>
      <c r="I138" s="1">
        <v>12.3</v>
      </c>
      <c r="J138" s="1">
        <v>71</v>
      </c>
      <c r="K138" s="1">
        <v>48</v>
      </c>
      <c r="L138" s="1" t="s">
        <v>16</v>
      </c>
    </row>
    <row r="139" spans="1:12" x14ac:dyDescent="0.25">
      <c r="A139" s="1" t="s">
        <v>25</v>
      </c>
      <c r="B139" s="1" t="s">
        <v>26</v>
      </c>
      <c r="C139" s="1">
        <v>2022</v>
      </c>
      <c r="D139" s="1">
        <v>36754</v>
      </c>
      <c r="E139" s="1">
        <v>12.7</v>
      </c>
      <c r="F139" s="1">
        <v>77</v>
      </c>
      <c r="G139" s="1">
        <v>440245090</v>
      </c>
      <c r="H139" s="1">
        <v>63</v>
      </c>
      <c r="I139" s="1">
        <v>14.6</v>
      </c>
      <c r="J139" s="1">
        <v>82</v>
      </c>
      <c r="K139" s="1">
        <v>69</v>
      </c>
      <c r="L139" s="1" t="s">
        <v>26</v>
      </c>
    </row>
    <row r="140" spans="1:12" x14ac:dyDescent="0.25">
      <c r="A140" s="1" t="s">
        <v>27</v>
      </c>
      <c r="B140" s="1" t="s">
        <v>22</v>
      </c>
      <c r="C140" s="1">
        <v>2021</v>
      </c>
      <c r="D140" s="1">
        <v>34898</v>
      </c>
      <c r="E140" s="1">
        <v>14.9</v>
      </c>
      <c r="F140" s="1">
        <v>60</v>
      </c>
      <c r="G140" s="1">
        <v>1497795557</v>
      </c>
      <c r="H140" s="1">
        <v>72</v>
      </c>
      <c r="I140" s="1">
        <v>25</v>
      </c>
      <c r="J140" s="1">
        <v>96</v>
      </c>
      <c r="K140" s="1">
        <v>68</v>
      </c>
      <c r="L140" s="1" t="s">
        <v>14</v>
      </c>
    </row>
    <row r="141" spans="1:12" x14ac:dyDescent="0.25">
      <c r="A141" s="1" t="s">
        <v>28</v>
      </c>
      <c r="B141" s="1" t="s">
        <v>29</v>
      </c>
      <c r="C141" s="1">
        <v>2022</v>
      </c>
      <c r="D141" s="1">
        <v>25722</v>
      </c>
      <c r="E141" s="1">
        <v>5.9</v>
      </c>
      <c r="F141" s="1">
        <v>82</v>
      </c>
      <c r="G141" s="1">
        <v>1399135794</v>
      </c>
      <c r="H141" s="1">
        <v>74</v>
      </c>
      <c r="I141" s="1">
        <v>7</v>
      </c>
      <c r="J141" s="1">
        <v>94</v>
      </c>
      <c r="K141" s="1">
        <v>31</v>
      </c>
      <c r="L141" s="1" t="s">
        <v>29</v>
      </c>
    </row>
    <row r="142" spans="1:12" x14ac:dyDescent="0.25">
      <c r="A142" s="1" t="s">
        <v>12</v>
      </c>
      <c r="B142" s="1" t="s">
        <v>13</v>
      </c>
      <c r="C142" s="1">
        <v>2022</v>
      </c>
      <c r="D142" s="1">
        <v>11914</v>
      </c>
      <c r="E142" s="1">
        <v>17</v>
      </c>
      <c r="F142" s="1">
        <v>69</v>
      </c>
      <c r="G142" s="1">
        <v>1020220619</v>
      </c>
      <c r="H142" s="1">
        <v>74</v>
      </c>
      <c r="I142" s="1">
        <v>12.7</v>
      </c>
      <c r="J142" s="1">
        <v>94</v>
      </c>
      <c r="K142" s="1">
        <v>64</v>
      </c>
      <c r="L142" s="1" t="s">
        <v>14</v>
      </c>
    </row>
    <row r="143" spans="1:12" x14ac:dyDescent="0.25">
      <c r="A143" s="1" t="s">
        <v>15</v>
      </c>
      <c r="B143" s="1" t="s">
        <v>16</v>
      </c>
      <c r="C143" s="1">
        <v>2020</v>
      </c>
      <c r="D143" s="1">
        <v>55057</v>
      </c>
      <c r="E143" s="1">
        <v>15.6</v>
      </c>
      <c r="F143" s="1">
        <v>72</v>
      </c>
      <c r="G143" s="1">
        <v>221324641</v>
      </c>
      <c r="H143" s="1">
        <v>59</v>
      </c>
      <c r="I143" s="1">
        <v>15.8</v>
      </c>
      <c r="J143" s="1">
        <v>86</v>
      </c>
      <c r="K143" s="1">
        <v>88</v>
      </c>
      <c r="L143" s="1" t="s">
        <v>16</v>
      </c>
    </row>
    <row r="144" spans="1:12" x14ac:dyDescent="0.25">
      <c r="A144" s="1" t="s">
        <v>17</v>
      </c>
      <c r="B144" s="1" t="s">
        <v>18</v>
      </c>
      <c r="C144" s="1">
        <v>2022</v>
      </c>
      <c r="D144" s="1">
        <v>62703</v>
      </c>
      <c r="E144" s="1">
        <v>8.3000000000000007</v>
      </c>
      <c r="F144" s="1">
        <v>83</v>
      </c>
      <c r="G144" s="1">
        <v>10083916</v>
      </c>
      <c r="H144" s="1">
        <v>66</v>
      </c>
      <c r="I144" s="1">
        <v>9.5</v>
      </c>
      <c r="J144" s="1">
        <v>95</v>
      </c>
      <c r="K144" s="1">
        <v>57</v>
      </c>
      <c r="L144" s="1" t="s">
        <v>18</v>
      </c>
    </row>
    <row r="145" spans="1:12" x14ac:dyDescent="0.25">
      <c r="A145" s="1" t="s">
        <v>19</v>
      </c>
      <c r="B145" s="1" t="s">
        <v>20</v>
      </c>
      <c r="C145" s="1">
        <v>2022</v>
      </c>
      <c r="D145" s="1">
        <v>56031</v>
      </c>
      <c r="E145" s="1">
        <v>7.6</v>
      </c>
      <c r="F145" s="1">
        <v>81</v>
      </c>
      <c r="G145" s="1">
        <v>652094772</v>
      </c>
      <c r="H145" s="1">
        <v>69</v>
      </c>
      <c r="I145" s="1">
        <v>22.2</v>
      </c>
      <c r="J145" s="1">
        <v>93</v>
      </c>
      <c r="K145" s="1">
        <v>85</v>
      </c>
      <c r="L145" s="1" t="s">
        <v>20</v>
      </c>
    </row>
    <row r="146" spans="1:12" x14ac:dyDescent="0.25">
      <c r="A146" s="1" t="s">
        <v>21</v>
      </c>
      <c r="B146" s="1" t="s">
        <v>22</v>
      </c>
      <c r="C146" s="1">
        <v>2020</v>
      </c>
      <c r="D146" s="1">
        <v>25323</v>
      </c>
      <c r="E146" s="1">
        <v>11.6</v>
      </c>
      <c r="F146" s="1">
        <v>63</v>
      </c>
      <c r="G146" s="1">
        <v>645067425</v>
      </c>
      <c r="H146" s="1">
        <v>94</v>
      </c>
      <c r="I146" s="1">
        <v>16.8</v>
      </c>
      <c r="J146" s="1">
        <v>91</v>
      </c>
      <c r="K146" s="1">
        <v>62</v>
      </c>
      <c r="L146" s="1" t="s">
        <v>14</v>
      </c>
    </row>
    <row r="147" spans="1:12" x14ac:dyDescent="0.25">
      <c r="A147" s="1" t="s">
        <v>23</v>
      </c>
      <c r="B147" s="1" t="s">
        <v>18</v>
      </c>
      <c r="C147" s="1">
        <v>2021</v>
      </c>
      <c r="D147" s="1">
        <v>41284</v>
      </c>
      <c r="E147" s="1">
        <v>13.5</v>
      </c>
      <c r="F147" s="1">
        <v>66</v>
      </c>
      <c r="G147" s="1">
        <v>755660317</v>
      </c>
      <c r="H147" s="1">
        <v>65</v>
      </c>
      <c r="I147" s="1">
        <v>19.100000000000001</v>
      </c>
      <c r="J147" s="1">
        <v>79</v>
      </c>
      <c r="K147" s="1">
        <v>83</v>
      </c>
      <c r="L147" s="1" t="s">
        <v>18</v>
      </c>
    </row>
    <row r="148" spans="1:12" x14ac:dyDescent="0.25">
      <c r="A148" s="1" t="s">
        <v>24</v>
      </c>
      <c r="B148" s="1" t="s">
        <v>16</v>
      </c>
      <c r="C148" s="1">
        <v>2021</v>
      </c>
      <c r="D148" s="1">
        <v>28148</v>
      </c>
      <c r="E148" s="1">
        <v>4.0999999999999996</v>
      </c>
      <c r="F148" s="1">
        <v>70</v>
      </c>
      <c r="G148" s="1">
        <v>108421953</v>
      </c>
      <c r="H148" s="1">
        <v>73</v>
      </c>
      <c r="I148" s="1">
        <v>20</v>
      </c>
      <c r="J148" s="1">
        <v>91</v>
      </c>
      <c r="K148" s="1">
        <v>77</v>
      </c>
      <c r="L148" s="1" t="s">
        <v>16</v>
      </c>
    </row>
    <row r="149" spans="1:12" x14ac:dyDescent="0.25">
      <c r="A149" s="1" t="s">
        <v>25</v>
      </c>
      <c r="B149" s="1" t="s">
        <v>26</v>
      </c>
      <c r="C149" s="1">
        <v>2021</v>
      </c>
      <c r="D149" s="1">
        <v>45232</v>
      </c>
      <c r="E149" s="1">
        <v>5.8</v>
      </c>
      <c r="F149" s="1">
        <v>81</v>
      </c>
      <c r="G149" s="1">
        <v>898601262</v>
      </c>
      <c r="H149" s="1">
        <v>92</v>
      </c>
      <c r="I149" s="1">
        <v>19.7</v>
      </c>
      <c r="J149" s="1">
        <v>81</v>
      </c>
      <c r="K149" s="1">
        <v>76</v>
      </c>
      <c r="L149" s="1" t="s">
        <v>26</v>
      </c>
    </row>
    <row r="150" spans="1:12" x14ac:dyDescent="0.25">
      <c r="A150" s="1" t="s">
        <v>27</v>
      </c>
      <c r="B150" s="1" t="s">
        <v>22</v>
      </c>
      <c r="C150" s="1">
        <v>2021</v>
      </c>
      <c r="D150" s="1">
        <v>26077</v>
      </c>
      <c r="E150" s="1">
        <v>15.2</v>
      </c>
      <c r="F150" s="1">
        <v>67</v>
      </c>
      <c r="G150" s="1">
        <v>329255553</v>
      </c>
      <c r="H150" s="1">
        <v>66</v>
      </c>
      <c r="I150" s="1">
        <v>6.2</v>
      </c>
      <c r="J150" s="1">
        <v>72</v>
      </c>
      <c r="K150" s="1">
        <v>90</v>
      </c>
      <c r="L150" s="1" t="s">
        <v>14</v>
      </c>
    </row>
    <row r="151" spans="1:12" x14ac:dyDescent="0.25">
      <c r="A151" s="1" t="s">
        <v>28</v>
      </c>
      <c r="B151" s="1" t="s">
        <v>29</v>
      </c>
      <c r="C151" s="1">
        <v>2022</v>
      </c>
      <c r="D151" s="1">
        <v>2675</v>
      </c>
      <c r="E151" s="1">
        <v>11.3</v>
      </c>
      <c r="F151" s="1">
        <v>83</v>
      </c>
      <c r="G151" s="1">
        <v>730563524</v>
      </c>
      <c r="H151" s="1">
        <v>83</v>
      </c>
      <c r="I151" s="1">
        <v>6.2</v>
      </c>
      <c r="J151" s="1">
        <v>79</v>
      </c>
      <c r="K151" s="1">
        <v>48</v>
      </c>
      <c r="L151" s="1" t="s">
        <v>29</v>
      </c>
    </row>
    <row r="152" spans="1:12" x14ac:dyDescent="0.25">
      <c r="A152" s="1" t="s">
        <v>12</v>
      </c>
      <c r="B152" s="1" t="s">
        <v>13</v>
      </c>
      <c r="C152" s="1">
        <v>2021</v>
      </c>
      <c r="D152" s="1">
        <v>48345</v>
      </c>
      <c r="E152" s="1">
        <v>16.100000000000001</v>
      </c>
      <c r="F152" s="1">
        <v>85</v>
      </c>
      <c r="G152" s="1">
        <v>886428599</v>
      </c>
      <c r="H152" s="1">
        <v>69</v>
      </c>
      <c r="I152" s="1">
        <v>12.8</v>
      </c>
      <c r="J152" s="1">
        <v>83</v>
      </c>
      <c r="K152" s="1">
        <v>66</v>
      </c>
      <c r="L152" s="1" t="s">
        <v>14</v>
      </c>
    </row>
    <row r="153" spans="1:12" x14ac:dyDescent="0.25">
      <c r="A153" s="1" t="s">
        <v>15</v>
      </c>
      <c r="B153" s="1" t="s">
        <v>16</v>
      </c>
      <c r="C153" s="1">
        <v>2020</v>
      </c>
      <c r="D153" s="1">
        <v>57055</v>
      </c>
      <c r="E153" s="1">
        <v>12.4</v>
      </c>
      <c r="F153" s="1">
        <v>63</v>
      </c>
      <c r="G153" s="1">
        <v>825895517</v>
      </c>
      <c r="H153" s="1">
        <v>76</v>
      </c>
      <c r="I153" s="1">
        <v>20.2</v>
      </c>
      <c r="J153" s="1">
        <v>86</v>
      </c>
      <c r="K153" s="1">
        <v>65</v>
      </c>
      <c r="L153" s="1" t="s">
        <v>16</v>
      </c>
    </row>
    <row r="154" spans="1:12" x14ac:dyDescent="0.25">
      <c r="A154" s="1" t="s">
        <v>17</v>
      </c>
      <c r="B154" s="1" t="s">
        <v>18</v>
      </c>
      <c r="C154" s="1">
        <v>2020</v>
      </c>
      <c r="D154" s="1">
        <v>10534</v>
      </c>
      <c r="E154" s="1">
        <v>13.7</v>
      </c>
      <c r="F154" s="1">
        <v>64</v>
      </c>
      <c r="G154" s="1">
        <v>1452520322</v>
      </c>
      <c r="H154" s="1">
        <v>61</v>
      </c>
      <c r="I154" s="1">
        <v>21.4</v>
      </c>
      <c r="J154" s="1">
        <v>76</v>
      </c>
      <c r="K154" s="1">
        <v>35</v>
      </c>
      <c r="L154" s="1" t="s">
        <v>18</v>
      </c>
    </row>
    <row r="155" spans="1:12" x14ac:dyDescent="0.25">
      <c r="A155" s="1" t="s">
        <v>19</v>
      </c>
      <c r="B155" s="1" t="s">
        <v>20</v>
      </c>
      <c r="C155" s="1">
        <v>2022</v>
      </c>
      <c r="D155" s="1">
        <v>17522</v>
      </c>
      <c r="E155" s="1">
        <v>9.3000000000000007</v>
      </c>
      <c r="F155" s="1">
        <v>76</v>
      </c>
      <c r="G155" s="1">
        <v>1130161606</v>
      </c>
      <c r="H155" s="1">
        <v>89</v>
      </c>
      <c r="I155" s="1">
        <v>10.3</v>
      </c>
      <c r="J155" s="1">
        <v>76</v>
      </c>
      <c r="K155" s="1">
        <v>68</v>
      </c>
      <c r="L155" s="1" t="s">
        <v>20</v>
      </c>
    </row>
    <row r="156" spans="1:12" x14ac:dyDescent="0.25">
      <c r="A156" s="1" t="s">
        <v>21</v>
      </c>
      <c r="B156" s="1" t="s">
        <v>22</v>
      </c>
      <c r="C156" s="1">
        <v>2022</v>
      </c>
      <c r="D156" s="1">
        <v>56100</v>
      </c>
      <c r="E156" s="1">
        <v>12</v>
      </c>
      <c r="F156" s="1">
        <v>61</v>
      </c>
      <c r="G156" s="1">
        <v>1074972358</v>
      </c>
      <c r="H156" s="1">
        <v>64</v>
      </c>
      <c r="I156" s="1">
        <v>15.5</v>
      </c>
      <c r="J156" s="1">
        <v>71</v>
      </c>
      <c r="K156" s="1">
        <v>40</v>
      </c>
      <c r="L156" s="1" t="s">
        <v>14</v>
      </c>
    </row>
    <row r="157" spans="1:12" x14ac:dyDescent="0.25">
      <c r="A157" s="1" t="s">
        <v>23</v>
      </c>
      <c r="B157" s="1" t="s">
        <v>18</v>
      </c>
      <c r="C157" s="1">
        <v>2022</v>
      </c>
      <c r="D157" s="1">
        <v>3956</v>
      </c>
      <c r="E157" s="1">
        <v>11.4</v>
      </c>
      <c r="F157" s="1">
        <v>73</v>
      </c>
      <c r="G157" s="1">
        <v>182949889</v>
      </c>
      <c r="H157" s="1">
        <v>75</v>
      </c>
      <c r="I157" s="1">
        <v>16.3</v>
      </c>
      <c r="J157" s="1">
        <v>94</v>
      </c>
      <c r="K157" s="1">
        <v>39</v>
      </c>
      <c r="L157" s="1" t="s">
        <v>18</v>
      </c>
    </row>
    <row r="158" spans="1:12" x14ac:dyDescent="0.25">
      <c r="A158" s="1" t="s">
        <v>24</v>
      </c>
      <c r="B158" s="1" t="s">
        <v>16</v>
      </c>
      <c r="C158" s="1">
        <v>2020</v>
      </c>
      <c r="D158" s="1">
        <v>35456</v>
      </c>
      <c r="E158" s="1">
        <v>15.2</v>
      </c>
      <c r="F158" s="1">
        <v>82</v>
      </c>
      <c r="G158" s="1">
        <v>692897189</v>
      </c>
      <c r="H158" s="1">
        <v>61</v>
      </c>
      <c r="I158" s="1">
        <v>3.6</v>
      </c>
      <c r="J158" s="1">
        <v>91</v>
      </c>
      <c r="K158" s="1">
        <v>37</v>
      </c>
      <c r="L158" s="1" t="s">
        <v>16</v>
      </c>
    </row>
    <row r="159" spans="1:12" x14ac:dyDescent="0.25">
      <c r="A159" s="1" t="s">
        <v>25</v>
      </c>
      <c r="B159" s="1" t="s">
        <v>26</v>
      </c>
      <c r="C159" s="1">
        <v>2021</v>
      </c>
      <c r="D159" s="1">
        <v>15072</v>
      </c>
      <c r="E159" s="1">
        <v>16.899999999999999</v>
      </c>
      <c r="F159" s="1">
        <v>83</v>
      </c>
      <c r="G159" s="1">
        <v>1052294506</v>
      </c>
      <c r="H159" s="1">
        <v>90</v>
      </c>
      <c r="I159" s="1">
        <v>2.2000000000000002</v>
      </c>
      <c r="J159" s="1">
        <v>76</v>
      </c>
      <c r="K159" s="1">
        <v>79</v>
      </c>
      <c r="L159" s="1" t="s">
        <v>26</v>
      </c>
    </row>
    <row r="160" spans="1:12" x14ac:dyDescent="0.25">
      <c r="A160" s="1" t="s">
        <v>27</v>
      </c>
      <c r="B160" s="1" t="s">
        <v>22</v>
      </c>
      <c r="C160" s="1">
        <v>2020</v>
      </c>
      <c r="D160" s="1">
        <v>40722</v>
      </c>
      <c r="E160" s="1">
        <v>7.3</v>
      </c>
      <c r="F160" s="1">
        <v>75</v>
      </c>
      <c r="G160" s="1">
        <v>469191272</v>
      </c>
      <c r="H160" s="1">
        <v>51</v>
      </c>
      <c r="I160" s="1">
        <v>22</v>
      </c>
      <c r="J160" s="1">
        <v>86</v>
      </c>
      <c r="K160" s="1">
        <v>42</v>
      </c>
      <c r="L160" s="1" t="s">
        <v>14</v>
      </c>
    </row>
    <row r="161" spans="1:12" x14ac:dyDescent="0.25">
      <c r="A161" s="1" t="s">
        <v>28</v>
      </c>
      <c r="B161" s="1" t="s">
        <v>29</v>
      </c>
      <c r="C161" s="1">
        <v>2020</v>
      </c>
      <c r="D161" s="1">
        <v>54920</v>
      </c>
      <c r="E161" s="1">
        <v>16.399999999999999</v>
      </c>
      <c r="F161" s="1">
        <v>75</v>
      </c>
      <c r="G161" s="1">
        <v>1286446927</v>
      </c>
      <c r="H161" s="1">
        <v>72</v>
      </c>
      <c r="I161" s="1">
        <v>10.4</v>
      </c>
      <c r="J161" s="1">
        <v>95</v>
      </c>
      <c r="K161" s="1">
        <v>83</v>
      </c>
      <c r="L161" s="1" t="s">
        <v>29</v>
      </c>
    </row>
    <row r="162" spans="1:12" x14ac:dyDescent="0.25">
      <c r="A162" s="1" t="s">
        <v>12</v>
      </c>
      <c r="B162" s="1" t="s">
        <v>13</v>
      </c>
      <c r="C162" s="1">
        <v>2020</v>
      </c>
      <c r="D162" s="1">
        <v>31732</v>
      </c>
      <c r="E162" s="1">
        <v>10.9</v>
      </c>
      <c r="F162" s="1">
        <v>62</v>
      </c>
      <c r="G162" s="1">
        <v>338686805</v>
      </c>
      <c r="H162" s="1">
        <v>73</v>
      </c>
      <c r="I162" s="1">
        <v>4</v>
      </c>
      <c r="J162" s="1">
        <v>94</v>
      </c>
      <c r="K162" s="1">
        <v>55</v>
      </c>
      <c r="L162" s="1" t="s">
        <v>14</v>
      </c>
    </row>
    <row r="163" spans="1:12" x14ac:dyDescent="0.25">
      <c r="A163" s="1" t="s">
        <v>15</v>
      </c>
      <c r="B163" s="1" t="s">
        <v>16</v>
      </c>
      <c r="C163" s="1">
        <v>2021</v>
      </c>
      <c r="D163" s="1">
        <v>55853</v>
      </c>
      <c r="E163" s="1">
        <v>10.7</v>
      </c>
      <c r="F163" s="1">
        <v>65</v>
      </c>
      <c r="G163" s="1">
        <v>788953313</v>
      </c>
      <c r="H163" s="1">
        <v>64</v>
      </c>
      <c r="I163" s="1">
        <v>20.100000000000001</v>
      </c>
      <c r="J163" s="1">
        <v>70</v>
      </c>
      <c r="K163" s="1">
        <v>71</v>
      </c>
      <c r="L163" s="1" t="s">
        <v>16</v>
      </c>
    </row>
    <row r="164" spans="1:12" x14ac:dyDescent="0.25">
      <c r="A164" s="1" t="s">
        <v>17</v>
      </c>
      <c r="B164" s="1" t="s">
        <v>18</v>
      </c>
      <c r="C164" s="1">
        <v>2020</v>
      </c>
      <c r="D164" s="1">
        <v>62631</v>
      </c>
      <c r="E164" s="1">
        <v>3.4</v>
      </c>
      <c r="F164" s="1">
        <v>74</v>
      </c>
      <c r="G164" s="1">
        <v>845115978</v>
      </c>
      <c r="H164" s="1">
        <v>65</v>
      </c>
      <c r="I164" s="1">
        <v>20.5</v>
      </c>
      <c r="J164" s="1">
        <v>84</v>
      </c>
      <c r="K164" s="1">
        <v>82</v>
      </c>
      <c r="L164" s="1" t="s">
        <v>18</v>
      </c>
    </row>
    <row r="165" spans="1:12" x14ac:dyDescent="0.25">
      <c r="A165" s="1" t="s">
        <v>19</v>
      </c>
      <c r="B165" s="1" t="s">
        <v>20</v>
      </c>
      <c r="C165" s="1">
        <v>2020</v>
      </c>
      <c r="D165" s="1">
        <v>49753</v>
      </c>
      <c r="E165" s="1">
        <v>8</v>
      </c>
      <c r="F165" s="1">
        <v>69</v>
      </c>
      <c r="G165" s="1">
        <v>912188017</v>
      </c>
      <c r="H165" s="1">
        <v>78</v>
      </c>
      <c r="I165" s="1">
        <v>10.1</v>
      </c>
      <c r="J165" s="1">
        <v>91</v>
      </c>
      <c r="K165" s="1">
        <v>59</v>
      </c>
      <c r="L165" s="1" t="s">
        <v>20</v>
      </c>
    </row>
    <row r="166" spans="1:12" x14ac:dyDescent="0.25">
      <c r="A166" s="1" t="s">
        <v>21</v>
      </c>
      <c r="B166" s="1" t="s">
        <v>22</v>
      </c>
      <c r="C166" s="1">
        <v>2022</v>
      </c>
      <c r="D166" s="1">
        <v>57942</v>
      </c>
      <c r="E166" s="1">
        <v>15.8</v>
      </c>
      <c r="F166" s="1">
        <v>74</v>
      </c>
      <c r="G166" s="1">
        <v>990445706</v>
      </c>
      <c r="H166" s="1">
        <v>80</v>
      </c>
      <c r="I166" s="1">
        <v>12.4</v>
      </c>
      <c r="J166" s="1">
        <v>99</v>
      </c>
      <c r="K166" s="1">
        <v>54</v>
      </c>
      <c r="L166" s="1" t="s">
        <v>14</v>
      </c>
    </row>
    <row r="167" spans="1:12" x14ac:dyDescent="0.25">
      <c r="A167" s="1" t="s">
        <v>23</v>
      </c>
      <c r="B167" s="1" t="s">
        <v>18</v>
      </c>
      <c r="C167" s="1">
        <v>2022</v>
      </c>
      <c r="D167" s="1">
        <v>43245</v>
      </c>
      <c r="E167" s="1">
        <v>11.3</v>
      </c>
      <c r="F167" s="1">
        <v>61</v>
      </c>
      <c r="G167" s="1">
        <v>1412620642</v>
      </c>
      <c r="H167" s="1">
        <v>51</v>
      </c>
      <c r="I167" s="1">
        <v>24.3</v>
      </c>
      <c r="J167" s="1">
        <v>97</v>
      </c>
      <c r="K167" s="1">
        <v>49</v>
      </c>
      <c r="L167" s="1" t="s">
        <v>18</v>
      </c>
    </row>
    <row r="168" spans="1:12" x14ac:dyDescent="0.25">
      <c r="A168" s="1" t="s">
        <v>24</v>
      </c>
      <c r="B168" s="1" t="s">
        <v>16</v>
      </c>
      <c r="C168" s="1">
        <v>2020</v>
      </c>
      <c r="D168" s="1">
        <v>63160</v>
      </c>
      <c r="E168" s="1">
        <v>12.3</v>
      </c>
      <c r="F168" s="1">
        <v>83</v>
      </c>
      <c r="G168" s="1">
        <v>1020747967</v>
      </c>
      <c r="H168" s="1">
        <v>63</v>
      </c>
      <c r="I168" s="1">
        <v>10.3</v>
      </c>
      <c r="J168" s="1">
        <v>79</v>
      </c>
      <c r="K168" s="1">
        <v>66</v>
      </c>
      <c r="L168" s="1" t="s">
        <v>16</v>
      </c>
    </row>
    <row r="169" spans="1:12" x14ac:dyDescent="0.25">
      <c r="A169" s="1" t="s">
        <v>25</v>
      </c>
      <c r="B169" s="1" t="s">
        <v>26</v>
      </c>
      <c r="C169" s="1">
        <v>2022</v>
      </c>
      <c r="D169" s="1">
        <v>66907</v>
      </c>
      <c r="E169" s="1">
        <v>10</v>
      </c>
      <c r="F169" s="1">
        <v>61</v>
      </c>
      <c r="G169" s="1">
        <v>971814165</v>
      </c>
      <c r="H169" s="1">
        <v>60</v>
      </c>
      <c r="I169" s="1">
        <v>10.7</v>
      </c>
      <c r="J169" s="1">
        <v>88</v>
      </c>
      <c r="K169" s="1">
        <v>46</v>
      </c>
      <c r="L169" s="1" t="s">
        <v>26</v>
      </c>
    </row>
    <row r="170" spans="1:12" x14ac:dyDescent="0.25">
      <c r="A170" s="1" t="s">
        <v>27</v>
      </c>
      <c r="B170" s="1" t="s">
        <v>22</v>
      </c>
      <c r="C170" s="1">
        <v>2022</v>
      </c>
      <c r="D170" s="1">
        <v>34182</v>
      </c>
      <c r="E170" s="1">
        <v>5.3</v>
      </c>
      <c r="F170" s="1">
        <v>79</v>
      </c>
      <c r="G170" s="1">
        <v>376416404</v>
      </c>
      <c r="H170" s="1">
        <v>61</v>
      </c>
      <c r="I170" s="1">
        <v>8.6999999999999993</v>
      </c>
      <c r="J170" s="1">
        <v>77</v>
      </c>
      <c r="K170" s="1">
        <v>52</v>
      </c>
      <c r="L170" s="1" t="s">
        <v>14</v>
      </c>
    </row>
    <row r="171" spans="1:12" x14ac:dyDescent="0.25">
      <c r="A171" s="1" t="s">
        <v>28</v>
      </c>
      <c r="B171" s="1" t="s">
        <v>29</v>
      </c>
      <c r="C171" s="1">
        <v>2022</v>
      </c>
      <c r="D171" s="1">
        <v>28031</v>
      </c>
      <c r="E171" s="1">
        <v>8.6</v>
      </c>
      <c r="F171" s="1">
        <v>68</v>
      </c>
      <c r="G171" s="1">
        <v>1299472365</v>
      </c>
      <c r="H171" s="1">
        <v>64</v>
      </c>
      <c r="I171" s="1">
        <v>9</v>
      </c>
      <c r="J171" s="1">
        <v>95</v>
      </c>
      <c r="K171" s="1">
        <v>75</v>
      </c>
      <c r="L171" s="1" t="s">
        <v>29</v>
      </c>
    </row>
    <row r="172" spans="1:12" x14ac:dyDescent="0.25">
      <c r="A172" s="1" t="s">
        <v>12</v>
      </c>
      <c r="B172" s="1" t="s">
        <v>13</v>
      </c>
      <c r="C172" s="1">
        <v>2022</v>
      </c>
      <c r="D172" s="1">
        <v>10207</v>
      </c>
      <c r="E172" s="1">
        <v>12.4</v>
      </c>
      <c r="F172" s="1">
        <v>63</v>
      </c>
      <c r="G172" s="1">
        <v>1154961859</v>
      </c>
      <c r="H172" s="1">
        <v>85</v>
      </c>
      <c r="I172" s="1">
        <v>13.8</v>
      </c>
      <c r="J172" s="1">
        <v>76</v>
      </c>
      <c r="K172" s="1">
        <v>44</v>
      </c>
      <c r="L172" s="1" t="s">
        <v>14</v>
      </c>
    </row>
    <row r="173" spans="1:12" x14ac:dyDescent="0.25">
      <c r="A173" s="1" t="s">
        <v>15</v>
      </c>
      <c r="B173" s="1" t="s">
        <v>16</v>
      </c>
      <c r="C173" s="1">
        <v>2022</v>
      </c>
      <c r="D173" s="1">
        <v>7044</v>
      </c>
      <c r="E173" s="1">
        <v>9.9</v>
      </c>
      <c r="F173" s="1">
        <v>62</v>
      </c>
      <c r="G173" s="1">
        <v>608301177</v>
      </c>
      <c r="H173" s="1">
        <v>56</v>
      </c>
      <c r="I173" s="1">
        <v>16</v>
      </c>
      <c r="J173" s="1">
        <v>93</v>
      </c>
      <c r="K173" s="1">
        <v>39</v>
      </c>
      <c r="L173" s="1" t="s">
        <v>16</v>
      </c>
    </row>
    <row r="174" spans="1:12" x14ac:dyDescent="0.25">
      <c r="A174" s="1" t="s">
        <v>17</v>
      </c>
      <c r="B174" s="1" t="s">
        <v>18</v>
      </c>
      <c r="C174" s="1">
        <v>2020</v>
      </c>
      <c r="D174" s="1">
        <v>50855</v>
      </c>
      <c r="E174" s="1">
        <v>7.1</v>
      </c>
      <c r="F174" s="1">
        <v>60</v>
      </c>
      <c r="G174" s="1">
        <v>61454792</v>
      </c>
      <c r="H174" s="1">
        <v>80</v>
      </c>
      <c r="I174" s="1">
        <v>13.2</v>
      </c>
      <c r="J174" s="1">
        <v>91</v>
      </c>
      <c r="K174" s="1">
        <v>89</v>
      </c>
      <c r="L174" s="1" t="s">
        <v>18</v>
      </c>
    </row>
    <row r="175" spans="1:12" x14ac:dyDescent="0.25">
      <c r="A175" s="1" t="s">
        <v>19</v>
      </c>
      <c r="B175" s="1" t="s">
        <v>20</v>
      </c>
      <c r="C175" s="1">
        <v>2022</v>
      </c>
      <c r="D175" s="1">
        <v>40043</v>
      </c>
      <c r="E175" s="1">
        <v>5.8</v>
      </c>
      <c r="F175" s="1">
        <v>85</v>
      </c>
      <c r="G175" s="1">
        <v>318027567</v>
      </c>
      <c r="H175" s="1">
        <v>94</v>
      </c>
      <c r="I175" s="1">
        <v>24.9</v>
      </c>
      <c r="J175" s="1">
        <v>90</v>
      </c>
      <c r="K175" s="1">
        <v>80</v>
      </c>
      <c r="L175" s="1" t="s">
        <v>20</v>
      </c>
    </row>
    <row r="176" spans="1:12" x14ac:dyDescent="0.25">
      <c r="A176" s="1" t="s">
        <v>21</v>
      </c>
      <c r="B176" s="1" t="s">
        <v>22</v>
      </c>
      <c r="C176" s="1">
        <v>2022</v>
      </c>
      <c r="D176" s="1">
        <v>58750</v>
      </c>
      <c r="E176" s="1">
        <v>14.5</v>
      </c>
      <c r="F176" s="1">
        <v>71</v>
      </c>
      <c r="G176" s="1">
        <v>272097796</v>
      </c>
      <c r="H176" s="1">
        <v>73</v>
      </c>
      <c r="I176" s="1">
        <v>15.7</v>
      </c>
      <c r="J176" s="1">
        <v>89</v>
      </c>
      <c r="K176" s="1">
        <v>68</v>
      </c>
      <c r="L176" s="1" t="s">
        <v>14</v>
      </c>
    </row>
    <row r="177" spans="1:12" x14ac:dyDescent="0.25">
      <c r="A177" s="1" t="s">
        <v>23</v>
      </c>
      <c r="B177" s="1" t="s">
        <v>18</v>
      </c>
      <c r="C177" s="1">
        <v>2021</v>
      </c>
      <c r="D177" s="1">
        <v>12451</v>
      </c>
      <c r="E177" s="1">
        <v>14.6</v>
      </c>
      <c r="F177" s="1">
        <v>81</v>
      </c>
      <c r="G177" s="1">
        <v>891304499</v>
      </c>
      <c r="H177" s="1">
        <v>52</v>
      </c>
      <c r="I177" s="1">
        <v>2.4</v>
      </c>
      <c r="J177" s="1">
        <v>91</v>
      </c>
      <c r="K177" s="1">
        <v>61</v>
      </c>
      <c r="L177" s="1" t="s">
        <v>18</v>
      </c>
    </row>
    <row r="178" spans="1:12" x14ac:dyDescent="0.25">
      <c r="A178" s="1" t="s">
        <v>24</v>
      </c>
      <c r="B178" s="1" t="s">
        <v>16</v>
      </c>
      <c r="C178" s="1">
        <v>2021</v>
      </c>
      <c r="D178" s="1">
        <v>50398</v>
      </c>
      <c r="E178" s="1">
        <v>12.2</v>
      </c>
      <c r="F178" s="1">
        <v>80</v>
      </c>
      <c r="G178" s="1">
        <v>832785898</v>
      </c>
      <c r="H178" s="1">
        <v>54</v>
      </c>
      <c r="I178" s="1">
        <v>6.9</v>
      </c>
      <c r="J178" s="1">
        <v>72</v>
      </c>
      <c r="K178" s="1">
        <v>64</v>
      </c>
      <c r="L178" s="1" t="s">
        <v>16</v>
      </c>
    </row>
    <row r="179" spans="1:12" x14ac:dyDescent="0.25">
      <c r="A179" s="1" t="s">
        <v>25</v>
      </c>
      <c r="B179" s="1" t="s">
        <v>26</v>
      </c>
      <c r="C179" s="1">
        <v>2022</v>
      </c>
      <c r="D179" s="1">
        <v>18981</v>
      </c>
      <c r="E179" s="1">
        <v>8.1</v>
      </c>
      <c r="F179" s="1">
        <v>78</v>
      </c>
      <c r="G179" s="1">
        <v>1182968414</v>
      </c>
      <c r="H179" s="1">
        <v>71</v>
      </c>
      <c r="I179" s="1">
        <v>17.8</v>
      </c>
      <c r="J179" s="1">
        <v>95</v>
      </c>
      <c r="K179" s="1">
        <v>58</v>
      </c>
      <c r="L179" s="1" t="s">
        <v>26</v>
      </c>
    </row>
    <row r="180" spans="1:12" x14ac:dyDescent="0.25">
      <c r="A180" s="1" t="s">
        <v>27</v>
      </c>
      <c r="B180" s="1" t="s">
        <v>22</v>
      </c>
      <c r="C180" s="1">
        <v>2020</v>
      </c>
      <c r="D180" s="1">
        <v>51440</v>
      </c>
      <c r="E180" s="1">
        <v>12.7</v>
      </c>
      <c r="F180" s="1">
        <v>70</v>
      </c>
      <c r="G180" s="1">
        <v>1357629067</v>
      </c>
      <c r="H180" s="1">
        <v>51</v>
      </c>
      <c r="I180" s="1">
        <v>16</v>
      </c>
      <c r="J180" s="1">
        <v>83</v>
      </c>
      <c r="K180" s="1">
        <v>54</v>
      </c>
      <c r="L180" s="1" t="s">
        <v>14</v>
      </c>
    </row>
    <row r="181" spans="1:12" x14ac:dyDescent="0.25">
      <c r="A181" s="1" t="s">
        <v>28</v>
      </c>
      <c r="B181" s="1" t="s">
        <v>29</v>
      </c>
      <c r="C181" s="1">
        <v>2020</v>
      </c>
      <c r="D181" s="1">
        <v>5647</v>
      </c>
      <c r="E181" s="1">
        <v>16</v>
      </c>
      <c r="F181" s="1">
        <v>81</v>
      </c>
      <c r="G181" s="1">
        <v>1128296545</v>
      </c>
      <c r="H181" s="1">
        <v>61</v>
      </c>
      <c r="I181" s="1">
        <v>4.5</v>
      </c>
      <c r="J181" s="1">
        <v>82</v>
      </c>
      <c r="K181" s="1">
        <v>35</v>
      </c>
      <c r="L181" s="1" t="s">
        <v>29</v>
      </c>
    </row>
    <row r="182" spans="1:12" x14ac:dyDescent="0.25">
      <c r="A182" s="1" t="s">
        <v>12</v>
      </c>
      <c r="B182" s="1" t="s">
        <v>13</v>
      </c>
      <c r="C182" s="1">
        <v>2020</v>
      </c>
      <c r="D182" s="1">
        <v>44970</v>
      </c>
      <c r="E182" s="1">
        <v>5.7</v>
      </c>
      <c r="F182" s="1">
        <v>71</v>
      </c>
      <c r="G182" s="1">
        <v>1040378217</v>
      </c>
      <c r="H182" s="1">
        <v>76</v>
      </c>
      <c r="I182" s="1">
        <v>12.6</v>
      </c>
      <c r="J182" s="1">
        <v>98</v>
      </c>
      <c r="K182" s="1">
        <v>37</v>
      </c>
      <c r="L182" s="1" t="s">
        <v>14</v>
      </c>
    </row>
    <row r="183" spans="1:12" x14ac:dyDescent="0.25">
      <c r="A183" s="1" t="s">
        <v>15</v>
      </c>
      <c r="B183" s="1" t="s">
        <v>16</v>
      </c>
      <c r="C183" s="1">
        <v>2021</v>
      </c>
      <c r="D183" s="1">
        <v>9438</v>
      </c>
      <c r="E183" s="1">
        <v>7.4</v>
      </c>
      <c r="F183" s="1">
        <v>76</v>
      </c>
      <c r="G183" s="1">
        <v>1209766516</v>
      </c>
      <c r="H183" s="1">
        <v>54</v>
      </c>
      <c r="I183" s="1">
        <v>9.6</v>
      </c>
      <c r="J183" s="1">
        <v>71</v>
      </c>
      <c r="K183" s="1">
        <v>89</v>
      </c>
      <c r="L183" s="1" t="s">
        <v>16</v>
      </c>
    </row>
    <row r="184" spans="1:12" x14ac:dyDescent="0.25">
      <c r="A184" s="1" t="s">
        <v>17</v>
      </c>
      <c r="B184" s="1" t="s">
        <v>18</v>
      </c>
      <c r="C184" s="1">
        <v>2022</v>
      </c>
      <c r="D184" s="1">
        <v>5107</v>
      </c>
      <c r="E184" s="1">
        <v>3</v>
      </c>
      <c r="F184" s="1">
        <v>79</v>
      </c>
      <c r="G184" s="1">
        <v>700117256</v>
      </c>
      <c r="H184" s="1">
        <v>84</v>
      </c>
      <c r="I184" s="1">
        <v>12.3</v>
      </c>
      <c r="J184" s="1">
        <v>89</v>
      </c>
      <c r="K184" s="1">
        <v>68</v>
      </c>
      <c r="L184" s="1" t="s">
        <v>18</v>
      </c>
    </row>
    <row r="185" spans="1:12" x14ac:dyDescent="0.25">
      <c r="A185" s="1" t="s">
        <v>19</v>
      </c>
      <c r="B185" s="1" t="s">
        <v>20</v>
      </c>
      <c r="C185" s="1">
        <v>2020</v>
      </c>
      <c r="D185" s="1">
        <v>47147</v>
      </c>
      <c r="E185" s="1">
        <v>8.6999999999999993</v>
      </c>
      <c r="F185" s="1">
        <v>66</v>
      </c>
      <c r="G185" s="1">
        <v>375225188</v>
      </c>
      <c r="H185" s="1">
        <v>77</v>
      </c>
      <c r="I185" s="1">
        <v>7.3</v>
      </c>
      <c r="J185" s="1">
        <v>80</v>
      </c>
      <c r="K185" s="1">
        <v>75</v>
      </c>
      <c r="L185" s="1" t="s">
        <v>20</v>
      </c>
    </row>
    <row r="186" spans="1:12" x14ac:dyDescent="0.25">
      <c r="A186" s="1" t="s">
        <v>21</v>
      </c>
      <c r="B186" s="1" t="s">
        <v>22</v>
      </c>
      <c r="C186" s="1">
        <v>2021</v>
      </c>
      <c r="D186" s="1">
        <v>69904</v>
      </c>
      <c r="E186" s="1">
        <v>14</v>
      </c>
      <c r="F186" s="1">
        <v>67</v>
      </c>
      <c r="G186" s="1">
        <v>678719207</v>
      </c>
      <c r="H186" s="1">
        <v>89</v>
      </c>
      <c r="I186" s="1">
        <v>14.9</v>
      </c>
      <c r="J186" s="1">
        <v>90</v>
      </c>
      <c r="K186" s="1">
        <v>83</v>
      </c>
      <c r="L186" s="1" t="s">
        <v>14</v>
      </c>
    </row>
    <row r="187" spans="1:12" x14ac:dyDescent="0.25">
      <c r="A187" s="1" t="s">
        <v>23</v>
      </c>
      <c r="B187" s="1" t="s">
        <v>18</v>
      </c>
      <c r="C187" s="1">
        <v>2022</v>
      </c>
      <c r="D187" s="1">
        <v>60039</v>
      </c>
      <c r="E187" s="1">
        <v>13.8</v>
      </c>
      <c r="F187" s="1">
        <v>76</v>
      </c>
      <c r="G187" s="1">
        <v>1244251061</v>
      </c>
      <c r="H187" s="1">
        <v>82</v>
      </c>
      <c r="I187" s="1">
        <v>15.4</v>
      </c>
      <c r="J187" s="1">
        <v>80</v>
      </c>
      <c r="K187" s="1">
        <v>83</v>
      </c>
      <c r="L187" s="1" t="s">
        <v>18</v>
      </c>
    </row>
    <row r="188" spans="1:12" x14ac:dyDescent="0.25">
      <c r="A188" s="1" t="s">
        <v>24</v>
      </c>
      <c r="B188" s="1" t="s">
        <v>16</v>
      </c>
      <c r="C188" s="1">
        <v>2020</v>
      </c>
      <c r="D188" s="1">
        <v>33608</v>
      </c>
      <c r="E188" s="1">
        <v>9.6999999999999993</v>
      </c>
      <c r="F188" s="1">
        <v>69</v>
      </c>
      <c r="G188" s="1">
        <v>1058080092</v>
      </c>
      <c r="H188" s="1">
        <v>78</v>
      </c>
      <c r="I188" s="1">
        <v>14</v>
      </c>
      <c r="J188" s="1">
        <v>72</v>
      </c>
      <c r="K188" s="1">
        <v>53</v>
      </c>
      <c r="L188" s="1" t="s">
        <v>16</v>
      </c>
    </row>
    <row r="189" spans="1:12" x14ac:dyDescent="0.25">
      <c r="A189" s="1" t="s">
        <v>25</v>
      </c>
      <c r="B189" s="1" t="s">
        <v>26</v>
      </c>
      <c r="C189" s="1">
        <v>2020</v>
      </c>
      <c r="D189" s="1">
        <v>20686</v>
      </c>
      <c r="E189" s="1">
        <v>9.1</v>
      </c>
      <c r="F189" s="1">
        <v>62</v>
      </c>
      <c r="G189" s="1">
        <v>157876896</v>
      </c>
      <c r="H189" s="1">
        <v>64</v>
      </c>
      <c r="I189" s="1">
        <v>5.3</v>
      </c>
      <c r="J189" s="1">
        <v>85</v>
      </c>
      <c r="K189" s="1">
        <v>67</v>
      </c>
      <c r="L189" s="1" t="s">
        <v>26</v>
      </c>
    </row>
    <row r="190" spans="1:12" x14ac:dyDescent="0.25">
      <c r="A190" s="1" t="s">
        <v>27</v>
      </c>
      <c r="B190" s="1" t="s">
        <v>22</v>
      </c>
      <c r="C190" s="1">
        <v>2022</v>
      </c>
      <c r="D190" s="1">
        <v>15705</v>
      </c>
      <c r="E190" s="1">
        <v>7.9</v>
      </c>
      <c r="F190" s="1">
        <v>61</v>
      </c>
      <c r="G190" s="1">
        <v>1008291475</v>
      </c>
      <c r="H190" s="1">
        <v>85</v>
      </c>
      <c r="I190" s="1">
        <v>13.9</v>
      </c>
      <c r="J190" s="1">
        <v>70</v>
      </c>
      <c r="K190" s="1">
        <v>37</v>
      </c>
      <c r="L190" s="1" t="s">
        <v>14</v>
      </c>
    </row>
    <row r="191" spans="1:12" x14ac:dyDescent="0.25">
      <c r="A191" s="1" t="s">
        <v>28</v>
      </c>
      <c r="B191" s="1" t="s">
        <v>29</v>
      </c>
      <c r="C191" s="1">
        <v>2020</v>
      </c>
      <c r="D191" s="1">
        <v>59875</v>
      </c>
      <c r="E191" s="1">
        <v>15.5</v>
      </c>
      <c r="F191" s="1">
        <v>79</v>
      </c>
      <c r="G191" s="1">
        <v>289188078</v>
      </c>
      <c r="H191" s="1">
        <v>62</v>
      </c>
      <c r="I191" s="1">
        <v>6.5</v>
      </c>
      <c r="J191" s="1">
        <v>100</v>
      </c>
      <c r="K191" s="1">
        <v>43</v>
      </c>
      <c r="L191" s="1" t="s">
        <v>29</v>
      </c>
    </row>
    <row r="192" spans="1:12" x14ac:dyDescent="0.25">
      <c r="A192" s="1" t="s">
        <v>12</v>
      </c>
      <c r="B192" s="1" t="s">
        <v>13</v>
      </c>
      <c r="C192" s="1">
        <v>2022</v>
      </c>
      <c r="D192" s="1">
        <v>52069</v>
      </c>
      <c r="E192" s="1">
        <v>10.3</v>
      </c>
      <c r="F192" s="1">
        <v>74</v>
      </c>
      <c r="G192" s="1">
        <v>494801498</v>
      </c>
      <c r="H192" s="1">
        <v>53</v>
      </c>
      <c r="I192" s="1">
        <v>11.9</v>
      </c>
      <c r="J192" s="1">
        <v>94</v>
      </c>
      <c r="K192" s="1">
        <v>39</v>
      </c>
      <c r="L192" s="1" t="s">
        <v>14</v>
      </c>
    </row>
    <row r="193" spans="1:12" x14ac:dyDescent="0.25">
      <c r="A193" s="1" t="s">
        <v>15</v>
      </c>
      <c r="B193" s="1" t="s">
        <v>16</v>
      </c>
      <c r="C193" s="1">
        <v>2020</v>
      </c>
      <c r="D193" s="1">
        <v>68846</v>
      </c>
      <c r="E193" s="1">
        <v>15.4</v>
      </c>
      <c r="F193" s="1">
        <v>61</v>
      </c>
      <c r="G193" s="1">
        <v>1335714048</v>
      </c>
      <c r="H193" s="1">
        <v>90</v>
      </c>
      <c r="I193" s="1">
        <v>12.4</v>
      </c>
      <c r="J193" s="1">
        <v>95</v>
      </c>
      <c r="K193" s="1">
        <v>37</v>
      </c>
      <c r="L193" s="1" t="s">
        <v>16</v>
      </c>
    </row>
    <row r="194" spans="1:12" x14ac:dyDescent="0.25">
      <c r="A194" s="1" t="s">
        <v>17</v>
      </c>
      <c r="B194" s="1" t="s">
        <v>18</v>
      </c>
      <c r="C194" s="1">
        <v>2022</v>
      </c>
      <c r="D194" s="1">
        <v>47895</v>
      </c>
      <c r="E194" s="1">
        <v>3.3</v>
      </c>
      <c r="F194" s="1">
        <v>62</v>
      </c>
      <c r="G194" s="1">
        <v>428458635</v>
      </c>
      <c r="H194" s="1">
        <v>71</v>
      </c>
      <c r="I194" s="1">
        <v>22.5</v>
      </c>
      <c r="J194" s="1">
        <v>96</v>
      </c>
      <c r="K194" s="1">
        <v>61</v>
      </c>
      <c r="L194" s="1" t="s">
        <v>18</v>
      </c>
    </row>
    <row r="195" spans="1:12" x14ac:dyDescent="0.25">
      <c r="A195" s="1" t="s">
        <v>19</v>
      </c>
      <c r="B195" s="1" t="s">
        <v>20</v>
      </c>
      <c r="C195" s="1">
        <v>2021</v>
      </c>
      <c r="D195" s="1">
        <v>58738</v>
      </c>
      <c r="E195" s="1">
        <v>6.8</v>
      </c>
      <c r="F195" s="1">
        <v>74</v>
      </c>
      <c r="G195" s="1">
        <v>103091358</v>
      </c>
      <c r="H195" s="1">
        <v>70</v>
      </c>
      <c r="I195" s="1">
        <v>13.3</v>
      </c>
      <c r="J195" s="1">
        <v>90</v>
      </c>
      <c r="K195" s="1">
        <v>68</v>
      </c>
      <c r="L195" s="1" t="s">
        <v>20</v>
      </c>
    </row>
    <row r="196" spans="1:12" x14ac:dyDescent="0.25">
      <c r="A196" s="1" t="s">
        <v>21</v>
      </c>
      <c r="B196" s="1" t="s">
        <v>22</v>
      </c>
      <c r="C196" s="1">
        <v>2022</v>
      </c>
      <c r="D196" s="1">
        <v>60801</v>
      </c>
      <c r="E196" s="1">
        <v>4.4000000000000004</v>
      </c>
      <c r="F196" s="1">
        <v>66</v>
      </c>
      <c r="G196" s="1">
        <v>411470199</v>
      </c>
      <c r="H196" s="1">
        <v>86</v>
      </c>
      <c r="I196" s="1">
        <v>21.8</v>
      </c>
      <c r="J196" s="1">
        <v>94</v>
      </c>
      <c r="K196" s="1">
        <v>64</v>
      </c>
      <c r="L196" s="1" t="s">
        <v>14</v>
      </c>
    </row>
    <row r="197" spans="1:12" x14ac:dyDescent="0.25">
      <c r="A197" s="1" t="s">
        <v>23</v>
      </c>
      <c r="B197" s="1" t="s">
        <v>18</v>
      </c>
      <c r="C197" s="1">
        <v>2022</v>
      </c>
      <c r="D197" s="1">
        <v>17470</v>
      </c>
      <c r="E197" s="1">
        <v>3.9</v>
      </c>
      <c r="F197" s="1">
        <v>82</v>
      </c>
      <c r="G197" s="1">
        <v>391131065</v>
      </c>
      <c r="H197" s="1">
        <v>65</v>
      </c>
      <c r="I197" s="1">
        <v>22.5</v>
      </c>
      <c r="J197" s="1">
        <v>99</v>
      </c>
      <c r="K197" s="1">
        <v>84</v>
      </c>
      <c r="L197" s="1" t="s">
        <v>18</v>
      </c>
    </row>
    <row r="198" spans="1:12" x14ac:dyDescent="0.25">
      <c r="A198" s="1" t="s">
        <v>24</v>
      </c>
      <c r="B198" s="1" t="s">
        <v>16</v>
      </c>
      <c r="C198" s="1">
        <v>2020</v>
      </c>
      <c r="D198" s="1">
        <v>30158</v>
      </c>
      <c r="E198" s="1">
        <v>15.2</v>
      </c>
      <c r="F198" s="1">
        <v>63</v>
      </c>
      <c r="G198" s="1">
        <v>331730279</v>
      </c>
      <c r="H198" s="1">
        <v>52</v>
      </c>
      <c r="I198" s="1">
        <v>13.4</v>
      </c>
      <c r="J198" s="1">
        <v>71</v>
      </c>
      <c r="K198" s="1">
        <v>83</v>
      </c>
      <c r="L198" s="1" t="s">
        <v>16</v>
      </c>
    </row>
    <row r="199" spans="1:12" x14ac:dyDescent="0.25">
      <c r="A199" s="1" t="s">
        <v>25</v>
      </c>
      <c r="B199" s="1" t="s">
        <v>26</v>
      </c>
      <c r="C199" s="1">
        <v>2021</v>
      </c>
      <c r="D199" s="1">
        <v>59823</v>
      </c>
      <c r="E199" s="1">
        <v>10</v>
      </c>
      <c r="F199" s="1">
        <v>75</v>
      </c>
      <c r="G199" s="1">
        <v>981118344</v>
      </c>
      <c r="H199" s="1">
        <v>60</v>
      </c>
      <c r="I199" s="1">
        <v>9.3000000000000007</v>
      </c>
      <c r="J199" s="1">
        <v>83</v>
      </c>
      <c r="K199" s="1">
        <v>79</v>
      </c>
      <c r="L199" s="1" t="s">
        <v>26</v>
      </c>
    </row>
    <row r="200" spans="1:12" x14ac:dyDescent="0.25">
      <c r="A200" s="1" t="s">
        <v>27</v>
      </c>
      <c r="B200" s="1" t="s">
        <v>22</v>
      </c>
      <c r="C200" s="1">
        <v>2020</v>
      </c>
      <c r="D200" s="1">
        <v>62496</v>
      </c>
      <c r="E200" s="1">
        <v>4.7</v>
      </c>
      <c r="F200" s="1">
        <v>76</v>
      </c>
      <c r="G200" s="1">
        <v>1143301030</v>
      </c>
      <c r="H200" s="1">
        <v>76</v>
      </c>
      <c r="I200" s="1">
        <v>24.8</v>
      </c>
      <c r="J200" s="1">
        <v>84</v>
      </c>
      <c r="K200" s="1">
        <v>64</v>
      </c>
      <c r="L200" s="1" t="s">
        <v>14</v>
      </c>
    </row>
    <row r="201" spans="1:12" x14ac:dyDescent="0.25">
      <c r="A201" s="1" t="s">
        <v>28</v>
      </c>
      <c r="B201" s="1" t="s">
        <v>29</v>
      </c>
      <c r="C201" s="1">
        <v>2022</v>
      </c>
      <c r="D201" s="1">
        <v>57594</v>
      </c>
      <c r="E201" s="1">
        <v>15.7</v>
      </c>
      <c r="F201" s="1">
        <v>79</v>
      </c>
      <c r="G201" s="1">
        <v>124442783</v>
      </c>
      <c r="H201" s="1">
        <v>55</v>
      </c>
      <c r="I201" s="1">
        <v>6.2</v>
      </c>
      <c r="J201" s="1">
        <v>70</v>
      </c>
      <c r="K201" s="1">
        <v>42</v>
      </c>
      <c r="L201" s="1" t="s">
        <v>29</v>
      </c>
    </row>
    <row r="202" spans="1:12" x14ac:dyDescent="0.25">
      <c r="A202" s="1" t="s">
        <v>12</v>
      </c>
      <c r="B202" s="1" t="s">
        <v>13</v>
      </c>
      <c r="C202" s="1">
        <v>2021</v>
      </c>
      <c r="D202" s="1">
        <v>65364</v>
      </c>
      <c r="E202" s="1">
        <v>6.3</v>
      </c>
      <c r="F202" s="1">
        <v>69</v>
      </c>
      <c r="G202" s="1">
        <v>613657900</v>
      </c>
      <c r="H202" s="1">
        <v>65</v>
      </c>
      <c r="I202" s="1">
        <v>3</v>
      </c>
      <c r="J202" s="1">
        <v>92</v>
      </c>
      <c r="K202" s="1">
        <v>76</v>
      </c>
      <c r="L202" s="1" t="s">
        <v>14</v>
      </c>
    </row>
    <row r="203" spans="1:12" x14ac:dyDescent="0.25">
      <c r="A203" s="1" t="s">
        <v>15</v>
      </c>
      <c r="B203" s="1" t="s">
        <v>16</v>
      </c>
      <c r="C203" s="1">
        <v>2020</v>
      </c>
      <c r="D203" s="1">
        <v>25811</v>
      </c>
      <c r="E203" s="1">
        <v>5.2</v>
      </c>
      <c r="F203" s="1">
        <v>61</v>
      </c>
      <c r="G203" s="1">
        <v>1040959128</v>
      </c>
      <c r="H203" s="1">
        <v>72</v>
      </c>
      <c r="I203" s="1">
        <v>19.3</v>
      </c>
      <c r="J203" s="1">
        <v>70</v>
      </c>
      <c r="K203" s="1">
        <v>85</v>
      </c>
      <c r="L203" s="1" t="s">
        <v>16</v>
      </c>
    </row>
    <row r="204" spans="1:12" x14ac:dyDescent="0.25">
      <c r="A204" s="1" t="s">
        <v>17</v>
      </c>
      <c r="B204" s="1" t="s">
        <v>18</v>
      </c>
      <c r="C204" s="1">
        <v>2022</v>
      </c>
      <c r="D204" s="1">
        <v>6682</v>
      </c>
      <c r="E204" s="1">
        <v>12.6</v>
      </c>
      <c r="F204" s="1">
        <v>64</v>
      </c>
      <c r="G204" s="1">
        <v>13341104</v>
      </c>
      <c r="H204" s="1">
        <v>76</v>
      </c>
      <c r="I204" s="1">
        <v>23.4</v>
      </c>
      <c r="J204" s="1">
        <v>80</v>
      </c>
      <c r="K204" s="1">
        <v>35</v>
      </c>
      <c r="L204" s="1" t="s">
        <v>18</v>
      </c>
    </row>
    <row r="205" spans="1:12" x14ac:dyDescent="0.25">
      <c r="A205" s="1" t="s">
        <v>19</v>
      </c>
      <c r="B205" s="1" t="s">
        <v>20</v>
      </c>
      <c r="C205" s="1">
        <v>2021</v>
      </c>
      <c r="D205" s="1">
        <v>50479</v>
      </c>
      <c r="E205" s="1">
        <v>14.4</v>
      </c>
      <c r="F205" s="1">
        <v>80</v>
      </c>
      <c r="G205" s="1">
        <v>773138670</v>
      </c>
      <c r="H205" s="1">
        <v>90</v>
      </c>
      <c r="I205" s="1">
        <v>5</v>
      </c>
      <c r="J205" s="1">
        <v>76</v>
      </c>
      <c r="K205" s="1">
        <v>70</v>
      </c>
      <c r="L205" s="1" t="s">
        <v>20</v>
      </c>
    </row>
    <row r="206" spans="1:12" x14ac:dyDescent="0.25">
      <c r="A206" s="1" t="s">
        <v>21</v>
      </c>
      <c r="B206" s="1" t="s">
        <v>22</v>
      </c>
      <c r="C206" s="1">
        <v>2021</v>
      </c>
      <c r="D206" s="1">
        <v>40007</v>
      </c>
      <c r="E206" s="1">
        <v>6.7</v>
      </c>
      <c r="F206" s="1">
        <v>82</v>
      </c>
      <c r="G206" s="1">
        <v>1073901460</v>
      </c>
      <c r="H206" s="1">
        <v>50</v>
      </c>
      <c r="I206" s="1">
        <v>12.1</v>
      </c>
      <c r="J206" s="1">
        <v>97</v>
      </c>
      <c r="K206" s="1">
        <v>56</v>
      </c>
      <c r="L206" s="1" t="s">
        <v>14</v>
      </c>
    </row>
    <row r="207" spans="1:12" x14ac:dyDescent="0.25">
      <c r="A207" s="1" t="s">
        <v>23</v>
      </c>
      <c r="B207" s="1" t="s">
        <v>18</v>
      </c>
      <c r="C207" s="1">
        <v>2021</v>
      </c>
      <c r="D207" s="1">
        <v>28234</v>
      </c>
      <c r="E207" s="1">
        <v>15.1</v>
      </c>
      <c r="F207" s="1">
        <v>70</v>
      </c>
      <c r="G207" s="1">
        <v>154075773</v>
      </c>
      <c r="H207" s="1">
        <v>91</v>
      </c>
      <c r="I207" s="1">
        <v>17.600000000000001</v>
      </c>
      <c r="J207" s="1">
        <v>79</v>
      </c>
      <c r="K207" s="1">
        <v>56</v>
      </c>
      <c r="L207" s="1" t="s">
        <v>18</v>
      </c>
    </row>
    <row r="208" spans="1:12" x14ac:dyDescent="0.25">
      <c r="A208" s="1" t="s">
        <v>24</v>
      </c>
      <c r="B208" s="1" t="s">
        <v>16</v>
      </c>
      <c r="C208" s="1">
        <v>2020</v>
      </c>
      <c r="D208" s="1">
        <v>64203</v>
      </c>
      <c r="E208" s="1">
        <v>9.1999999999999993</v>
      </c>
      <c r="F208" s="1">
        <v>62</v>
      </c>
      <c r="G208" s="1">
        <v>804347792</v>
      </c>
      <c r="H208" s="1">
        <v>58</v>
      </c>
      <c r="I208" s="1">
        <v>6.9</v>
      </c>
      <c r="J208" s="1">
        <v>75</v>
      </c>
      <c r="K208" s="1">
        <v>45</v>
      </c>
      <c r="L208" s="1" t="s">
        <v>16</v>
      </c>
    </row>
    <row r="209" spans="1:12" x14ac:dyDescent="0.25">
      <c r="A209" s="1" t="s">
        <v>25</v>
      </c>
      <c r="B209" s="1" t="s">
        <v>26</v>
      </c>
      <c r="C209" s="1">
        <v>2020</v>
      </c>
      <c r="D209" s="1">
        <v>18226</v>
      </c>
      <c r="E209" s="1">
        <v>13.3</v>
      </c>
      <c r="F209" s="1">
        <v>79</v>
      </c>
      <c r="G209" s="1">
        <v>10101523</v>
      </c>
      <c r="H209" s="1">
        <v>53</v>
      </c>
      <c r="I209" s="1">
        <v>11.5</v>
      </c>
      <c r="J209" s="1">
        <v>89</v>
      </c>
      <c r="K209" s="1">
        <v>45</v>
      </c>
      <c r="L209" s="1" t="s">
        <v>26</v>
      </c>
    </row>
    <row r="210" spans="1:12" x14ac:dyDescent="0.25">
      <c r="A210" s="1" t="s">
        <v>27</v>
      </c>
      <c r="B210" s="1" t="s">
        <v>22</v>
      </c>
      <c r="C210" s="1">
        <v>2020</v>
      </c>
      <c r="D210" s="1">
        <v>29364</v>
      </c>
      <c r="E210" s="1">
        <v>14</v>
      </c>
      <c r="F210" s="1">
        <v>84</v>
      </c>
      <c r="G210" s="1">
        <v>1098239651</v>
      </c>
      <c r="H210" s="1">
        <v>51</v>
      </c>
      <c r="I210" s="1">
        <v>14.1</v>
      </c>
      <c r="J210" s="1">
        <v>91</v>
      </c>
      <c r="K210" s="1">
        <v>72</v>
      </c>
      <c r="L210" s="1" t="s">
        <v>14</v>
      </c>
    </row>
    <row r="211" spans="1:12" x14ac:dyDescent="0.25">
      <c r="A211" s="1" t="s">
        <v>28</v>
      </c>
      <c r="B211" s="1" t="s">
        <v>29</v>
      </c>
      <c r="C211" s="1">
        <v>2021</v>
      </c>
      <c r="D211" s="1">
        <v>56951</v>
      </c>
      <c r="E211" s="1">
        <v>4.4000000000000004</v>
      </c>
      <c r="F211" s="1">
        <v>72</v>
      </c>
      <c r="G211" s="1">
        <v>326854857</v>
      </c>
      <c r="H211" s="1">
        <v>75</v>
      </c>
      <c r="I211" s="1">
        <v>5.3</v>
      </c>
      <c r="J211" s="1">
        <v>96</v>
      </c>
      <c r="K211" s="1">
        <v>42</v>
      </c>
      <c r="L211" s="1" t="s">
        <v>29</v>
      </c>
    </row>
    <row r="212" spans="1:12" x14ac:dyDescent="0.25">
      <c r="A212" s="1" t="s">
        <v>12</v>
      </c>
      <c r="B212" s="1" t="s">
        <v>13</v>
      </c>
      <c r="C212" s="1">
        <v>2021</v>
      </c>
      <c r="D212" s="1">
        <v>48719</v>
      </c>
      <c r="E212" s="1">
        <v>16.3</v>
      </c>
      <c r="F212" s="1">
        <v>72</v>
      </c>
      <c r="G212" s="1">
        <v>1330075108</v>
      </c>
      <c r="H212" s="1">
        <v>70</v>
      </c>
      <c r="I212" s="1">
        <v>9.9</v>
      </c>
      <c r="J212" s="1">
        <v>97</v>
      </c>
      <c r="K212" s="1">
        <v>43</v>
      </c>
      <c r="L212" s="1" t="s">
        <v>14</v>
      </c>
    </row>
    <row r="213" spans="1:12" x14ac:dyDescent="0.25">
      <c r="A213" s="1" t="s">
        <v>15</v>
      </c>
      <c r="B213" s="1" t="s">
        <v>16</v>
      </c>
      <c r="C213" s="1">
        <v>2021</v>
      </c>
      <c r="D213" s="1">
        <v>25391</v>
      </c>
      <c r="E213" s="1">
        <v>8</v>
      </c>
      <c r="F213" s="1">
        <v>69</v>
      </c>
      <c r="G213" s="1">
        <v>641610669</v>
      </c>
      <c r="H213" s="1">
        <v>88</v>
      </c>
      <c r="I213" s="1">
        <v>20.100000000000001</v>
      </c>
      <c r="J213" s="1">
        <v>84</v>
      </c>
      <c r="K213" s="1">
        <v>57</v>
      </c>
      <c r="L213" s="1" t="s">
        <v>16</v>
      </c>
    </row>
    <row r="214" spans="1:12" x14ac:dyDescent="0.25">
      <c r="A214" s="1" t="s">
        <v>17</v>
      </c>
      <c r="B214" s="1" t="s">
        <v>18</v>
      </c>
      <c r="C214" s="1">
        <v>2020</v>
      </c>
      <c r="D214" s="1">
        <v>65349</v>
      </c>
      <c r="E214" s="1">
        <v>6.8</v>
      </c>
      <c r="F214" s="1">
        <v>75</v>
      </c>
      <c r="G214" s="1">
        <v>506013176</v>
      </c>
      <c r="H214" s="1">
        <v>82</v>
      </c>
      <c r="I214" s="1">
        <v>23.9</v>
      </c>
      <c r="J214" s="1">
        <v>100</v>
      </c>
      <c r="K214" s="1">
        <v>50</v>
      </c>
      <c r="L214" s="1" t="s">
        <v>18</v>
      </c>
    </row>
    <row r="215" spans="1:12" x14ac:dyDescent="0.25">
      <c r="A215" s="1" t="s">
        <v>19</v>
      </c>
      <c r="B215" s="1" t="s">
        <v>20</v>
      </c>
      <c r="C215" s="1">
        <v>2022</v>
      </c>
      <c r="D215" s="1">
        <v>69420</v>
      </c>
      <c r="E215" s="1">
        <v>15</v>
      </c>
      <c r="F215" s="1">
        <v>82</v>
      </c>
      <c r="G215" s="1">
        <v>1398349896</v>
      </c>
      <c r="H215" s="1">
        <v>54</v>
      </c>
      <c r="I215" s="1">
        <v>14.1</v>
      </c>
      <c r="J215" s="1">
        <v>97</v>
      </c>
      <c r="K215" s="1">
        <v>83</v>
      </c>
      <c r="L215" s="1" t="s">
        <v>20</v>
      </c>
    </row>
    <row r="216" spans="1:12" x14ac:dyDescent="0.25">
      <c r="A216" s="1" t="s">
        <v>21</v>
      </c>
      <c r="B216" s="1" t="s">
        <v>22</v>
      </c>
      <c r="C216" s="1">
        <v>2020</v>
      </c>
      <c r="D216" s="1">
        <v>25281</v>
      </c>
      <c r="E216" s="1">
        <v>9.6</v>
      </c>
      <c r="F216" s="1">
        <v>66</v>
      </c>
      <c r="G216" s="1">
        <v>186912023</v>
      </c>
      <c r="H216" s="1">
        <v>75</v>
      </c>
      <c r="I216" s="1">
        <v>4.8</v>
      </c>
      <c r="J216" s="1">
        <v>85</v>
      </c>
      <c r="K216" s="1">
        <v>60</v>
      </c>
      <c r="L216" s="1" t="s">
        <v>14</v>
      </c>
    </row>
    <row r="217" spans="1:12" x14ac:dyDescent="0.25">
      <c r="A217" s="1" t="s">
        <v>23</v>
      </c>
      <c r="B217" s="1" t="s">
        <v>18</v>
      </c>
      <c r="C217" s="1">
        <v>2022</v>
      </c>
      <c r="D217" s="1">
        <v>27693</v>
      </c>
      <c r="E217" s="1">
        <v>4.5</v>
      </c>
      <c r="F217" s="1">
        <v>73</v>
      </c>
      <c r="G217" s="1">
        <v>406612262</v>
      </c>
      <c r="H217" s="1">
        <v>58</v>
      </c>
      <c r="I217" s="1">
        <v>20.9</v>
      </c>
      <c r="J217" s="1">
        <v>89</v>
      </c>
      <c r="K217" s="1">
        <v>53</v>
      </c>
      <c r="L217" s="1" t="s">
        <v>18</v>
      </c>
    </row>
    <row r="218" spans="1:12" x14ac:dyDescent="0.25">
      <c r="A218" s="1" t="s">
        <v>24</v>
      </c>
      <c r="B218" s="1" t="s">
        <v>16</v>
      </c>
      <c r="C218" s="1">
        <v>2022</v>
      </c>
      <c r="D218" s="1">
        <v>54392</v>
      </c>
      <c r="E218" s="1">
        <v>9.4</v>
      </c>
      <c r="F218" s="1">
        <v>63</v>
      </c>
      <c r="G218" s="1">
        <v>756127784</v>
      </c>
      <c r="H218" s="1">
        <v>57</v>
      </c>
      <c r="I218" s="1">
        <v>11.1</v>
      </c>
      <c r="J218" s="1">
        <v>91</v>
      </c>
      <c r="K218" s="1">
        <v>71</v>
      </c>
      <c r="L218" s="1" t="s">
        <v>16</v>
      </c>
    </row>
    <row r="219" spans="1:12" x14ac:dyDescent="0.25">
      <c r="A219" s="1" t="s">
        <v>25</v>
      </c>
      <c r="B219" s="1" t="s">
        <v>26</v>
      </c>
      <c r="C219" s="1">
        <v>2022</v>
      </c>
      <c r="D219" s="1">
        <v>45061</v>
      </c>
      <c r="E219" s="1">
        <v>6</v>
      </c>
      <c r="F219" s="1">
        <v>68</v>
      </c>
      <c r="G219" s="1">
        <v>1087600014</v>
      </c>
      <c r="H219" s="1">
        <v>95</v>
      </c>
      <c r="I219" s="1">
        <v>15.1</v>
      </c>
      <c r="J219" s="1">
        <v>100</v>
      </c>
      <c r="K219" s="1">
        <v>66</v>
      </c>
      <c r="L219" s="1" t="s">
        <v>26</v>
      </c>
    </row>
    <row r="220" spans="1:12" x14ac:dyDescent="0.25">
      <c r="A220" s="1" t="s">
        <v>27</v>
      </c>
      <c r="B220" s="1" t="s">
        <v>22</v>
      </c>
      <c r="C220" s="1">
        <v>2021</v>
      </c>
      <c r="D220" s="1">
        <v>12832</v>
      </c>
      <c r="E220" s="1">
        <v>4.5999999999999996</v>
      </c>
      <c r="F220" s="1">
        <v>67</v>
      </c>
      <c r="G220" s="1">
        <v>1351589766</v>
      </c>
      <c r="H220" s="1">
        <v>73</v>
      </c>
      <c r="I220" s="1">
        <v>14.8</v>
      </c>
      <c r="J220" s="1">
        <v>70</v>
      </c>
      <c r="K220" s="1">
        <v>79</v>
      </c>
      <c r="L220" s="1" t="s">
        <v>14</v>
      </c>
    </row>
    <row r="221" spans="1:12" x14ac:dyDescent="0.25">
      <c r="A221" s="1" t="s">
        <v>28</v>
      </c>
      <c r="B221" s="1" t="s">
        <v>29</v>
      </c>
      <c r="C221" s="1">
        <v>2022</v>
      </c>
      <c r="D221" s="1">
        <v>36196</v>
      </c>
      <c r="E221" s="1">
        <v>9.5</v>
      </c>
      <c r="F221" s="1">
        <v>76</v>
      </c>
      <c r="G221" s="1">
        <v>568305105</v>
      </c>
      <c r="H221" s="1">
        <v>64</v>
      </c>
      <c r="I221" s="1">
        <v>9</v>
      </c>
      <c r="J221" s="1">
        <v>90</v>
      </c>
      <c r="K221" s="1">
        <v>42</v>
      </c>
      <c r="L221" s="1" t="s">
        <v>29</v>
      </c>
    </row>
    <row r="222" spans="1:12" x14ac:dyDescent="0.25">
      <c r="A222" s="1" t="s">
        <v>12</v>
      </c>
      <c r="B222" s="1" t="s">
        <v>13</v>
      </c>
      <c r="C222" s="1">
        <v>2020</v>
      </c>
      <c r="D222" s="1">
        <v>50070</v>
      </c>
      <c r="E222" s="1">
        <v>6.6</v>
      </c>
      <c r="F222" s="1">
        <v>70</v>
      </c>
      <c r="G222" s="1">
        <v>132933727</v>
      </c>
      <c r="H222" s="1">
        <v>51</v>
      </c>
      <c r="I222" s="1">
        <v>10.9</v>
      </c>
      <c r="J222" s="1">
        <v>82</v>
      </c>
      <c r="K222" s="1">
        <v>73</v>
      </c>
      <c r="L222" s="1" t="s">
        <v>14</v>
      </c>
    </row>
    <row r="223" spans="1:12" x14ac:dyDescent="0.25">
      <c r="A223" s="1" t="s">
        <v>15</v>
      </c>
      <c r="B223" s="1" t="s">
        <v>16</v>
      </c>
      <c r="C223" s="1">
        <v>2021</v>
      </c>
      <c r="D223" s="1">
        <v>61031</v>
      </c>
      <c r="E223" s="1">
        <v>14.2</v>
      </c>
      <c r="F223" s="1">
        <v>62</v>
      </c>
      <c r="G223" s="1">
        <v>66452698</v>
      </c>
      <c r="H223" s="1">
        <v>64</v>
      </c>
      <c r="I223" s="1">
        <v>15.6</v>
      </c>
      <c r="J223" s="1">
        <v>87</v>
      </c>
      <c r="K223" s="1">
        <v>30</v>
      </c>
      <c r="L223" s="1" t="s">
        <v>16</v>
      </c>
    </row>
    <row r="224" spans="1:12" x14ac:dyDescent="0.25">
      <c r="A224" s="1" t="s">
        <v>17</v>
      </c>
      <c r="B224" s="1" t="s">
        <v>18</v>
      </c>
      <c r="C224" s="1">
        <v>2021</v>
      </c>
      <c r="D224" s="1">
        <v>38446</v>
      </c>
      <c r="E224" s="1">
        <v>10.1</v>
      </c>
      <c r="F224" s="1">
        <v>65</v>
      </c>
      <c r="G224" s="1">
        <v>1215430400</v>
      </c>
      <c r="H224" s="1">
        <v>77</v>
      </c>
      <c r="I224" s="1">
        <v>11.1</v>
      </c>
      <c r="J224" s="1">
        <v>94</v>
      </c>
      <c r="K224" s="1">
        <v>80</v>
      </c>
      <c r="L224" s="1" t="s">
        <v>18</v>
      </c>
    </row>
    <row r="225" spans="1:12" x14ac:dyDescent="0.25">
      <c r="A225" s="1" t="s">
        <v>19</v>
      </c>
      <c r="B225" s="1" t="s">
        <v>20</v>
      </c>
      <c r="C225" s="1">
        <v>2022</v>
      </c>
      <c r="D225" s="1">
        <v>3632</v>
      </c>
      <c r="E225" s="1">
        <v>3.9</v>
      </c>
      <c r="F225" s="1">
        <v>66</v>
      </c>
      <c r="G225" s="1">
        <v>436429142</v>
      </c>
      <c r="H225" s="1">
        <v>92</v>
      </c>
      <c r="I225" s="1">
        <v>23.5</v>
      </c>
      <c r="J225" s="1">
        <v>95</v>
      </c>
      <c r="K225" s="1">
        <v>88</v>
      </c>
      <c r="L225" s="1" t="s">
        <v>20</v>
      </c>
    </row>
    <row r="226" spans="1:12" x14ac:dyDescent="0.25">
      <c r="A226" s="1" t="s">
        <v>21</v>
      </c>
      <c r="B226" s="1" t="s">
        <v>22</v>
      </c>
      <c r="C226" s="1">
        <v>2020</v>
      </c>
      <c r="D226" s="1">
        <v>14361</v>
      </c>
      <c r="E226" s="1">
        <v>15.8</v>
      </c>
      <c r="F226" s="1">
        <v>75</v>
      </c>
      <c r="G226" s="1">
        <v>826168098</v>
      </c>
      <c r="H226" s="1">
        <v>61</v>
      </c>
      <c r="I226" s="1">
        <v>17.399999999999999</v>
      </c>
      <c r="J226" s="1">
        <v>74</v>
      </c>
      <c r="K226" s="1">
        <v>77</v>
      </c>
      <c r="L226" s="1" t="s">
        <v>14</v>
      </c>
    </row>
    <row r="227" spans="1:12" x14ac:dyDescent="0.25">
      <c r="A227" s="1" t="s">
        <v>23</v>
      </c>
      <c r="B227" s="1" t="s">
        <v>18</v>
      </c>
      <c r="C227" s="1">
        <v>2022</v>
      </c>
      <c r="D227" s="1">
        <v>67471</v>
      </c>
      <c r="E227" s="1">
        <v>15.5</v>
      </c>
      <c r="F227" s="1">
        <v>60</v>
      </c>
      <c r="G227" s="1">
        <v>586887745</v>
      </c>
      <c r="H227" s="1">
        <v>71</v>
      </c>
      <c r="I227" s="1">
        <v>4.8</v>
      </c>
      <c r="J227" s="1">
        <v>82</v>
      </c>
      <c r="K227" s="1">
        <v>64</v>
      </c>
      <c r="L227" s="1" t="s">
        <v>18</v>
      </c>
    </row>
    <row r="228" spans="1:12" x14ac:dyDescent="0.25">
      <c r="A228" s="1" t="s">
        <v>24</v>
      </c>
      <c r="B228" s="1" t="s">
        <v>16</v>
      </c>
      <c r="C228" s="1">
        <v>2022</v>
      </c>
      <c r="D228" s="1">
        <v>45776</v>
      </c>
      <c r="E228" s="1">
        <v>15.7</v>
      </c>
      <c r="F228" s="1">
        <v>77</v>
      </c>
      <c r="G228" s="1">
        <v>1066928404</v>
      </c>
      <c r="H228" s="1">
        <v>55</v>
      </c>
      <c r="I228" s="1">
        <v>18.7</v>
      </c>
      <c r="J228" s="1">
        <v>93</v>
      </c>
      <c r="K228" s="1">
        <v>53</v>
      </c>
      <c r="L228" s="1" t="s">
        <v>16</v>
      </c>
    </row>
    <row r="229" spans="1:12" x14ac:dyDescent="0.25">
      <c r="A229" s="1" t="s">
        <v>25</v>
      </c>
      <c r="B229" s="1" t="s">
        <v>26</v>
      </c>
      <c r="C229" s="1">
        <v>2021</v>
      </c>
      <c r="D229" s="1">
        <v>2895</v>
      </c>
      <c r="E229" s="1">
        <v>7</v>
      </c>
      <c r="F229" s="1">
        <v>60</v>
      </c>
      <c r="G229" s="1">
        <v>735193385</v>
      </c>
      <c r="H229" s="1">
        <v>72</v>
      </c>
      <c r="I229" s="1">
        <v>21.2</v>
      </c>
      <c r="J229" s="1">
        <v>99</v>
      </c>
      <c r="K229" s="1">
        <v>47</v>
      </c>
      <c r="L229" s="1" t="s">
        <v>26</v>
      </c>
    </row>
    <row r="230" spans="1:12" x14ac:dyDescent="0.25">
      <c r="A230" s="1" t="s">
        <v>27</v>
      </c>
      <c r="B230" s="1" t="s">
        <v>22</v>
      </c>
      <c r="C230" s="1">
        <v>2020</v>
      </c>
      <c r="D230" s="1">
        <v>20794</v>
      </c>
      <c r="E230" s="1">
        <v>16.899999999999999</v>
      </c>
      <c r="F230" s="1">
        <v>82</v>
      </c>
      <c r="G230" s="1">
        <v>593687566</v>
      </c>
      <c r="H230" s="1">
        <v>54</v>
      </c>
      <c r="I230" s="1">
        <v>14.7</v>
      </c>
      <c r="J230" s="1">
        <v>91</v>
      </c>
      <c r="K230" s="1">
        <v>55</v>
      </c>
      <c r="L230" s="1" t="s">
        <v>14</v>
      </c>
    </row>
    <row r="231" spans="1:12" x14ac:dyDescent="0.25">
      <c r="A231" s="1" t="s">
        <v>28</v>
      </c>
      <c r="B231" s="1" t="s">
        <v>29</v>
      </c>
      <c r="C231" s="1">
        <v>2020</v>
      </c>
      <c r="D231" s="1">
        <v>58145</v>
      </c>
      <c r="E231" s="1">
        <v>3.7</v>
      </c>
      <c r="F231" s="1">
        <v>84</v>
      </c>
      <c r="G231" s="1">
        <v>178559054</v>
      </c>
      <c r="H231" s="1">
        <v>80</v>
      </c>
      <c r="I231" s="1">
        <v>20</v>
      </c>
      <c r="J231" s="1">
        <v>95</v>
      </c>
      <c r="K231" s="1">
        <v>31</v>
      </c>
      <c r="L231" s="1" t="s">
        <v>29</v>
      </c>
    </row>
    <row r="232" spans="1:12" x14ac:dyDescent="0.25">
      <c r="A232" s="1" t="s">
        <v>12</v>
      </c>
      <c r="B232" s="1" t="s">
        <v>13</v>
      </c>
      <c r="C232" s="1">
        <v>2022</v>
      </c>
      <c r="D232" s="1">
        <v>8464</v>
      </c>
      <c r="E232" s="1">
        <v>10.1</v>
      </c>
      <c r="F232" s="1">
        <v>67</v>
      </c>
      <c r="G232" s="1">
        <v>1235541893</v>
      </c>
      <c r="H232" s="1">
        <v>91</v>
      </c>
      <c r="I232" s="1">
        <v>8.6</v>
      </c>
      <c r="J232" s="1">
        <v>79</v>
      </c>
      <c r="K232" s="1">
        <v>54</v>
      </c>
      <c r="L232" s="1" t="s">
        <v>14</v>
      </c>
    </row>
    <row r="233" spans="1:12" x14ac:dyDescent="0.25">
      <c r="A233" s="1" t="s">
        <v>15</v>
      </c>
      <c r="B233" s="1" t="s">
        <v>16</v>
      </c>
      <c r="C233" s="1">
        <v>2021</v>
      </c>
      <c r="D233" s="1">
        <v>30566</v>
      </c>
      <c r="E233" s="1">
        <v>16.8</v>
      </c>
      <c r="F233" s="1">
        <v>79</v>
      </c>
      <c r="G233" s="1">
        <v>1490429098</v>
      </c>
      <c r="H233" s="1">
        <v>77</v>
      </c>
      <c r="I233" s="1">
        <v>5.3</v>
      </c>
      <c r="J233" s="1">
        <v>86</v>
      </c>
      <c r="K233" s="1">
        <v>64</v>
      </c>
      <c r="L233" s="1" t="s">
        <v>16</v>
      </c>
    </row>
    <row r="234" spans="1:12" x14ac:dyDescent="0.25">
      <c r="A234" s="1" t="s">
        <v>17</v>
      </c>
      <c r="B234" s="1" t="s">
        <v>18</v>
      </c>
      <c r="C234" s="1">
        <v>2020</v>
      </c>
      <c r="D234" s="1">
        <v>44913</v>
      </c>
      <c r="E234" s="1">
        <v>15.5</v>
      </c>
      <c r="F234" s="1">
        <v>71</v>
      </c>
      <c r="G234" s="1">
        <v>768731173</v>
      </c>
      <c r="H234" s="1">
        <v>57</v>
      </c>
      <c r="I234" s="1">
        <v>9.9</v>
      </c>
      <c r="J234" s="1">
        <v>79</v>
      </c>
      <c r="K234" s="1">
        <v>44</v>
      </c>
      <c r="L234" s="1" t="s">
        <v>18</v>
      </c>
    </row>
    <row r="235" spans="1:12" x14ac:dyDescent="0.25">
      <c r="A235" s="1" t="s">
        <v>19</v>
      </c>
      <c r="B235" s="1" t="s">
        <v>20</v>
      </c>
      <c r="C235" s="1">
        <v>2022</v>
      </c>
      <c r="D235" s="1">
        <v>8422</v>
      </c>
      <c r="E235" s="1">
        <v>7.8</v>
      </c>
      <c r="F235" s="1">
        <v>67</v>
      </c>
      <c r="G235" s="1">
        <v>542020568</v>
      </c>
      <c r="H235" s="1">
        <v>94</v>
      </c>
      <c r="I235" s="1">
        <v>4.3</v>
      </c>
      <c r="J235" s="1">
        <v>81</v>
      </c>
      <c r="K235" s="1">
        <v>35</v>
      </c>
      <c r="L235" s="1" t="s">
        <v>20</v>
      </c>
    </row>
    <row r="236" spans="1:12" x14ac:dyDescent="0.25">
      <c r="A236" s="1" t="s">
        <v>21</v>
      </c>
      <c r="B236" s="1" t="s">
        <v>22</v>
      </c>
      <c r="C236" s="1">
        <v>2020</v>
      </c>
      <c r="D236" s="1">
        <v>24162</v>
      </c>
      <c r="E236" s="1">
        <v>12.5</v>
      </c>
      <c r="F236" s="1">
        <v>68</v>
      </c>
      <c r="G236" s="1">
        <v>699868506</v>
      </c>
      <c r="H236" s="1">
        <v>68</v>
      </c>
      <c r="I236" s="1">
        <v>20.3</v>
      </c>
      <c r="J236" s="1">
        <v>81</v>
      </c>
      <c r="K236" s="1">
        <v>76</v>
      </c>
      <c r="L236" s="1" t="s">
        <v>14</v>
      </c>
    </row>
    <row r="237" spans="1:12" x14ac:dyDescent="0.25">
      <c r="A237" s="1" t="s">
        <v>23</v>
      </c>
      <c r="B237" s="1" t="s">
        <v>18</v>
      </c>
      <c r="C237" s="1">
        <v>2020</v>
      </c>
      <c r="D237" s="1">
        <v>64150</v>
      </c>
      <c r="E237" s="1">
        <v>11.6</v>
      </c>
      <c r="F237" s="1">
        <v>77</v>
      </c>
      <c r="G237" s="1">
        <v>451311215</v>
      </c>
      <c r="H237" s="1">
        <v>90</v>
      </c>
      <c r="I237" s="1">
        <v>17.7</v>
      </c>
      <c r="J237" s="1">
        <v>96</v>
      </c>
      <c r="K237" s="1">
        <v>58</v>
      </c>
      <c r="L237" s="1" t="s">
        <v>18</v>
      </c>
    </row>
    <row r="238" spans="1:12" x14ac:dyDescent="0.25">
      <c r="A238" s="1" t="s">
        <v>24</v>
      </c>
      <c r="B238" s="1" t="s">
        <v>16</v>
      </c>
      <c r="C238" s="1">
        <v>2022</v>
      </c>
      <c r="D238" s="1">
        <v>58981</v>
      </c>
      <c r="E238" s="1">
        <v>8.6999999999999993</v>
      </c>
      <c r="F238" s="1">
        <v>66</v>
      </c>
      <c r="G238" s="1">
        <v>1494679285</v>
      </c>
      <c r="H238" s="1">
        <v>54</v>
      </c>
      <c r="I238" s="1">
        <v>7.2</v>
      </c>
      <c r="J238" s="1">
        <v>93</v>
      </c>
      <c r="K238" s="1">
        <v>67</v>
      </c>
      <c r="L238" s="1" t="s">
        <v>16</v>
      </c>
    </row>
    <row r="239" spans="1:12" x14ac:dyDescent="0.25">
      <c r="A239" s="1" t="s">
        <v>25</v>
      </c>
      <c r="B239" s="1" t="s">
        <v>26</v>
      </c>
      <c r="C239" s="1">
        <v>2022</v>
      </c>
      <c r="D239" s="1">
        <v>27083</v>
      </c>
      <c r="E239" s="1">
        <v>5.4</v>
      </c>
      <c r="F239" s="1">
        <v>68</v>
      </c>
      <c r="G239" s="1">
        <v>991560709</v>
      </c>
      <c r="H239" s="1">
        <v>94</v>
      </c>
      <c r="I239" s="1">
        <v>24.5</v>
      </c>
      <c r="J239" s="1">
        <v>78</v>
      </c>
      <c r="K239" s="1">
        <v>66</v>
      </c>
      <c r="L239" s="1" t="s">
        <v>26</v>
      </c>
    </row>
    <row r="240" spans="1:12" x14ac:dyDescent="0.25">
      <c r="A240" s="1" t="s">
        <v>27</v>
      </c>
      <c r="B240" s="1" t="s">
        <v>22</v>
      </c>
      <c r="C240" s="1">
        <v>2021</v>
      </c>
      <c r="D240" s="1">
        <v>2323</v>
      </c>
      <c r="E240" s="1">
        <v>11.1</v>
      </c>
      <c r="F240" s="1">
        <v>70</v>
      </c>
      <c r="G240" s="1">
        <v>859378086</v>
      </c>
      <c r="H240" s="1">
        <v>86</v>
      </c>
      <c r="I240" s="1">
        <v>21.4</v>
      </c>
      <c r="J240" s="1">
        <v>93</v>
      </c>
      <c r="K240" s="1">
        <v>76</v>
      </c>
      <c r="L240" s="1" t="s">
        <v>14</v>
      </c>
    </row>
    <row r="241" spans="1:12" x14ac:dyDescent="0.25">
      <c r="A241" s="1" t="s">
        <v>28</v>
      </c>
      <c r="B241" s="1" t="s">
        <v>29</v>
      </c>
      <c r="C241" s="1">
        <v>2020</v>
      </c>
      <c r="D241" s="1">
        <v>54686</v>
      </c>
      <c r="E241" s="1">
        <v>4</v>
      </c>
      <c r="F241" s="1">
        <v>84</v>
      </c>
      <c r="G241" s="1">
        <v>785066722</v>
      </c>
      <c r="H241" s="1">
        <v>60</v>
      </c>
      <c r="I241" s="1">
        <v>24.6</v>
      </c>
      <c r="J241" s="1">
        <v>81</v>
      </c>
      <c r="K241" s="1">
        <v>37</v>
      </c>
      <c r="L241" s="1" t="s">
        <v>29</v>
      </c>
    </row>
    <row r="242" spans="1:12" x14ac:dyDescent="0.25">
      <c r="A242" s="1" t="s">
        <v>12</v>
      </c>
      <c r="B242" s="1" t="s">
        <v>13</v>
      </c>
      <c r="C242" s="1">
        <v>2020</v>
      </c>
      <c r="D242" s="1">
        <v>23478</v>
      </c>
      <c r="E242" s="1">
        <v>8.5</v>
      </c>
      <c r="F242" s="1">
        <v>64</v>
      </c>
      <c r="G242" s="1">
        <v>856670434</v>
      </c>
      <c r="H242" s="1">
        <v>69</v>
      </c>
      <c r="I242" s="1">
        <v>15.8</v>
      </c>
      <c r="J242" s="1">
        <v>75</v>
      </c>
      <c r="K242" s="1">
        <v>69</v>
      </c>
      <c r="L242" s="1" t="s">
        <v>14</v>
      </c>
    </row>
    <row r="243" spans="1:12" x14ac:dyDescent="0.25">
      <c r="A243" s="1" t="s">
        <v>15</v>
      </c>
      <c r="B243" s="1" t="s">
        <v>16</v>
      </c>
      <c r="C243" s="1">
        <v>2020</v>
      </c>
      <c r="D243" s="1">
        <v>45491</v>
      </c>
      <c r="E243" s="1">
        <v>7.4</v>
      </c>
      <c r="F243" s="1">
        <v>61</v>
      </c>
      <c r="G243" s="1">
        <v>1066551966</v>
      </c>
      <c r="H243" s="1">
        <v>76</v>
      </c>
      <c r="I243" s="1">
        <v>15.2</v>
      </c>
      <c r="J243" s="1">
        <v>86</v>
      </c>
      <c r="K243" s="1">
        <v>38</v>
      </c>
      <c r="L243" s="1" t="s">
        <v>16</v>
      </c>
    </row>
    <row r="244" spans="1:12" x14ac:dyDescent="0.25">
      <c r="A244" s="1" t="s">
        <v>17</v>
      </c>
      <c r="B244" s="1" t="s">
        <v>18</v>
      </c>
      <c r="C244" s="1">
        <v>2020</v>
      </c>
      <c r="D244" s="1">
        <v>59630</v>
      </c>
      <c r="E244" s="1">
        <v>11.1</v>
      </c>
      <c r="F244" s="1">
        <v>82</v>
      </c>
      <c r="G244" s="1">
        <v>1296401631</v>
      </c>
      <c r="H244" s="1">
        <v>77</v>
      </c>
      <c r="I244" s="1">
        <v>12.1</v>
      </c>
      <c r="J244" s="1">
        <v>92</v>
      </c>
      <c r="K244" s="1">
        <v>55</v>
      </c>
      <c r="L244" s="1" t="s">
        <v>18</v>
      </c>
    </row>
    <row r="245" spans="1:12" x14ac:dyDescent="0.25">
      <c r="A245" s="1" t="s">
        <v>19</v>
      </c>
      <c r="B245" s="1" t="s">
        <v>20</v>
      </c>
      <c r="C245" s="1">
        <v>2021</v>
      </c>
      <c r="D245" s="1">
        <v>55137</v>
      </c>
      <c r="E245" s="1">
        <v>8.1999999999999993</v>
      </c>
      <c r="F245" s="1">
        <v>67</v>
      </c>
      <c r="G245" s="1">
        <v>127144716</v>
      </c>
      <c r="H245" s="1">
        <v>58</v>
      </c>
      <c r="I245" s="1">
        <v>22.7</v>
      </c>
      <c r="J245" s="1">
        <v>90</v>
      </c>
      <c r="K245" s="1">
        <v>30</v>
      </c>
      <c r="L245" s="1" t="s">
        <v>20</v>
      </c>
    </row>
    <row r="246" spans="1:12" x14ac:dyDescent="0.25">
      <c r="A246" s="1" t="s">
        <v>21</v>
      </c>
      <c r="B246" s="1" t="s">
        <v>22</v>
      </c>
      <c r="C246" s="1">
        <v>2022</v>
      </c>
      <c r="D246" s="1">
        <v>48794</v>
      </c>
      <c r="E246" s="1">
        <v>6.4</v>
      </c>
      <c r="F246" s="1">
        <v>64</v>
      </c>
      <c r="G246" s="1">
        <v>1494088218</v>
      </c>
      <c r="H246" s="1">
        <v>53</v>
      </c>
      <c r="I246" s="1">
        <v>25</v>
      </c>
      <c r="J246" s="1">
        <v>72</v>
      </c>
      <c r="K246" s="1">
        <v>76</v>
      </c>
      <c r="L246" s="1" t="s">
        <v>14</v>
      </c>
    </row>
    <row r="247" spans="1:12" x14ac:dyDescent="0.25">
      <c r="A247" s="1" t="s">
        <v>23</v>
      </c>
      <c r="B247" s="1" t="s">
        <v>18</v>
      </c>
      <c r="C247" s="1">
        <v>2022</v>
      </c>
      <c r="D247" s="1">
        <v>6744</v>
      </c>
      <c r="E247" s="1">
        <v>16.100000000000001</v>
      </c>
      <c r="F247" s="1">
        <v>76</v>
      </c>
      <c r="G247" s="1">
        <v>874401344</v>
      </c>
      <c r="H247" s="1">
        <v>90</v>
      </c>
      <c r="I247" s="1">
        <v>11.8</v>
      </c>
      <c r="J247" s="1">
        <v>86</v>
      </c>
      <c r="K247" s="1">
        <v>72</v>
      </c>
      <c r="L247" s="1" t="s">
        <v>18</v>
      </c>
    </row>
    <row r="248" spans="1:12" x14ac:dyDescent="0.25">
      <c r="A248" s="1" t="s">
        <v>24</v>
      </c>
      <c r="B248" s="1" t="s">
        <v>16</v>
      </c>
      <c r="C248" s="1">
        <v>2020</v>
      </c>
      <c r="D248" s="1">
        <v>69528</v>
      </c>
      <c r="E248" s="1">
        <v>5.9</v>
      </c>
      <c r="F248" s="1">
        <v>75</v>
      </c>
      <c r="G248" s="1">
        <v>1043953467</v>
      </c>
      <c r="H248" s="1">
        <v>88</v>
      </c>
      <c r="I248" s="1">
        <v>19.100000000000001</v>
      </c>
      <c r="J248" s="1">
        <v>100</v>
      </c>
      <c r="K248" s="1">
        <v>46</v>
      </c>
      <c r="L248" s="1" t="s">
        <v>16</v>
      </c>
    </row>
    <row r="249" spans="1:12" x14ac:dyDescent="0.25">
      <c r="A249" s="1" t="s">
        <v>25</v>
      </c>
      <c r="B249" s="1" t="s">
        <v>26</v>
      </c>
      <c r="C249" s="1">
        <v>2020</v>
      </c>
      <c r="D249" s="1">
        <v>11110</v>
      </c>
      <c r="E249" s="1">
        <v>14.3</v>
      </c>
      <c r="F249" s="1">
        <v>66</v>
      </c>
      <c r="G249" s="1">
        <v>656298314</v>
      </c>
      <c r="H249" s="1">
        <v>88</v>
      </c>
      <c r="I249" s="1">
        <v>14.7</v>
      </c>
      <c r="J249" s="1">
        <v>79</v>
      </c>
      <c r="K249" s="1">
        <v>52</v>
      </c>
      <c r="L249" s="1" t="s">
        <v>26</v>
      </c>
    </row>
    <row r="250" spans="1:12" x14ac:dyDescent="0.25">
      <c r="A250" s="1" t="s">
        <v>27</v>
      </c>
      <c r="B250" s="1" t="s">
        <v>22</v>
      </c>
      <c r="C250" s="1">
        <v>2021</v>
      </c>
      <c r="D250" s="1">
        <v>2217</v>
      </c>
      <c r="E250" s="1">
        <v>3.3</v>
      </c>
      <c r="F250" s="1">
        <v>65</v>
      </c>
      <c r="G250" s="1">
        <v>850897555</v>
      </c>
      <c r="H250" s="1">
        <v>84</v>
      </c>
      <c r="I250" s="1">
        <v>2.5</v>
      </c>
      <c r="J250" s="1">
        <v>79</v>
      </c>
      <c r="K250" s="1">
        <v>73</v>
      </c>
      <c r="L250" s="1" t="s">
        <v>14</v>
      </c>
    </row>
    <row r="251" spans="1:12" x14ac:dyDescent="0.25">
      <c r="A251" s="1" t="s">
        <v>28</v>
      </c>
      <c r="B251" s="1" t="s">
        <v>29</v>
      </c>
      <c r="C251" s="1">
        <v>2021</v>
      </c>
      <c r="D251" s="1">
        <v>10496</v>
      </c>
      <c r="E251" s="1">
        <v>15.7</v>
      </c>
      <c r="F251" s="1">
        <v>83</v>
      </c>
      <c r="G251" s="1">
        <v>428133100</v>
      </c>
      <c r="H251" s="1">
        <v>59</v>
      </c>
      <c r="I251" s="1">
        <v>21.2</v>
      </c>
      <c r="J251" s="1">
        <v>96</v>
      </c>
      <c r="K251" s="1">
        <v>80</v>
      </c>
      <c r="L251" s="1" t="s">
        <v>29</v>
      </c>
    </row>
    <row r="252" spans="1:12" x14ac:dyDescent="0.25">
      <c r="A252" s="1" t="s">
        <v>12</v>
      </c>
      <c r="B252" s="1" t="s">
        <v>13</v>
      </c>
      <c r="C252" s="1">
        <v>2022</v>
      </c>
      <c r="D252" s="1">
        <v>6757</v>
      </c>
      <c r="E252" s="1">
        <v>10</v>
      </c>
      <c r="F252" s="1">
        <v>72</v>
      </c>
      <c r="G252" s="1">
        <v>1468227841</v>
      </c>
      <c r="H252" s="1">
        <v>91</v>
      </c>
      <c r="I252" s="1">
        <v>17.600000000000001</v>
      </c>
      <c r="J252" s="1">
        <v>80</v>
      </c>
      <c r="K252" s="1">
        <v>63</v>
      </c>
      <c r="L252" s="1" t="s">
        <v>14</v>
      </c>
    </row>
    <row r="253" spans="1:12" x14ac:dyDescent="0.25">
      <c r="A253" s="1" t="s">
        <v>15</v>
      </c>
      <c r="B253" s="1" t="s">
        <v>16</v>
      </c>
      <c r="C253" s="1">
        <v>2022</v>
      </c>
      <c r="D253" s="1">
        <v>8177</v>
      </c>
      <c r="E253" s="1">
        <v>10.1</v>
      </c>
      <c r="F253" s="1">
        <v>78</v>
      </c>
      <c r="G253" s="1">
        <v>764470568</v>
      </c>
      <c r="H253" s="1">
        <v>60</v>
      </c>
      <c r="I253" s="1">
        <v>21.9</v>
      </c>
      <c r="J253" s="1">
        <v>91</v>
      </c>
      <c r="K253" s="1">
        <v>59</v>
      </c>
      <c r="L253" s="1" t="s">
        <v>16</v>
      </c>
    </row>
    <row r="254" spans="1:12" x14ac:dyDescent="0.25">
      <c r="A254" s="1" t="s">
        <v>17</v>
      </c>
      <c r="B254" s="1" t="s">
        <v>18</v>
      </c>
      <c r="C254" s="1">
        <v>2022</v>
      </c>
      <c r="D254" s="1">
        <v>43885</v>
      </c>
      <c r="E254" s="1">
        <v>7.9</v>
      </c>
      <c r="F254" s="1">
        <v>74</v>
      </c>
      <c r="G254" s="1">
        <v>983771547</v>
      </c>
      <c r="H254" s="1">
        <v>95</v>
      </c>
      <c r="I254" s="1">
        <v>4.9000000000000004</v>
      </c>
      <c r="J254" s="1">
        <v>98</v>
      </c>
      <c r="K254" s="1">
        <v>82</v>
      </c>
      <c r="L254" s="1" t="s">
        <v>18</v>
      </c>
    </row>
    <row r="255" spans="1:12" x14ac:dyDescent="0.25">
      <c r="A255" s="1" t="s">
        <v>19</v>
      </c>
      <c r="B255" s="1" t="s">
        <v>20</v>
      </c>
      <c r="C255" s="1">
        <v>2020</v>
      </c>
      <c r="D255" s="1">
        <v>32588</v>
      </c>
      <c r="E255" s="1">
        <v>5.8</v>
      </c>
      <c r="F255" s="1">
        <v>61</v>
      </c>
      <c r="G255" s="1">
        <v>827223739</v>
      </c>
      <c r="H255" s="1">
        <v>59</v>
      </c>
      <c r="I255" s="1">
        <v>19.399999999999999</v>
      </c>
      <c r="J255" s="1">
        <v>73</v>
      </c>
      <c r="K255" s="1">
        <v>47</v>
      </c>
      <c r="L255" s="1" t="s">
        <v>20</v>
      </c>
    </row>
    <row r="256" spans="1:12" x14ac:dyDescent="0.25">
      <c r="A256" s="1" t="s">
        <v>21</v>
      </c>
      <c r="B256" s="1" t="s">
        <v>22</v>
      </c>
      <c r="C256" s="1">
        <v>2020</v>
      </c>
      <c r="D256" s="1">
        <v>46512</v>
      </c>
      <c r="E256" s="1">
        <v>13.6</v>
      </c>
      <c r="F256" s="1">
        <v>71</v>
      </c>
      <c r="G256" s="1">
        <v>624229972</v>
      </c>
      <c r="H256" s="1">
        <v>81</v>
      </c>
      <c r="I256" s="1">
        <v>11.7</v>
      </c>
      <c r="J256" s="1">
        <v>92</v>
      </c>
      <c r="K256" s="1">
        <v>45</v>
      </c>
      <c r="L256" s="1" t="s">
        <v>14</v>
      </c>
    </row>
    <row r="257" spans="1:12" x14ac:dyDescent="0.25">
      <c r="A257" s="1" t="s">
        <v>23</v>
      </c>
      <c r="B257" s="1" t="s">
        <v>18</v>
      </c>
      <c r="C257" s="1">
        <v>2022</v>
      </c>
      <c r="D257" s="1">
        <v>36536</v>
      </c>
      <c r="E257" s="1">
        <v>6.8</v>
      </c>
      <c r="F257" s="1">
        <v>61</v>
      </c>
      <c r="G257" s="1">
        <v>61277754</v>
      </c>
      <c r="H257" s="1">
        <v>85</v>
      </c>
      <c r="I257" s="1">
        <v>7.2</v>
      </c>
      <c r="J257" s="1">
        <v>82</v>
      </c>
      <c r="K257" s="1">
        <v>46</v>
      </c>
      <c r="L257" s="1" t="s">
        <v>18</v>
      </c>
    </row>
    <row r="258" spans="1:12" x14ac:dyDescent="0.25">
      <c r="A258" s="1" t="s">
        <v>24</v>
      </c>
      <c r="B258" s="1" t="s">
        <v>16</v>
      </c>
      <c r="C258" s="1">
        <v>2020</v>
      </c>
      <c r="D258" s="1">
        <v>20070</v>
      </c>
      <c r="E258" s="1">
        <v>11.9</v>
      </c>
      <c r="F258" s="1">
        <v>72</v>
      </c>
      <c r="G258" s="1">
        <v>936085937</v>
      </c>
      <c r="H258" s="1">
        <v>80</v>
      </c>
      <c r="I258" s="1">
        <v>14.2</v>
      </c>
      <c r="J258" s="1">
        <v>98</v>
      </c>
      <c r="K258" s="1">
        <v>66</v>
      </c>
      <c r="L258" s="1" t="s">
        <v>16</v>
      </c>
    </row>
    <row r="259" spans="1:12" x14ac:dyDescent="0.25">
      <c r="A259" s="1" t="s">
        <v>25</v>
      </c>
      <c r="B259" s="1" t="s">
        <v>26</v>
      </c>
      <c r="C259" s="1">
        <v>2021</v>
      </c>
      <c r="D259" s="1">
        <v>34028</v>
      </c>
      <c r="E259" s="1">
        <v>12.2</v>
      </c>
      <c r="F259" s="1">
        <v>75</v>
      </c>
      <c r="G259" s="1">
        <v>1172149943</v>
      </c>
      <c r="H259" s="1">
        <v>89</v>
      </c>
      <c r="I259" s="1">
        <v>3.8</v>
      </c>
      <c r="J259" s="1">
        <v>99</v>
      </c>
      <c r="K259" s="1">
        <v>75</v>
      </c>
      <c r="L259" s="1" t="s">
        <v>26</v>
      </c>
    </row>
    <row r="260" spans="1:12" x14ac:dyDescent="0.25">
      <c r="A260" s="1" t="s">
        <v>27</v>
      </c>
      <c r="B260" s="1" t="s">
        <v>22</v>
      </c>
      <c r="C260" s="1">
        <v>2021</v>
      </c>
      <c r="D260" s="1">
        <v>57072</v>
      </c>
      <c r="E260" s="1">
        <v>7</v>
      </c>
      <c r="F260" s="1">
        <v>81</v>
      </c>
      <c r="G260" s="1">
        <v>1265374410</v>
      </c>
      <c r="H260" s="1">
        <v>90</v>
      </c>
      <c r="I260" s="1">
        <v>13</v>
      </c>
      <c r="J260" s="1">
        <v>88</v>
      </c>
      <c r="K260" s="1">
        <v>65</v>
      </c>
      <c r="L260" s="1" t="s">
        <v>14</v>
      </c>
    </row>
    <row r="261" spans="1:12" x14ac:dyDescent="0.25">
      <c r="A261" s="1" t="s">
        <v>28</v>
      </c>
      <c r="B261" s="1" t="s">
        <v>29</v>
      </c>
      <c r="C261" s="1">
        <v>2022</v>
      </c>
      <c r="D261" s="1">
        <v>17332</v>
      </c>
      <c r="E261" s="1">
        <v>16.399999999999999</v>
      </c>
      <c r="F261" s="1">
        <v>81</v>
      </c>
      <c r="G261" s="1">
        <v>1402500309</v>
      </c>
      <c r="H261" s="1">
        <v>79</v>
      </c>
      <c r="I261" s="1">
        <v>12.7</v>
      </c>
      <c r="J261" s="1">
        <v>74</v>
      </c>
      <c r="K261" s="1">
        <v>59</v>
      </c>
      <c r="L261" s="1" t="s">
        <v>29</v>
      </c>
    </row>
    <row r="262" spans="1:12" x14ac:dyDescent="0.25">
      <c r="A262" s="1" t="s">
        <v>12</v>
      </c>
      <c r="B262" s="1" t="s">
        <v>13</v>
      </c>
      <c r="C262" s="1">
        <v>2021</v>
      </c>
      <c r="D262" s="1">
        <v>54844</v>
      </c>
      <c r="E262" s="1">
        <v>12.8</v>
      </c>
      <c r="F262" s="1">
        <v>82</v>
      </c>
      <c r="G262" s="1">
        <v>977424254</v>
      </c>
      <c r="H262" s="1">
        <v>78</v>
      </c>
      <c r="I262" s="1">
        <v>23</v>
      </c>
      <c r="J262" s="1">
        <v>89</v>
      </c>
      <c r="K262" s="1">
        <v>86</v>
      </c>
      <c r="L262" s="1" t="s">
        <v>14</v>
      </c>
    </row>
    <row r="263" spans="1:12" x14ac:dyDescent="0.25">
      <c r="A263" s="1" t="s">
        <v>15</v>
      </c>
      <c r="B263" s="1" t="s">
        <v>16</v>
      </c>
      <c r="C263" s="1">
        <v>2022</v>
      </c>
      <c r="D263" s="1">
        <v>23013</v>
      </c>
      <c r="E263" s="1">
        <v>16.2</v>
      </c>
      <c r="F263" s="1">
        <v>75</v>
      </c>
      <c r="G263" s="1">
        <v>1288390039</v>
      </c>
      <c r="H263" s="1">
        <v>76</v>
      </c>
      <c r="I263" s="1">
        <v>22.9</v>
      </c>
      <c r="J263" s="1">
        <v>76</v>
      </c>
      <c r="K263" s="1">
        <v>89</v>
      </c>
      <c r="L263" s="1" t="s">
        <v>16</v>
      </c>
    </row>
    <row r="264" spans="1:12" x14ac:dyDescent="0.25">
      <c r="A264" s="1" t="s">
        <v>17</v>
      </c>
      <c r="B264" s="1" t="s">
        <v>18</v>
      </c>
      <c r="C264" s="1">
        <v>2022</v>
      </c>
      <c r="D264" s="1">
        <v>56722</v>
      </c>
      <c r="E264" s="1">
        <v>7.2</v>
      </c>
      <c r="F264" s="1">
        <v>78</v>
      </c>
      <c r="G264" s="1">
        <v>595157673</v>
      </c>
      <c r="H264" s="1">
        <v>71</v>
      </c>
      <c r="I264" s="1">
        <v>5.9</v>
      </c>
      <c r="J264" s="1">
        <v>70</v>
      </c>
      <c r="K264" s="1">
        <v>33</v>
      </c>
      <c r="L264" s="1" t="s">
        <v>18</v>
      </c>
    </row>
    <row r="265" spans="1:12" x14ac:dyDescent="0.25">
      <c r="A265" s="1" t="s">
        <v>19</v>
      </c>
      <c r="B265" s="1" t="s">
        <v>20</v>
      </c>
      <c r="C265" s="1">
        <v>2022</v>
      </c>
      <c r="D265" s="1">
        <v>13668</v>
      </c>
      <c r="E265" s="1">
        <v>7.1</v>
      </c>
      <c r="F265" s="1">
        <v>72</v>
      </c>
      <c r="G265" s="1">
        <v>805387120</v>
      </c>
      <c r="H265" s="1">
        <v>66</v>
      </c>
      <c r="I265" s="1">
        <v>19.2</v>
      </c>
      <c r="J265" s="1">
        <v>90</v>
      </c>
      <c r="K265" s="1">
        <v>38</v>
      </c>
      <c r="L265" s="1" t="s">
        <v>20</v>
      </c>
    </row>
    <row r="266" spans="1:12" x14ac:dyDescent="0.25">
      <c r="A266" s="1" t="s">
        <v>21</v>
      </c>
      <c r="B266" s="1" t="s">
        <v>22</v>
      </c>
      <c r="C266" s="1">
        <v>2020</v>
      </c>
      <c r="D266" s="1">
        <v>29396</v>
      </c>
      <c r="E266" s="1">
        <v>8.9</v>
      </c>
      <c r="F266" s="1">
        <v>82</v>
      </c>
      <c r="G266" s="1">
        <v>199492409</v>
      </c>
      <c r="H266" s="1">
        <v>82</v>
      </c>
      <c r="I266" s="1">
        <v>8.8000000000000007</v>
      </c>
      <c r="J266" s="1">
        <v>83</v>
      </c>
      <c r="K266" s="1">
        <v>58</v>
      </c>
      <c r="L266" s="1" t="s">
        <v>14</v>
      </c>
    </row>
    <row r="267" spans="1:12" x14ac:dyDescent="0.25">
      <c r="A267" s="1" t="s">
        <v>23</v>
      </c>
      <c r="B267" s="1" t="s">
        <v>18</v>
      </c>
      <c r="C267" s="1">
        <v>2020</v>
      </c>
      <c r="D267" s="1">
        <v>26649</v>
      </c>
      <c r="E267" s="1">
        <v>14.5</v>
      </c>
      <c r="F267" s="1">
        <v>60</v>
      </c>
      <c r="G267" s="1">
        <v>1266988135</v>
      </c>
      <c r="H267" s="1">
        <v>59</v>
      </c>
      <c r="I267" s="1">
        <v>7.3</v>
      </c>
      <c r="J267" s="1">
        <v>95</v>
      </c>
      <c r="K267" s="1">
        <v>39</v>
      </c>
      <c r="L267" s="1" t="s">
        <v>18</v>
      </c>
    </row>
    <row r="268" spans="1:12" x14ac:dyDescent="0.25">
      <c r="A268" s="1" t="s">
        <v>24</v>
      </c>
      <c r="B268" s="1" t="s">
        <v>16</v>
      </c>
      <c r="C268" s="1">
        <v>2020</v>
      </c>
      <c r="D268" s="1">
        <v>53818</v>
      </c>
      <c r="E268" s="1">
        <v>7.6</v>
      </c>
      <c r="F268" s="1">
        <v>63</v>
      </c>
      <c r="G268" s="1">
        <v>898957493</v>
      </c>
      <c r="H268" s="1">
        <v>60</v>
      </c>
      <c r="I268" s="1">
        <v>15.4</v>
      </c>
      <c r="J268" s="1">
        <v>71</v>
      </c>
      <c r="K268" s="1">
        <v>76</v>
      </c>
      <c r="L268" s="1" t="s">
        <v>16</v>
      </c>
    </row>
    <row r="269" spans="1:12" x14ac:dyDescent="0.25">
      <c r="A269" s="1" t="s">
        <v>25</v>
      </c>
      <c r="B269" s="1" t="s">
        <v>26</v>
      </c>
      <c r="C269" s="1">
        <v>2022</v>
      </c>
      <c r="D269" s="1">
        <v>69415</v>
      </c>
      <c r="E269" s="1">
        <v>10.9</v>
      </c>
      <c r="F269" s="1">
        <v>74</v>
      </c>
      <c r="G269" s="1">
        <v>699390462</v>
      </c>
      <c r="H269" s="1">
        <v>74</v>
      </c>
      <c r="I269" s="1">
        <v>3.7</v>
      </c>
      <c r="J269" s="1">
        <v>94</v>
      </c>
      <c r="K269" s="1">
        <v>45</v>
      </c>
      <c r="L269" s="1" t="s">
        <v>26</v>
      </c>
    </row>
    <row r="270" spans="1:12" x14ac:dyDescent="0.25">
      <c r="A270" s="1" t="s">
        <v>27</v>
      </c>
      <c r="B270" s="1" t="s">
        <v>22</v>
      </c>
      <c r="C270" s="1">
        <v>2020</v>
      </c>
      <c r="D270" s="1">
        <v>65388</v>
      </c>
      <c r="E270" s="1">
        <v>15.3</v>
      </c>
      <c r="F270" s="1">
        <v>64</v>
      </c>
      <c r="G270" s="1">
        <v>571665392</v>
      </c>
      <c r="H270" s="1">
        <v>71</v>
      </c>
      <c r="I270" s="1">
        <v>24.9</v>
      </c>
      <c r="J270" s="1">
        <v>96</v>
      </c>
      <c r="K270" s="1">
        <v>38</v>
      </c>
      <c r="L270" s="1" t="s">
        <v>14</v>
      </c>
    </row>
    <row r="271" spans="1:12" x14ac:dyDescent="0.25">
      <c r="A271" s="1" t="s">
        <v>28</v>
      </c>
      <c r="B271" s="1" t="s">
        <v>29</v>
      </c>
      <c r="C271" s="1">
        <v>2020</v>
      </c>
      <c r="D271" s="1">
        <v>24879</v>
      </c>
      <c r="E271" s="1">
        <v>4.0999999999999996</v>
      </c>
      <c r="F271" s="1">
        <v>74</v>
      </c>
      <c r="G271" s="1">
        <v>527359192</v>
      </c>
      <c r="H271" s="1">
        <v>72</v>
      </c>
      <c r="I271" s="1">
        <v>19.600000000000001</v>
      </c>
      <c r="J271" s="1">
        <v>87</v>
      </c>
      <c r="K271" s="1">
        <v>83</v>
      </c>
      <c r="L271" s="1" t="s">
        <v>29</v>
      </c>
    </row>
    <row r="272" spans="1:12" x14ac:dyDescent="0.25">
      <c r="A272" s="1" t="s">
        <v>12</v>
      </c>
      <c r="B272" s="1" t="s">
        <v>13</v>
      </c>
      <c r="C272" s="1">
        <v>2020</v>
      </c>
      <c r="D272" s="1">
        <v>16565</v>
      </c>
      <c r="E272" s="1">
        <v>4.5</v>
      </c>
      <c r="F272" s="1">
        <v>80</v>
      </c>
      <c r="G272" s="1">
        <v>906211892</v>
      </c>
      <c r="H272" s="1">
        <v>66</v>
      </c>
      <c r="I272" s="1">
        <v>16.2</v>
      </c>
      <c r="J272" s="1">
        <v>98</v>
      </c>
      <c r="K272" s="1">
        <v>78</v>
      </c>
      <c r="L272" s="1" t="s">
        <v>14</v>
      </c>
    </row>
    <row r="273" spans="1:12" x14ac:dyDescent="0.25">
      <c r="A273" s="1" t="s">
        <v>15</v>
      </c>
      <c r="B273" s="1" t="s">
        <v>16</v>
      </c>
      <c r="C273" s="1">
        <v>2020</v>
      </c>
      <c r="D273" s="1">
        <v>31517</v>
      </c>
      <c r="E273" s="1">
        <v>6.3</v>
      </c>
      <c r="F273" s="1">
        <v>83</v>
      </c>
      <c r="G273" s="1">
        <v>699552144</v>
      </c>
      <c r="H273" s="1">
        <v>79</v>
      </c>
      <c r="I273" s="1">
        <v>11.4</v>
      </c>
      <c r="J273" s="1">
        <v>95</v>
      </c>
      <c r="K273" s="1">
        <v>85</v>
      </c>
      <c r="L273" s="1" t="s">
        <v>16</v>
      </c>
    </row>
    <row r="274" spans="1:12" x14ac:dyDescent="0.25">
      <c r="A274" s="1" t="s">
        <v>17</v>
      </c>
      <c r="B274" s="1" t="s">
        <v>18</v>
      </c>
      <c r="C274" s="1">
        <v>2020</v>
      </c>
      <c r="D274" s="1">
        <v>19510</v>
      </c>
      <c r="E274" s="1">
        <v>4.2</v>
      </c>
      <c r="F274" s="1">
        <v>83</v>
      </c>
      <c r="G274" s="1">
        <v>706334425</v>
      </c>
      <c r="H274" s="1">
        <v>59</v>
      </c>
      <c r="I274" s="1">
        <v>9.1</v>
      </c>
      <c r="J274" s="1">
        <v>86</v>
      </c>
      <c r="K274" s="1">
        <v>41</v>
      </c>
      <c r="L274" s="1" t="s">
        <v>18</v>
      </c>
    </row>
    <row r="275" spans="1:12" x14ac:dyDescent="0.25">
      <c r="A275" s="1" t="s">
        <v>19</v>
      </c>
      <c r="B275" s="1" t="s">
        <v>20</v>
      </c>
      <c r="C275" s="1">
        <v>2020</v>
      </c>
      <c r="D275" s="1">
        <v>36987</v>
      </c>
      <c r="E275" s="1">
        <v>6.1</v>
      </c>
      <c r="F275" s="1">
        <v>62</v>
      </c>
      <c r="G275" s="1">
        <v>341643496</v>
      </c>
      <c r="H275" s="1">
        <v>79</v>
      </c>
      <c r="I275" s="1">
        <v>15.5</v>
      </c>
      <c r="J275" s="1">
        <v>91</v>
      </c>
      <c r="K275" s="1">
        <v>64</v>
      </c>
      <c r="L275" s="1" t="s">
        <v>20</v>
      </c>
    </row>
    <row r="276" spans="1:12" x14ac:dyDescent="0.25">
      <c r="A276" s="1" t="s">
        <v>21</v>
      </c>
      <c r="B276" s="1" t="s">
        <v>22</v>
      </c>
      <c r="C276" s="1">
        <v>2020</v>
      </c>
      <c r="D276" s="1">
        <v>3463</v>
      </c>
      <c r="E276" s="1">
        <v>13.1</v>
      </c>
      <c r="F276" s="1">
        <v>71</v>
      </c>
      <c r="G276" s="1">
        <v>961353170</v>
      </c>
      <c r="H276" s="1">
        <v>54</v>
      </c>
      <c r="I276" s="1">
        <v>19.2</v>
      </c>
      <c r="J276" s="1">
        <v>79</v>
      </c>
      <c r="K276" s="1">
        <v>53</v>
      </c>
      <c r="L276" s="1" t="s">
        <v>14</v>
      </c>
    </row>
    <row r="277" spans="1:12" x14ac:dyDescent="0.25">
      <c r="A277" s="1" t="s">
        <v>23</v>
      </c>
      <c r="B277" s="1" t="s">
        <v>18</v>
      </c>
      <c r="C277" s="1">
        <v>2020</v>
      </c>
      <c r="D277" s="1">
        <v>42051</v>
      </c>
      <c r="E277" s="1">
        <v>3.3</v>
      </c>
      <c r="F277" s="1">
        <v>71</v>
      </c>
      <c r="G277" s="1">
        <v>1292519312</v>
      </c>
      <c r="H277" s="1">
        <v>65</v>
      </c>
      <c r="I277" s="1">
        <v>13.2</v>
      </c>
      <c r="J277" s="1">
        <v>87</v>
      </c>
      <c r="K277" s="1">
        <v>63</v>
      </c>
      <c r="L277" s="1" t="s">
        <v>18</v>
      </c>
    </row>
    <row r="278" spans="1:12" x14ac:dyDescent="0.25">
      <c r="A278" s="1" t="s">
        <v>24</v>
      </c>
      <c r="B278" s="1" t="s">
        <v>16</v>
      </c>
      <c r="C278" s="1">
        <v>2021</v>
      </c>
      <c r="D278" s="1">
        <v>45233</v>
      </c>
      <c r="E278" s="1">
        <v>12.1</v>
      </c>
      <c r="F278" s="1">
        <v>82</v>
      </c>
      <c r="G278" s="1">
        <v>291838115</v>
      </c>
      <c r="H278" s="1">
        <v>55</v>
      </c>
      <c r="I278" s="1">
        <v>8.4</v>
      </c>
      <c r="J278" s="1">
        <v>82</v>
      </c>
      <c r="K278" s="1">
        <v>54</v>
      </c>
      <c r="L278" s="1" t="s">
        <v>16</v>
      </c>
    </row>
    <row r="279" spans="1:12" x14ac:dyDescent="0.25">
      <c r="A279" s="1" t="s">
        <v>25</v>
      </c>
      <c r="B279" s="1" t="s">
        <v>26</v>
      </c>
      <c r="C279" s="1">
        <v>2022</v>
      </c>
      <c r="D279" s="1">
        <v>40675</v>
      </c>
      <c r="E279" s="1">
        <v>14.8</v>
      </c>
      <c r="F279" s="1">
        <v>84</v>
      </c>
      <c r="G279" s="1">
        <v>1028631086</v>
      </c>
      <c r="H279" s="1">
        <v>58</v>
      </c>
      <c r="I279" s="1">
        <v>16.2</v>
      </c>
      <c r="J279" s="1">
        <v>90</v>
      </c>
      <c r="K279" s="1">
        <v>87</v>
      </c>
      <c r="L279" s="1" t="s">
        <v>26</v>
      </c>
    </row>
    <row r="280" spans="1:12" x14ac:dyDescent="0.25">
      <c r="A280" s="1" t="s">
        <v>27</v>
      </c>
      <c r="B280" s="1" t="s">
        <v>22</v>
      </c>
      <c r="C280" s="1">
        <v>2021</v>
      </c>
      <c r="D280" s="1">
        <v>60927</v>
      </c>
      <c r="E280" s="1">
        <v>10</v>
      </c>
      <c r="F280" s="1">
        <v>70</v>
      </c>
      <c r="G280" s="1">
        <v>427540401</v>
      </c>
      <c r="H280" s="1">
        <v>94</v>
      </c>
      <c r="I280" s="1">
        <v>21.3</v>
      </c>
      <c r="J280" s="1">
        <v>92</v>
      </c>
      <c r="K280" s="1">
        <v>34</v>
      </c>
      <c r="L280" s="1" t="s">
        <v>14</v>
      </c>
    </row>
    <row r="281" spans="1:12" x14ac:dyDescent="0.25">
      <c r="A281" s="1" t="s">
        <v>28</v>
      </c>
      <c r="B281" s="1" t="s">
        <v>29</v>
      </c>
      <c r="C281" s="1">
        <v>2020</v>
      </c>
      <c r="D281" s="1">
        <v>66545</v>
      </c>
      <c r="E281" s="1">
        <v>13.8</v>
      </c>
      <c r="F281" s="1">
        <v>67</v>
      </c>
      <c r="G281" s="1">
        <v>589885790</v>
      </c>
      <c r="H281" s="1">
        <v>63</v>
      </c>
      <c r="I281" s="1">
        <v>3.6</v>
      </c>
      <c r="J281" s="1">
        <v>75</v>
      </c>
      <c r="K281" s="1">
        <v>89</v>
      </c>
      <c r="L281" s="1" t="s">
        <v>29</v>
      </c>
    </row>
    <row r="282" spans="1:12" x14ac:dyDescent="0.25">
      <c r="A282" s="1" t="s">
        <v>12</v>
      </c>
      <c r="B282" s="1" t="s">
        <v>13</v>
      </c>
      <c r="C282" s="1">
        <v>2021</v>
      </c>
      <c r="D282" s="1">
        <v>7041</v>
      </c>
      <c r="E282" s="1">
        <v>15.2</v>
      </c>
      <c r="F282" s="1">
        <v>81</v>
      </c>
      <c r="G282" s="1">
        <v>399130520</v>
      </c>
      <c r="H282" s="1">
        <v>82</v>
      </c>
      <c r="I282" s="1">
        <v>22.5</v>
      </c>
      <c r="J282" s="1">
        <v>73</v>
      </c>
      <c r="K282" s="1">
        <v>43</v>
      </c>
      <c r="L282" s="1" t="s">
        <v>14</v>
      </c>
    </row>
    <row r="283" spans="1:12" x14ac:dyDescent="0.25">
      <c r="A283" s="1" t="s">
        <v>15</v>
      </c>
      <c r="B283" s="1" t="s">
        <v>16</v>
      </c>
      <c r="C283" s="1">
        <v>2021</v>
      </c>
      <c r="D283" s="1">
        <v>5207</v>
      </c>
      <c r="E283" s="1">
        <v>6.6</v>
      </c>
      <c r="F283" s="1">
        <v>79</v>
      </c>
      <c r="G283" s="1">
        <v>283346459</v>
      </c>
      <c r="H283" s="1">
        <v>50</v>
      </c>
      <c r="I283" s="1">
        <v>24.2</v>
      </c>
      <c r="J283" s="1">
        <v>84</v>
      </c>
      <c r="K283" s="1">
        <v>68</v>
      </c>
      <c r="L283" s="1" t="s">
        <v>16</v>
      </c>
    </row>
    <row r="284" spans="1:12" x14ac:dyDescent="0.25">
      <c r="A284" s="1" t="s">
        <v>17</v>
      </c>
      <c r="B284" s="1" t="s">
        <v>18</v>
      </c>
      <c r="C284" s="1">
        <v>2022</v>
      </c>
      <c r="D284" s="1">
        <v>37347</v>
      </c>
      <c r="E284" s="1">
        <v>12.4</v>
      </c>
      <c r="F284" s="1">
        <v>60</v>
      </c>
      <c r="G284" s="1">
        <v>1277376759</v>
      </c>
      <c r="H284" s="1">
        <v>90</v>
      </c>
      <c r="I284" s="1">
        <v>23.9</v>
      </c>
      <c r="J284" s="1">
        <v>90</v>
      </c>
      <c r="K284" s="1">
        <v>90</v>
      </c>
      <c r="L284" s="1" t="s">
        <v>18</v>
      </c>
    </row>
    <row r="285" spans="1:12" x14ac:dyDescent="0.25">
      <c r="A285" s="1" t="s">
        <v>19</v>
      </c>
      <c r="B285" s="1" t="s">
        <v>20</v>
      </c>
      <c r="C285" s="1">
        <v>2020</v>
      </c>
      <c r="D285" s="1">
        <v>17074</v>
      </c>
      <c r="E285" s="1">
        <v>3.6</v>
      </c>
      <c r="F285" s="1">
        <v>79</v>
      </c>
      <c r="G285" s="1">
        <v>1354307721</v>
      </c>
      <c r="H285" s="1">
        <v>51</v>
      </c>
      <c r="I285" s="1">
        <v>11.1</v>
      </c>
      <c r="J285" s="1">
        <v>84</v>
      </c>
      <c r="K285" s="1">
        <v>74</v>
      </c>
      <c r="L285" s="1" t="s">
        <v>20</v>
      </c>
    </row>
    <row r="286" spans="1:12" x14ac:dyDescent="0.25">
      <c r="A286" s="1" t="s">
        <v>21</v>
      </c>
      <c r="B286" s="1" t="s">
        <v>22</v>
      </c>
      <c r="C286" s="1">
        <v>2022</v>
      </c>
      <c r="D286" s="1">
        <v>22458</v>
      </c>
      <c r="E286" s="1">
        <v>11.1</v>
      </c>
      <c r="F286" s="1">
        <v>76</v>
      </c>
      <c r="G286" s="1">
        <v>1468157032</v>
      </c>
      <c r="H286" s="1">
        <v>56</v>
      </c>
      <c r="I286" s="1">
        <v>24.5</v>
      </c>
      <c r="J286" s="1">
        <v>78</v>
      </c>
      <c r="K286" s="1">
        <v>44</v>
      </c>
      <c r="L286" s="1" t="s">
        <v>14</v>
      </c>
    </row>
    <row r="287" spans="1:12" x14ac:dyDescent="0.25">
      <c r="A287" s="1" t="s">
        <v>23</v>
      </c>
      <c r="B287" s="1" t="s">
        <v>18</v>
      </c>
      <c r="C287" s="1">
        <v>2020</v>
      </c>
      <c r="D287" s="1">
        <v>22854</v>
      </c>
      <c r="E287" s="1">
        <v>11</v>
      </c>
      <c r="F287" s="1">
        <v>84</v>
      </c>
      <c r="G287" s="1">
        <v>1247965140</v>
      </c>
      <c r="H287" s="1">
        <v>84</v>
      </c>
      <c r="I287" s="1">
        <v>2.4</v>
      </c>
      <c r="J287" s="1">
        <v>70</v>
      </c>
      <c r="K287" s="1">
        <v>75</v>
      </c>
      <c r="L287" s="1" t="s">
        <v>18</v>
      </c>
    </row>
    <row r="288" spans="1:12" x14ac:dyDescent="0.25">
      <c r="A288" s="1" t="s">
        <v>24</v>
      </c>
      <c r="B288" s="1" t="s">
        <v>16</v>
      </c>
      <c r="C288" s="1">
        <v>2020</v>
      </c>
      <c r="D288" s="1">
        <v>28708</v>
      </c>
      <c r="E288" s="1">
        <v>4.0999999999999996</v>
      </c>
      <c r="F288" s="1">
        <v>78</v>
      </c>
      <c r="G288" s="1">
        <v>340827256</v>
      </c>
      <c r="H288" s="1">
        <v>77</v>
      </c>
      <c r="I288" s="1">
        <v>5.7</v>
      </c>
      <c r="J288" s="1">
        <v>97</v>
      </c>
      <c r="K288" s="1">
        <v>63</v>
      </c>
      <c r="L288" s="1" t="s">
        <v>16</v>
      </c>
    </row>
    <row r="289" spans="1:12" x14ac:dyDescent="0.25">
      <c r="A289" s="1" t="s">
        <v>25</v>
      </c>
      <c r="B289" s="1" t="s">
        <v>26</v>
      </c>
      <c r="C289" s="1">
        <v>2021</v>
      </c>
      <c r="D289" s="1">
        <v>59791</v>
      </c>
      <c r="E289" s="1">
        <v>16.100000000000001</v>
      </c>
      <c r="F289" s="1">
        <v>61</v>
      </c>
      <c r="G289" s="1">
        <v>638699977</v>
      </c>
      <c r="H289" s="1">
        <v>54</v>
      </c>
      <c r="I289" s="1">
        <v>16.399999999999999</v>
      </c>
      <c r="J289" s="1">
        <v>97</v>
      </c>
      <c r="K289" s="1">
        <v>44</v>
      </c>
      <c r="L289" s="1" t="s">
        <v>26</v>
      </c>
    </row>
    <row r="290" spans="1:12" x14ac:dyDescent="0.25">
      <c r="A290" s="1" t="s">
        <v>27</v>
      </c>
      <c r="B290" s="1" t="s">
        <v>22</v>
      </c>
      <c r="C290" s="1">
        <v>2021</v>
      </c>
      <c r="D290" s="1">
        <v>61868</v>
      </c>
      <c r="E290" s="1">
        <v>16.3</v>
      </c>
      <c r="F290" s="1">
        <v>69</v>
      </c>
      <c r="G290" s="1">
        <v>1360087715</v>
      </c>
      <c r="H290" s="1">
        <v>75</v>
      </c>
      <c r="I290" s="1">
        <v>17.2</v>
      </c>
      <c r="J290" s="1">
        <v>98</v>
      </c>
      <c r="K290" s="1">
        <v>74</v>
      </c>
      <c r="L290" s="1" t="s">
        <v>14</v>
      </c>
    </row>
    <row r="291" spans="1:12" x14ac:dyDescent="0.25">
      <c r="A291" s="1" t="s">
        <v>28</v>
      </c>
      <c r="B291" s="1" t="s">
        <v>29</v>
      </c>
      <c r="C291" s="1">
        <v>2022</v>
      </c>
      <c r="D291" s="1">
        <v>57878</v>
      </c>
      <c r="E291" s="1">
        <v>7.5</v>
      </c>
      <c r="F291" s="1">
        <v>85</v>
      </c>
      <c r="G291" s="1">
        <v>786621987</v>
      </c>
      <c r="H291" s="1">
        <v>59</v>
      </c>
      <c r="I291" s="1">
        <v>13</v>
      </c>
      <c r="J291" s="1">
        <v>84</v>
      </c>
      <c r="K291" s="1">
        <v>65</v>
      </c>
      <c r="L291" s="1" t="s">
        <v>29</v>
      </c>
    </row>
    <row r="292" spans="1:12" x14ac:dyDescent="0.25">
      <c r="A292" s="1" t="s">
        <v>12</v>
      </c>
      <c r="B292" s="1" t="s">
        <v>13</v>
      </c>
      <c r="C292" s="1">
        <v>2020</v>
      </c>
      <c r="D292" s="1">
        <v>2518</v>
      </c>
      <c r="E292" s="1">
        <v>10.8</v>
      </c>
      <c r="F292" s="1">
        <v>85</v>
      </c>
      <c r="G292" s="1">
        <v>496945704</v>
      </c>
      <c r="H292" s="1">
        <v>87</v>
      </c>
      <c r="I292" s="1">
        <v>9.5</v>
      </c>
      <c r="J292" s="1">
        <v>95</v>
      </c>
      <c r="K292" s="1">
        <v>87</v>
      </c>
      <c r="L292" s="1" t="s">
        <v>14</v>
      </c>
    </row>
    <row r="293" spans="1:12" x14ac:dyDescent="0.25">
      <c r="A293" s="1" t="s">
        <v>15</v>
      </c>
      <c r="B293" s="1" t="s">
        <v>16</v>
      </c>
      <c r="C293" s="1">
        <v>2021</v>
      </c>
      <c r="D293" s="1">
        <v>22895</v>
      </c>
      <c r="E293" s="1">
        <v>7.8</v>
      </c>
      <c r="F293" s="1">
        <v>84</v>
      </c>
      <c r="G293" s="1">
        <v>142579345</v>
      </c>
      <c r="H293" s="1">
        <v>82</v>
      </c>
      <c r="I293" s="1">
        <v>13.5</v>
      </c>
      <c r="J293" s="1">
        <v>71</v>
      </c>
      <c r="K293" s="1">
        <v>85</v>
      </c>
      <c r="L293" s="1" t="s">
        <v>16</v>
      </c>
    </row>
    <row r="294" spans="1:12" x14ac:dyDescent="0.25">
      <c r="A294" s="1" t="s">
        <v>17</v>
      </c>
      <c r="B294" s="1" t="s">
        <v>18</v>
      </c>
      <c r="C294" s="1">
        <v>2022</v>
      </c>
      <c r="D294" s="1">
        <v>9675</v>
      </c>
      <c r="E294" s="1">
        <v>5.8</v>
      </c>
      <c r="F294" s="1">
        <v>71</v>
      </c>
      <c r="G294" s="1">
        <v>428842037</v>
      </c>
      <c r="H294" s="1">
        <v>52</v>
      </c>
      <c r="I294" s="1">
        <v>6.5</v>
      </c>
      <c r="J294" s="1">
        <v>82</v>
      </c>
      <c r="K294" s="1">
        <v>38</v>
      </c>
      <c r="L294" s="1" t="s">
        <v>18</v>
      </c>
    </row>
    <row r="295" spans="1:12" x14ac:dyDescent="0.25">
      <c r="A295" s="1" t="s">
        <v>19</v>
      </c>
      <c r="B295" s="1" t="s">
        <v>20</v>
      </c>
      <c r="C295" s="1">
        <v>2022</v>
      </c>
      <c r="D295" s="1">
        <v>42941</v>
      </c>
      <c r="E295" s="1">
        <v>9.8000000000000007</v>
      </c>
      <c r="F295" s="1">
        <v>82</v>
      </c>
      <c r="G295" s="1">
        <v>1394902341</v>
      </c>
      <c r="H295" s="1">
        <v>86</v>
      </c>
      <c r="I295" s="1">
        <v>23.2</v>
      </c>
      <c r="J295" s="1">
        <v>99</v>
      </c>
      <c r="K295" s="1">
        <v>76</v>
      </c>
      <c r="L295" s="1" t="s">
        <v>20</v>
      </c>
    </row>
    <row r="296" spans="1:12" x14ac:dyDescent="0.25">
      <c r="A296" s="1" t="s">
        <v>21</v>
      </c>
      <c r="B296" s="1" t="s">
        <v>22</v>
      </c>
      <c r="C296" s="1">
        <v>2020</v>
      </c>
      <c r="D296" s="1">
        <v>32996</v>
      </c>
      <c r="E296" s="1">
        <v>13.1</v>
      </c>
      <c r="F296" s="1">
        <v>62</v>
      </c>
      <c r="G296" s="1">
        <v>1300724914</v>
      </c>
      <c r="H296" s="1">
        <v>54</v>
      </c>
      <c r="I296" s="1">
        <v>19.3</v>
      </c>
      <c r="J296" s="1">
        <v>84</v>
      </c>
      <c r="K296" s="1">
        <v>63</v>
      </c>
      <c r="L296" s="1" t="s">
        <v>14</v>
      </c>
    </row>
    <row r="297" spans="1:12" x14ac:dyDescent="0.25">
      <c r="A297" s="1" t="s">
        <v>23</v>
      </c>
      <c r="B297" s="1" t="s">
        <v>18</v>
      </c>
      <c r="C297" s="1">
        <v>2021</v>
      </c>
      <c r="D297" s="1">
        <v>62020</v>
      </c>
      <c r="E297" s="1">
        <v>8.1</v>
      </c>
      <c r="F297" s="1">
        <v>76</v>
      </c>
      <c r="G297" s="1">
        <v>644376168</v>
      </c>
      <c r="H297" s="1">
        <v>50</v>
      </c>
      <c r="I297" s="1">
        <v>3.4</v>
      </c>
      <c r="J297" s="1">
        <v>78</v>
      </c>
      <c r="K297" s="1">
        <v>60</v>
      </c>
      <c r="L297" s="1" t="s">
        <v>18</v>
      </c>
    </row>
    <row r="298" spans="1:12" x14ac:dyDescent="0.25">
      <c r="A298" s="1" t="s">
        <v>24</v>
      </c>
      <c r="B298" s="1" t="s">
        <v>16</v>
      </c>
      <c r="C298" s="1">
        <v>2020</v>
      </c>
      <c r="D298" s="1">
        <v>47826</v>
      </c>
      <c r="E298" s="1">
        <v>7.2</v>
      </c>
      <c r="F298" s="1">
        <v>83</v>
      </c>
      <c r="G298" s="1">
        <v>655753625</v>
      </c>
      <c r="H298" s="1">
        <v>58</v>
      </c>
      <c r="I298" s="1">
        <v>16.3</v>
      </c>
      <c r="J298" s="1">
        <v>71</v>
      </c>
      <c r="K298" s="1">
        <v>69</v>
      </c>
      <c r="L298" s="1" t="s">
        <v>16</v>
      </c>
    </row>
    <row r="299" spans="1:12" x14ac:dyDescent="0.25">
      <c r="A299" s="1" t="s">
        <v>25</v>
      </c>
      <c r="B299" s="1" t="s">
        <v>26</v>
      </c>
      <c r="C299" s="1">
        <v>2021</v>
      </c>
      <c r="D299" s="1">
        <v>27935</v>
      </c>
      <c r="E299" s="1">
        <v>6.1</v>
      </c>
      <c r="F299" s="1">
        <v>66</v>
      </c>
      <c r="G299" s="1">
        <v>54981057</v>
      </c>
      <c r="H299" s="1">
        <v>90</v>
      </c>
      <c r="I299" s="1">
        <v>22.5</v>
      </c>
      <c r="J299" s="1">
        <v>72</v>
      </c>
      <c r="K299" s="1">
        <v>45</v>
      </c>
      <c r="L299" s="1" t="s">
        <v>26</v>
      </c>
    </row>
    <row r="300" spans="1:12" x14ac:dyDescent="0.25">
      <c r="A300" s="1" t="s">
        <v>27</v>
      </c>
      <c r="B300" s="1" t="s">
        <v>22</v>
      </c>
      <c r="C300" s="1">
        <v>2022</v>
      </c>
      <c r="D300" s="1">
        <v>55247</v>
      </c>
      <c r="E300" s="1">
        <v>4.5999999999999996</v>
      </c>
      <c r="F300" s="1">
        <v>66</v>
      </c>
      <c r="G300" s="1">
        <v>715165571</v>
      </c>
      <c r="H300" s="1">
        <v>93</v>
      </c>
      <c r="I300" s="1">
        <v>16.3</v>
      </c>
      <c r="J300" s="1">
        <v>86</v>
      </c>
      <c r="K300" s="1">
        <v>73</v>
      </c>
      <c r="L300" s="1" t="s">
        <v>14</v>
      </c>
    </row>
    <row r="301" spans="1:12" x14ac:dyDescent="0.25">
      <c r="A301" s="1" t="s">
        <v>28</v>
      </c>
      <c r="B301" s="1" t="s">
        <v>29</v>
      </c>
      <c r="C301" s="1">
        <v>2022</v>
      </c>
      <c r="D301" s="1">
        <v>31685</v>
      </c>
      <c r="E301" s="1">
        <v>12.4</v>
      </c>
      <c r="F301" s="1">
        <v>65</v>
      </c>
      <c r="G301" s="1">
        <v>824090686</v>
      </c>
      <c r="H301" s="1">
        <v>67</v>
      </c>
      <c r="I301" s="1">
        <v>10.3</v>
      </c>
      <c r="J301" s="1">
        <v>91</v>
      </c>
      <c r="K301" s="1">
        <v>82</v>
      </c>
      <c r="L301" s="1" t="s">
        <v>29</v>
      </c>
    </row>
    <row r="302" spans="1:12" x14ac:dyDescent="0.25">
      <c r="A302" s="1" t="s">
        <v>12</v>
      </c>
      <c r="B302" s="1" t="s">
        <v>13</v>
      </c>
      <c r="C302" s="1">
        <v>2022</v>
      </c>
      <c r="D302" s="1">
        <v>69200</v>
      </c>
      <c r="E302" s="1">
        <v>4.5</v>
      </c>
      <c r="F302" s="1">
        <v>65</v>
      </c>
      <c r="G302" s="1">
        <v>546847975</v>
      </c>
      <c r="H302" s="1">
        <v>50</v>
      </c>
      <c r="I302" s="1">
        <v>15.7</v>
      </c>
      <c r="J302" s="1">
        <v>81</v>
      </c>
      <c r="K302" s="1">
        <v>52</v>
      </c>
      <c r="L302" s="1" t="s">
        <v>14</v>
      </c>
    </row>
    <row r="303" spans="1:12" x14ac:dyDescent="0.25">
      <c r="A303" s="1" t="s">
        <v>15</v>
      </c>
      <c r="B303" s="1" t="s">
        <v>16</v>
      </c>
      <c r="C303" s="1">
        <v>2021</v>
      </c>
      <c r="D303" s="1">
        <v>31189</v>
      </c>
      <c r="E303" s="1">
        <v>4.5999999999999996</v>
      </c>
      <c r="F303" s="1">
        <v>66</v>
      </c>
      <c r="G303" s="1">
        <v>777729750</v>
      </c>
      <c r="H303" s="1">
        <v>54</v>
      </c>
      <c r="I303" s="1">
        <v>5.8</v>
      </c>
      <c r="J303" s="1">
        <v>79</v>
      </c>
      <c r="K303" s="1">
        <v>79</v>
      </c>
      <c r="L303" s="1" t="s">
        <v>16</v>
      </c>
    </row>
    <row r="304" spans="1:12" x14ac:dyDescent="0.25">
      <c r="A304" s="1" t="s">
        <v>17</v>
      </c>
      <c r="B304" s="1" t="s">
        <v>18</v>
      </c>
      <c r="C304" s="1">
        <v>2021</v>
      </c>
      <c r="D304" s="1">
        <v>9830</v>
      </c>
      <c r="E304" s="1">
        <v>10</v>
      </c>
      <c r="F304" s="1">
        <v>79</v>
      </c>
      <c r="G304" s="1">
        <v>184122617</v>
      </c>
      <c r="H304" s="1">
        <v>76</v>
      </c>
      <c r="I304" s="1">
        <v>7.1</v>
      </c>
      <c r="J304" s="1">
        <v>95</v>
      </c>
      <c r="K304" s="1">
        <v>50</v>
      </c>
      <c r="L304" s="1" t="s">
        <v>18</v>
      </c>
    </row>
    <row r="305" spans="1:12" x14ac:dyDescent="0.25">
      <c r="A305" s="1" t="s">
        <v>19</v>
      </c>
      <c r="B305" s="1" t="s">
        <v>20</v>
      </c>
      <c r="C305" s="1">
        <v>2021</v>
      </c>
      <c r="D305" s="1">
        <v>6895</v>
      </c>
      <c r="E305" s="1">
        <v>12.4</v>
      </c>
      <c r="F305" s="1">
        <v>67</v>
      </c>
      <c r="G305" s="1">
        <v>1087676656</v>
      </c>
      <c r="H305" s="1">
        <v>78</v>
      </c>
      <c r="I305" s="1">
        <v>24.2</v>
      </c>
      <c r="J305" s="1">
        <v>96</v>
      </c>
      <c r="K305" s="1">
        <v>61</v>
      </c>
      <c r="L305" s="1" t="s">
        <v>20</v>
      </c>
    </row>
    <row r="306" spans="1:12" x14ac:dyDescent="0.25">
      <c r="A306" s="1" t="s">
        <v>21</v>
      </c>
      <c r="B306" s="1" t="s">
        <v>22</v>
      </c>
      <c r="C306" s="1">
        <v>2021</v>
      </c>
      <c r="D306" s="1">
        <v>19042</v>
      </c>
      <c r="E306" s="1">
        <v>4.2</v>
      </c>
      <c r="F306" s="1">
        <v>65</v>
      </c>
      <c r="G306" s="1">
        <v>567396274</v>
      </c>
      <c r="H306" s="1">
        <v>61</v>
      </c>
      <c r="I306" s="1">
        <v>23.7</v>
      </c>
      <c r="J306" s="1">
        <v>81</v>
      </c>
      <c r="K306" s="1">
        <v>35</v>
      </c>
      <c r="L306" s="1" t="s">
        <v>14</v>
      </c>
    </row>
    <row r="307" spans="1:12" x14ac:dyDescent="0.25">
      <c r="A307" s="1" t="s">
        <v>23</v>
      </c>
      <c r="B307" s="1" t="s">
        <v>18</v>
      </c>
      <c r="C307" s="1">
        <v>2020</v>
      </c>
      <c r="D307" s="1">
        <v>4479</v>
      </c>
      <c r="E307" s="1">
        <v>12.2</v>
      </c>
      <c r="F307" s="1">
        <v>74</v>
      </c>
      <c r="G307" s="1">
        <v>1352400045</v>
      </c>
      <c r="H307" s="1">
        <v>51</v>
      </c>
      <c r="I307" s="1">
        <v>23.1</v>
      </c>
      <c r="J307" s="1">
        <v>76</v>
      </c>
      <c r="K307" s="1">
        <v>69</v>
      </c>
      <c r="L307" s="1" t="s">
        <v>18</v>
      </c>
    </row>
    <row r="308" spans="1:12" x14ac:dyDescent="0.25">
      <c r="A308" s="1" t="s">
        <v>24</v>
      </c>
      <c r="B308" s="1" t="s">
        <v>16</v>
      </c>
      <c r="C308" s="1">
        <v>2021</v>
      </c>
      <c r="D308" s="1">
        <v>38455</v>
      </c>
      <c r="E308" s="1">
        <v>15.1</v>
      </c>
      <c r="F308" s="1">
        <v>65</v>
      </c>
      <c r="G308" s="1">
        <v>1010075292</v>
      </c>
      <c r="H308" s="1">
        <v>94</v>
      </c>
      <c r="I308" s="1">
        <v>5.5</v>
      </c>
      <c r="J308" s="1">
        <v>79</v>
      </c>
      <c r="K308" s="1">
        <v>58</v>
      </c>
      <c r="L308" s="1" t="s">
        <v>16</v>
      </c>
    </row>
    <row r="309" spans="1:12" x14ac:dyDescent="0.25">
      <c r="A309" s="1" t="s">
        <v>25</v>
      </c>
      <c r="B309" s="1" t="s">
        <v>26</v>
      </c>
      <c r="C309" s="1">
        <v>2022</v>
      </c>
      <c r="D309" s="1">
        <v>31443</v>
      </c>
      <c r="E309" s="1">
        <v>11.5</v>
      </c>
      <c r="F309" s="1">
        <v>62</v>
      </c>
      <c r="G309" s="1">
        <v>953750645</v>
      </c>
      <c r="H309" s="1">
        <v>64</v>
      </c>
      <c r="I309" s="1">
        <v>9.1999999999999993</v>
      </c>
      <c r="J309" s="1">
        <v>95</v>
      </c>
      <c r="K309" s="1">
        <v>37</v>
      </c>
      <c r="L309" s="1" t="s">
        <v>26</v>
      </c>
    </row>
    <row r="310" spans="1:12" x14ac:dyDescent="0.25">
      <c r="A310" s="1" t="s">
        <v>27</v>
      </c>
      <c r="B310" s="1" t="s">
        <v>22</v>
      </c>
      <c r="C310" s="1">
        <v>2020</v>
      </c>
      <c r="D310" s="1">
        <v>40599</v>
      </c>
      <c r="E310" s="1">
        <v>12.8</v>
      </c>
      <c r="F310" s="1">
        <v>68</v>
      </c>
      <c r="G310" s="1">
        <v>388891570</v>
      </c>
      <c r="H310" s="1">
        <v>92</v>
      </c>
      <c r="I310" s="1">
        <v>24.3</v>
      </c>
      <c r="J310" s="1">
        <v>92</v>
      </c>
      <c r="K310" s="1">
        <v>82</v>
      </c>
      <c r="L310" s="1" t="s">
        <v>14</v>
      </c>
    </row>
    <row r="311" spans="1:12" x14ac:dyDescent="0.25">
      <c r="A311" s="1" t="s">
        <v>28</v>
      </c>
      <c r="B311" s="1" t="s">
        <v>29</v>
      </c>
      <c r="C311" s="1">
        <v>2021</v>
      </c>
      <c r="D311" s="1">
        <v>30884</v>
      </c>
      <c r="E311" s="1">
        <v>7.2</v>
      </c>
      <c r="F311" s="1">
        <v>71</v>
      </c>
      <c r="G311" s="1">
        <v>838739934</v>
      </c>
      <c r="H311" s="1">
        <v>70</v>
      </c>
      <c r="I311" s="1">
        <v>12.4</v>
      </c>
      <c r="J311" s="1">
        <v>89</v>
      </c>
      <c r="K311" s="1">
        <v>42</v>
      </c>
      <c r="L311" s="1" t="s">
        <v>29</v>
      </c>
    </row>
    <row r="312" spans="1:12" x14ac:dyDescent="0.25">
      <c r="A312" s="1" t="s">
        <v>12</v>
      </c>
      <c r="B312" s="1" t="s">
        <v>13</v>
      </c>
      <c r="C312" s="1">
        <v>2021</v>
      </c>
      <c r="D312" s="1">
        <v>8088</v>
      </c>
      <c r="E312" s="1">
        <v>10.5</v>
      </c>
      <c r="F312" s="1">
        <v>62</v>
      </c>
      <c r="G312" s="1">
        <v>1438981351</v>
      </c>
      <c r="H312" s="1">
        <v>93</v>
      </c>
      <c r="I312" s="1">
        <v>3.3</v>
      </c>
      <c r="J312" s="1">
        <v>74</v>
      </c>
      <c r="K312" s="1">
        <v>78</v>
      </c>
      <c r="L312" s="1" t="s">
        <v>14</v>
      </c>
    </row>
    <row r="313" spans="1:12" x14ac:dyDescent="0.25">
      <c r="A313" s="1" t="s">
        <v>15</v>
      </c>
      <c r="B313" s="1" t="s">
        <v>16</v>
      </c>
      <c r="C313" s="1">
        <v>2020</v>
      </c>
      <c r="D313" s="1">
        <v>52254</v>
      </c>
      <c r="E313" s="1">
        <v>14.7</v>
      </c>
      <c r="F313" s="1">
        <v>71</v>
      </c>
      <c r="G313" s="1">
        <v>536167628</v>
      </c>
      <c r="H313" s="1">
        <v>51</v>
      </c>
      <c r="I313" s="1">
        <v>7.5</v>
      </c>
      <c r="J313" s="1">
        <v>98</v>
      </c>
      <c r="K313" s="1">
        <v>55</v>
      </c>
      <c r="L313" s="1" t="s">
        <v>16</v>
      </c>
    </row>
    <row r="314" spans="1:12" x14ac:dyDescent="0.25">
      <c r="A314" s="1" t="s">
        <v>17</v>
      </c>
      <c r="B314" s="1" t="s">
        <v>18</v>
      </c>
      <c r="C314" s="1">
        <v>2020</v>
      </c>
      <c r="D314" s="1">
        <v>25129</v>
      </c>
      <c r="E314" s="1">
        <v>9.5</v>
      </c>
      <c r="F314" s="1">
        <v>69</v>
      </c>
      <c r="G314" s="1">
        <v>1244586459</v>
      </c>
      <c r="H314" s="1">
        <v>58</v>
      </c>
      <c r="I314" s="1">
        <v>21.2</v>
      </c>
      <c r="J314" s="1">
        <v>96</v>
      </c>
      <c r="K314" s="1">
        <v>59</v>
      </c>
      <c r="L314" s="1" t="s">
        <v>18</v>
      </c>
    </row>
    <row r="315" spans="1:12" x14ac:dyDescent="0.25">
      <c r="A315" s="1" t="s">
        <v>19</v>
      </c>
      <c r="B315" s="1" t="s">
        <v>20</v>
      </c>
      <c r="C315" s="1">
        <v>2021</v>
      </c>
      <c r="D315" s="1">
        <v>4331</v>
      </c>
      <c r="E315" s="1">
        <v>16.3</v>
      </c>
      <c r="F315" s="1">
        <v>74</v>
      </c>
      <c r="G315" s="1">
        <v>47967447</v>
      </c>
      <c r="H315" s="1">
        <v>58</v>
      </c>
      <c r="I315" s="1">
        <v>8.6</v>
      </c>
      <c r="J315" s="1">
        <v>72</v>
      </c>
      <c r="K315" s="1">
        <v>42</v>
      </c>
      <c r="L315" s="1" t="s">
        <v>20</v>
      </c>
    </row>
    <row r="316" spans="1:12" x14ac:dyDescent="0.25">
      <c r="A316" s="1" t="s">
        <v>21</v>
      </c>
      <c r="B316" s="1" t="s">
        <v>22</v>
      </c>
      <c r="C316" s="1">
        <v>2022</v>
      </c>
      <c r="D316" s="1">
        <v>58368</v>
      </c>
      <c r="E316" s="1">
        <v>4.8</v>
      </c>
      <c r="F316" s="1">
        <v>64</v>
      </c>
      <c r="G316" s="1">
        <v>585456731</v>
      </c>
      <c r="H316" s="1">
        <v>54</v>
      </c>
      <c r="I316" s="1">
        <v>14.4</v>
      </c>
      <c r="J316" s="1">
        <v>93</v>
      </c>
      <c r="K316" s="1">
        <v>55</v>
      </c>
      <c r="L316" s="1" t="s">
        <v>14</v>
      </c>
    </row>
    <row r="317" spans="1:12" x14ac:dyDescent="0.25">
      <c r="A317" s="1" t="s">
        <v>23</v>
      </c>
      <c r="B317" s="1" t="s">
        <v>18</v>
      </c>
      <c r="C317" s="1">
        <v>2020</v>
      </c>
      <c r="D317" s="1">
        <v>33367</v>
      </c>
      <c r="E317" s="1">
        <v>11.4</v>
      </c>
      <c r="F317" s="1">
        <v>69</v>
      </c>
      <c r="G317" s="1">
        <v>119689761</v>
      </c>
      <c r="H317" s="1">
        <v>84</v>
      </c>
      <c r="I317" s="1">
        <v>9</v>
      </c>
      <c r="J317" s="1">
        <v>91</v>
      </c>
      <c r="K317" s="1">
        <v>73</v>
      </c>
      <c r="L317" s="1" t="s">
        <v>18</v>
      </c>
    </row>
    <row r="318" spans="1:12" x14ac:dyDescent="0.25">
      <c r="A318" s="1" t="s">
        <v>24</v>
      </c>
      <c r="B318" s="1" t="s">
        <v>16</v>
      </c>
      <c r="C318" s="1">
        <v>2022</v>
      </c>
      <c r="D318" s="1">
        <v>43109</v>
      </c>
      <c r="E318" s="1">
        <v>4.7</v>
      </c>
      <c r="F318" s="1">
        <v>77</v>
      </c>
      <c r="G318" s="1">
        <v>581988730</v>
      </c>
      <c r="H318" s="1">
        <v>67</v>
      </c>
      <c r="I318" s="1">
        <v>9.5</v>
      </c>
      <c r="J318" s="1">
        <v>98</v>
      </c>
      <c r="K318" s="1">
        <v>60</v>
      </c>
      <c r="L318" s="1" t="s">
        <v>16</v>
      </c>
    </row>
    <row r="319" spans="1:12" x14ac:dyDescent="0.25">
      <c r="A319" s="1" t="s">
        <v>25</v>
      </c>
      <c r="B319" s="1" t="s">
        <v>26</v>
      </c>
      <c r="C319" s="1">
        <v>2021</v>
      </c>
      <c r="D319" s="1">
        <v>11953</v>
      </c>
      <c r="E319" s="1">
        <v>15</v>
      </c>
      <c r="F319" s="1">
        <v>63</v>
      </c>
      <c r="G319" s="1">
        <v>1008189171</v>
      </c>
      <c r="H319" s="1">
        <v>91</v>
      </c>
      <c r="I319" s="1">
        <v>19.3</v>
      </c>
      <c r="J319" s="1">
        <v>100</v>
      </c>
      <c r="K319" s="1">
        <v>90</v>
      </c>
      <c r="L319" s="1" t="s">
        <v>26</v>
      </c>
    </row>
    <row r="320" spans="1:12" x14ac:dyDescent="0.25">
      <c r="A320" s="1" t="s">
        <v>27</v>
      </c>
      <c r="B320" s="1" t="s">
        <v>22</v>
      </c>
      <c r="C320" s="1">
        <v>2022</v>
      </c>
      <c r="D320" s="1">
        <v>42457</v>
      </c>
      <c r="E320" s="1">
        <v>6.7</v>
      </c>
      <c r="F320" s="1">
        <v>64</v>
      </c>
      <c r="G320" s="1">
        <v>995432119</v>
      </c>
      <c r="H320" s="1">
        <v>89</v>
      </c>
      <c r="I320" s="1">
        <v>22.9</v>
      </c>
      <c r="J320" s="1">
        <v>73</v>
      </c>
      <c r="K320" s="1">
        <v>58</v>
      </c>
      <c r="L320" s="1" t="s">
        <v>14</v>
      </c>
    </row>
    <row r="321" spans="1:12" x14ac:dyDescent="0.25">
      <c r="A321" s="1" t="s">
        <v>28</v>
      </c>
      <c r="B321" s="1" t="s">
        <v>29</v>
      </c>
      <c r="C321" s="1">
        <v>2020</v>
      </c>
      <c r="D321" s="1">
        <v>64269</v>
      </c>
      <c r="E321" s="1">
        <v>4.5999999999999996</v>
      </c>
      <c r="F321" s="1">
        <v>63</v>
      </c>
      <c r="G321" s="1">
        <v>591421225</v>
      </c>
      <c r="H321" s="1">
        <v>51</v>
      </c>
      <c r="I321" s="1">
        <v>9.3000000000000007</v>
      </c>
      <c r="J321" s="1">
        <v>81</v>
      </c>
      <c r="K321" s="1">
        <v>51</v>
      </c>
      <c r="L321" s="1" t="s">
        <v>29</v>
      </c>
    </row>
    <row r="322" spans="1:12" x14ac:dyDescent="0.25">
      <c r="A322" s="1" t="s">
        <v>12</v>
      </c>
      <c r="B322" s="1" t="s">
        <v>13</v>
      </c>
      <c r="C322" s="1">
        <v>2020</v>
      </c>
      <c r="D322" s="1">
        <v>37447</v>
      </c>
      <c r="E322" s="1">
        <v>7.5</v>
      </c>
      <c r="F322" s="1">
        <v>61</v>
      </c>
      <c r="G322" s="1">
        <v>643543016</v>
      </c>
      <c r="H322" s="1">
        <v>85</v>
      </c>
      <c r="I322" s="1">
        <v>19.899999999999999</v>
      </c>
      <c r="J322" s="1">
        <v>89</v>
      </c>
      <c r="K322" s="1">
        <v>42</v>
      </c>
      <c r="L322" s="1" t="s">
        <v>14</v>
      </c>
    </row>
    <row r="323" spans="1:12" x14ac:dyDescent="0.25">
      <c r="A323" s="1" t="s">
        <v>15</v>
      </c>
      <c r="B323" s="1" t="s">
        <v>16</v>
      </c>
      <c r="C323" s="1">
        <v>2020</v>
      </c>
      <c r="D323" s="1">
        <v>20949</v>
      </c>
      <c r="E323" s="1">
        <v>16.2</v>
      </c>
      <c r="F323" s="1">
        <v>75</v>
      </c>
      <c r="G323" s="1">
        <v>830554157</v>
      </c>
      <c r="H323" s="1">
        <v>94</v>
      </c>
      <c r="I323" s="1">
        <v>11.5</v>
      </c>
      <c r="J323" s="1">
        <v>76</v>
      </c>
      <c r="K323" s="1">
        <v>84</v>
      </c>
      <c r="L323" s="1" t="s">
        <v>16</v>
      </c>
    </row>
    <row r="324" spans="1:12" x14ac:dyDescent="0.25">
      <c r="A324" s="1" t="s">
        <v>17</v>
      </c>
      <c r="B324" s="1" t="s">
        <v>18</v>
      </c>
      <c r="C324" s="1">
        <v>2020</v>
      </c>
      <c r="D324" s="1">
        <v>14552</v>
      </c>
      <c r="E324" s="1">
        <v>16.7</v>
      </c>
      <c r="F324" s="1">
        <v>76</v>
      </c>
      <c r="G324" s="1">
        <v>916954073</v>
      </c>
      <c r="H324" s="1">
        <v>70</v>
      </c>
      <c r="I324" s="1">
        <v>7.9</v>
      </c>
      <c r="J324" s="1">
        <v>77</v>
      </c>
      <c r="K324" s="1">
        <v>49</v>
      </c>
      <c r="L324" s="1" t="s">
        <v>18</v>
      </c>
    </row>
    <row r="325" spans="1:12" x14ac:dyDescent="0.25">
      <c r="A325" s="1" t="s">
        <v>19</v>
      </c>
      <c r="B325" s="1" t="s">
        <v>20</v>
      </c>
      <c r="C325" s="1">
        <v>2022</v>
      </c>
      <c r="D325" s="1">
        <v>29169</v>
      </c>
      <c r="E325" s="1">
        <v>3.9</v>
      </c>
      <c r="F325" s="1">
        <v>61</v>
      </c>
      <c r="G325" s="1">
        <v>493774114</v>
      </c>
      <c r="H325" s="1">
        <v>60</v>
      </c>
      <c r="I325" s="1">
        <v>13.7</v>
      </c>
      <c r="J325" s="1">
        <v>88</v>
      </c>
      <c r="K325" s="1">
        <v>79</v>
      </c>
      <c r="L325" s="1" t="s">
        <v>20</v>
      </c>
    </row>
    <row r="326" spans="1:12" x14ac:dyDescent="0.25">
      <c r="A326" s="1" t="s">
        <v>21</v>
      </c>
      <c r="B326" s="1" t="s">
        <v>22</v>
      </c>
      <c r="C326" s="1">
        <v>2021</v>
      </c>
      <c r="D326" s="1">
        <v>67325</v>
      </c>
      <c r="E326" s="1">
        <v>8.8000000000000007</v>
      </c>
      <c r="F326" s="1">
        <v>74</v>
      </c>
      <c r="G326" s="1">
        <v>198751555</v>
      </c>
      <c r="H326" s="1">
        <v>85</v>
      </c>
      <c r="I326" s="1">
        <v>4.3</v>
      </c>
      <c r="J326" s="1">
        <v>76</v>
      </c>
      <c r="K326" s="1">
        <v>53</v>
      </c>
      <c r="L326" s="1" t="s">
        <v>14</v>
      </c>
    </row>
    <row r="327" spans="1:12" x14ac:dyDescent="0.25">
      <c r="A327" s="1" t="s">
        <v>23</v>
      </c>
      <c r="B327" s="1" t="s">
        <v>18</v>
      </c>
      <c r="C327" s="1">
        <v>2020</v>
      </c>
      <c r="D327" s="1">
        <v>26828</v>
      </c>
      <c r="E327" s="1">
        <v>9</v>
      </c>
      <c r="F327" s="1">
        <v>62</v>
      </c>
      <c r="G327" s="1">
        <v>93378703</v>
      </c>
      <c r="H327" s="1">
        <v>81</v>
      </c>
      <c r="I327" s="1">
        <v>2.1</v>
      </c>
      <c r="J327" s="1">
        <v>80</v>
      </c>
      <c r="K327" s="1">
        <v>81</v>
      </c>
      <c r="L327" s="1" t="s">
        <v>18</v>
      </c>
    </row>
    <row r="328" spans="1:12" x14ac:dyDescent="0.25">
      <c r="A328" s="1" t="s">
        <v>24</v>
      </c>
      <c r="B328" s="1" t="s">
        <v>16</v>
      </c>
      <c r="C328" s="1">
        <v>2021</v>
      </c>
      <c r="D328" s="1">
        <v>65159</v>
      </c>
      <c r="E328" s="1">
        <v>8.1999999999999993</v>
      </c>
      <c r="F328" s="1">
        <v>69</v>
      </c>
      <c r="G328" s="1">
        <v>290686228</v>
      </c>
      <c r="H328" s="1">
        <v>61</v>
      </c>
      <c r="I328" s="1">
        <v>9.5</v>
      </c>
      <c r="J328" s="1">
        <v>81</v>
      </c>
      <c r="K328" s="1">
        <v>33</v>
      </c>
      <c r="L328" s="1" t="s">
        <v>16</v>
      </c>
    </row>
    <row r="329" spans="1:12" x14ac:dyDescent="0.25">
      <c r="A329" s="1" t="s">
        <v>25</v>
      </c>
      <c r="B329" s="1" t="s">
        <v>26</v>
      </c>
      <c r="C329" s="1">
        <v>2022</v>
      </c>
      <c r="D329" s="1">
        <v>33340</v>
      </c>
      <c r="E329" s="1">
        <v>14.3</v>
      </c>
      <c r="F329" s="1">
        <v>71</v>
      </c>
      <c r="G329" s="1">
        <v>879517218</v>
      </c>
      <c r="H329" s="1">
        <v>72</v>
      </c>
      <c r="I329" s="1">
        <v>15</v>
      </c>
      <c r="J329" s="1">
        <v>85</v>
      </c>
      <c r="K329" s="1">
        <v>76</v>
      </c>
      <c r="L329" s="1" t="s">
        <v>26</v>
      </c>
    </row>
    <row r="330" spans="1:12" x14ac:dyDescent="0.25">
      <c r="A330" s="1" t="s">
        <v>27</v>
      </c>
      <c r="B330" s="1" t="s">
        <v>22</v>
      </c>
      <c r="C330" s="1">
        <v>2021</v>
      </c>
      <c r="D330" s="1">
        <v>37713</v>
      </c>
      <c r="E330" s="1">
        <v>4.5</v>
      </c>
      <c r="F330" s="1">
        <v>83</v>
      </c>
      <c r="G330" s="1">
        <v>280596008</v>
      </c>
      <c r="H330" s="1">
        <v>60</v>
      </c>
      <c r="I330" s="1">
        <v>17</v>
      </c>
      <c r="J330" s="1">
        <v>85</v>
      </c>
      <c r="K330" s="1">
        <v>46</v>
      </c>
      <c r="L330" s="1" t="s">
        <v>14</v>
      </c>
    </row>
    <row r="331" spans="1:12" x14ac:dyDescent="0.25">
      <c r="A331" s="1" t="s">
        <v>28</v>
      </c>
      <c r="B331" s="1" t="s">
        <v>29</v>
      </c>
      <c r="C331" s="1">
        <v>2021</v>
      </c>
      <c r="D331" s="1">
        <v>30791</v>
      </c>
      <c r="E331" s="1">
        <v>10.1</v>
      </c>
      <c r="F331" s="1">
        <v>84</v>
      </c>
      <c r="G331" s="1">
        <v>1126116189</v>
      </c>
      <c r="H331" s="1">
        <v>95</v>
      </c>
      <c r="I331" s="1">
        <v>20.3</v>
      </c>
      <c r="J331" s="1">
        <v>89</v>
      </c>
      <c r="K331" s="1">
        <v>48</v>
      </c>
      <c r="L331" s="1" t="s">
        <v>29</v>
      </c>
    </row>
    <row r="332" spans="1:12" x14ac:dyDescent="0.25">
      <c r="A332" s="1" t="s">
        <v>12</v>
      </c>
      <c r="B332" s="1" t="s">
        <v>13</v>
      </c>
      <c r="C332" s="1">
        <v>2020</v>
      </c>
      <c r="D332" s="1">
        <v>43675</v>
      </c>
      <c r="E332" s="1">
        <v>5.7</v>
      </c>
      <c r="F332" s="1">
        <v>62</v>
      </c>
      <c r="G332" s="1">
        <v>762571734</v>
      </c>
      <c r="H332" s="1">
        <v>75</v>
      </c>
      <c r="I332" s="1">
        <v>5.9</v>
      </c>
      <c r="J332" s="1">
        <v>87</v>
      </c>
      <c r="K332" s="1">
        <v>39</v>
      </c>
      <c r="L332" s="1" t="s">
        <v>14</v>
      </c>
    </row>
    <row r="333" spans="1:12" x14ac:dyDescent="0.25">
      <c r="A333" s="1" t="s">
        <v>15</v>
      </c>
      <c r="B333" s="1" t="s">
        <v>16</v>
      </c>
      <c r="C333" s="1">
        <v>2020</v>
      </c>
      <c r="D333" s="1">
        <v>68392</v>
      </c>
      <c r="E333" s="1">
        <v>11.2</v>
      </c>
      <c r="F333" s="1">
        <v>63</v>
      </c>
      <c r="G333" s="1">
        <v>1475280515</v>
      </c>
      <c r="H333" s="1">
        <v>73</v>
      </c>
      <c r="I333" s="1">
        <v>21.9</v>
      </c>
      <c r="J333" s="1">
        <v>70</v>
      </c>
      <c r="K333" s="1">
        <v>58</v>
      </c>
      <c r="L333" s="1" t="s">
        <v>16</v>
      </c>
    </row>
    <row r="334" spans="1:12" x14ac:dyDescent="0.25">
      <c r="A334" s="1" t="s">
        <v>17</v>
      </c>
      <c r="B334" s="1" t="s">
        <v>18</v>
      </c>
      <c r="C334" s="1">
        <v>2020</v>
      </c>
      <c r="D334" s="1">
        <v>15020</v>
      </c>
      <c r="E334" s="1">
        <v>4.9000000000000004</v>
      </c>
      <c r="F334" s="1">
        <v>70</v>
      </c>
      <c r="G334" s="1">
        <v>506526463</v>
      </c>
      <c r="H334" s="1">
        <v>65</v>
      </c>
      <c r="I334" s="1">
        <v>15</v>
      </c>
      <c r="J334" s="1">
        <v>78</v>
      </c>
      <c r="K334" s="1">
        <v>46</v>
      </c>
      <c r="L334" s="1" t="s">
        <v>18</v>
      </c>
    </row>
    <row r="335" spans="1:12" x14ac:dyDescent="0.25">
      <c r="A335" s="1" t="s">
        <v>19</v>
      </c>
      <c r="B335" s="1" t="s">
        <v>20</v>
      </c>
      <c r="C335" s="1">
        <v>2022</v>
      </c>
      <c r="D335" s="1">
        <v>3592</v>
      </c>
      <c r="E335" s="1">
        <v>13.4</v>
      </c>
      <c r="F335" s="1">
        <v>79</v>
      </c>
      <c r="G335" s="1">
        <v>1097647114</v>
      </c>
      <c r="H335" s="1">
        <v>67</v>
      </c>
      <c r="I335" s="1">
        <v>13.8</v>
      </c>
      <c r="J335" s="1">
        <v>85</v>
      </c>
      <c r="K335" s="1">
        <v>41</v>
      </c>
      <c r="L335" s="1" t="s">
        <v>20</v>
      </c>
    </row>
    <row r="336" spans="1:12" x14ac:dyDescent="0.25">
      <c r="A336" s="1" t="s">
        <v>21</v>
      </c>
      <c r="B336" s="1" t="s">
        <v>22</v>
      </c>
      <c r="C336" s="1">
        <v>2020</v>
      </c>
      <c r="D336" s="1">
        <v>16623</v>
      </c>
      <c r="E336" s="1">
        <v>7.1</v>
      </c>
      <c r="F336" s="1">
        <v>63</v>
      </c>
      <c r="G336" s="1">
        <v>1153026740</v>
      </c>
      <c r="H336" s="1">
        <v>67</v>
      </c>
      <c r="I336" s="1">
        <v>18.3</v>
      </c>
      <c r="J336" s="1">
        <v>70</v>
      </c>
      <c r="K336" s="1">
        <v>60</v>
      </c>
      <c r="L336" s="1" t="s">
        <v>14</v>
      </c>
    </row>
    <row r="337" spans="1:12" x14ac:dyDescent="0.25">
      <c r="A337" s="1" t="s">
        <v>23</v>
      </c>
      <c r="B337" s="1" t="s">
        <v>18</v>
      </c>
      <c r="C337" s="1">
        <v>2021</v>
      </c>
      <c r="D337" s="1">
        <v>40106</v>
      </c>
      <c r="E337" s="1">
        <v>9.8000000000000007</v>
      </c>
      <c r="F337" s="1">
        <v>64</v>
      </c>
      <c r="G337" s="1">
        <v>295202050</v>
      </c>
      <c r="H337" s="1">
        <v>67</v>
      </c>
      <c r="I337" s="1">
        <v>15.4</v>
      </c>
      <c r="J337" s="1">
        <v>79</v>
      </c>
      <c r="K337" s="1">
        <v>30</v>
      </c>
      <c r="L337" s="1" t="s">
        <v>18</v>
      </c>
    </row>
    <row r="338" spans="1:12" x14ac:dyDescent="0.25">
      <c r="A338" s="1" t="s">
        <v>24</v>
      </c>
      <c r="B338" s="1" t="s">
        <v>16</v>
      </c>
      <c r="C338" s="1">
        <v>2021</v>
      </c>
      <c r="D338" s="1">
        <v>12105</v>
      </c>
      <c r="E338" s="1">
        <v>6.9</v>
      </c>
      <c r="F338" s="1">
        <v>70</v>
      </c>
      <c r="G338" s="1">
        <v>1253164896</v>
      </c>
      <c r="H338" s="1">
        <v>71</v>
      </c>
      <c r="I338" s="1">
        <v>4.5999999999999996</v>
      </c>
      <c r="J338" s="1">
        <v>72</v>
      </c>
      <c r="K338" s="1">
        <v>33</v>
      </c>
      <c r="L338" s="1" t="s">
        <v>16</v>
      </c>
    </row>
    <row r="339" spans="1:12" x14ac:dyDescent="0.25">
      <c r="A339" s="1" t="s">
        <v>25</v>
      </c>
      <c r="B339" s="1" t="s">
        <v>26</v>
      </c>
      <c r="C339" s="1">
        <v>2020</v>
      </c>
      <c r="D339" s="1">
        <v>48363</v>
      </c>
      <c r="E339" s="1">
        <v>9.3000000000000007</v>
      </c>
      <c r="F339" s="1">
        <v>61</v>
      </c>
      <c r="G339" s="1">
        <v>236721507</v>
      </c>
      <c r="H339" s="1">
        <v>78</v>
      </c>
      <c r="I339" s="1">
        <v>5.2</v>
      </c>
      <c r="J339" s="1">
        <v>79</v>
      </c>
      <c r="K339" s="1">
        <v>81</v>
      </c>
      <c r="L339" s="1" t="s">
        <v>26</v>
      </c>
    </row>
    <row r="340" spans="1:12" x14ac:dyDescent="0.25">
      <c r="A340" s="1" t="s">
        <v>27</v>
      </c>
      <c r="B340" s="1" t="s">
        <v>22</v>
      </c>
      <c r="C340" s="1">
        <v>2020</v>
      </c>
      <c r="D340" s="1">
        <v>19002</v>
      </c>
      <c r="E340" s="1">
        <v>12.5</v>
      </c>
      <c r="F340" s="1">
        <v>74</v>
      </c>
      <c r="G340" s="1">
        <v>1176849241</v>
      </c>
      <c r="H340" s="1">
        <v>92</v>
      </c>
      <c r="I340" s="1">
        <v>14.8</v>
      </c>
      <c r="J340" s="1">
        <v>97</v>
      </c>
      <c r="K340" s="1">
        <v>32</v>
      </c>
      <c r="L340" s="1" t="s">
        <v>14</v>
      </c>
    </row>
    <row r="341" spans="1:12" x14ac:dyDescent="0.25">
      <c r="A341" s="1" t="s">
        <v>28</v>
      </c>
      <c r="B341" s="1" t="s">
        <v>29</v>
      </c>
      <c r="C341" s="1">
        <v>2020</v>
      </c>
      <c r="D341" s="1">
        <v>50244</v>
      </c>
      <c r="E341" s="1">
        <v>16.8</v>
      </c>
      <c r="F341" s="1">
        <v>60</v>
      </c>
      <c r="G341" s="1">
        <v>848454583</v>
      </c>
      <c r="H341" s="1">
        <v>61</v>
      </c>
      <c r="I341" s="1">
        <v>20.399999999999999</v>
      </c>
      <c r="J341" s="1">
        <v>77</v>
      </c>
      <c r="K341" s="1">
        <v>31</v>
      </c>
      <c r="L341" s="1" t="s">
        <v>29</v>
      </c>
    </row>
    <row r="342" spans="1:12" x14ac:dyDescent="0.25">
      <c r="A342" s="1" t="s">
        <v>12</v>
      </c>
      <c r="B342" s="1" t="s">
        <v>13</v>
      </c>
      <c r="C342" s="1">
        <v>2021</v>
      </c>
      <c r="D342" s="1">
        <v>19121</v>
      </c>
      <c r="E342" s="1">
        <v>3.2</v>
      </c>
      <c r="F342" s="1">
        <v>64</v>
      </c>
      <c r="G342" s="1">
        <v>897075017</v>
      </c>
      <c r="H342" s="1">
        <v>60</v>
      </c>
      <c r="I342" s="1">
        <v>20.100000000000001</v>
      </c>
      <c r="J342" s="1">
        <v>80</v>
      </c>
      <c r="K342" s="1">
        <v>51</v>
      </c>
      <c r="L342" s="1" t="s">
        <v>14</v>
      </c>
    </row>
    <row r="343" spans="1:12" x14ac:dyDescent="0.25">
      <c r="A343" s="1" t="s">
        <v>15</v>
      </c>
      <c r="B343" s="1" t="s">
        <v>16</v>
      </c>
      <c r="C343" s="1">
        <v>2021</v>
      </c>
      <c r="D343" s="1">
        <v>41996</v>
      </c>
      <c r="E343" s="1">
        <v>13.4</v>
      </c>
      <c r="F343" s="1">
        <v>85</v>
      </c>
      <c r="G343" s="1">
        <v>577123435</v>
      </c>
      <c r="H343" s="1">
        <v>62</v>
      </c>
      <c r="I343" s="1">
        <v>13.7</v>
      </c>
      <c r="J343" s="1">
        <v>76</v>
      </c>
      <c r="K343" s="1">
        <v>39</v>
      </c>
      <c r="L343" s="1" t="s">
        <v>16</v>
      </c>
    </row>
    <row r="344" spans="1:12" x14ac:dyDescent="0.25">
      <c r="A344" s="1" t="s">
        <v>17</v>
      </c>
      <c r="B344" s="1" t="s">
        <v>18</v>
      </c>
      <c r="C344" s="1">
        <v>2021</v>
      </c>
      <c r="D344" s="1">
        <v>6464</v>
      </c>
      <c r="E344" s="1">
        <v>11.6</v>
      </c>
      <c r="F344" s="1">
        <v>69</v>
      </c>
      <c r="G344" s="1">
        <v>127849080</v>
      </c>
      <c r="H344" s="1">
        <v>64</v>
      </c>
      <c r="I344" s="1">
        <v>20.6</v>
      </c>
      <c r="J344" s="1">
        <v>72</v>
      </c>
      <c r="K344" s="1">
        <v>55</v>
      </c>
      <c r="L344" s="1" t="s">
        <v>18</v>
      </c>
    </row>
    <row r="345" spans="1:12" x14ac:dyDescent="0.25">
      <c r="A345" s="1" t="s">
        <v>19</v>
      </c>
      <c r="B345" s="1" t="s">
        <v>20</v>
      </c>
      <c r="C345" s="1">
        <v>2022</v>
      </c>
      <c r="D345" s="1">
        <v>31097</v>
      </c>
      <c r="E345" s="1">
        <v>11.6</v>
      </c>
      <c r="F345" s="1">
        <v>76</v>
      </c>
      <c r="G345" s="1">
        <v>459994120</v>
      </c>
      <c r="H345" s="1">
        <v>67</v>
      </c>
      <c r="I345" s="1">
        <v>22.8</v>
      </c>
      <c r="J345" s="1">
        <v>77</v>
      </c>
      <c r="K345" s="1">
        <v>84</v>
      </c>
      <c r="L345" s="1" t="s">
        <v>20</v>
      </c>
    </row>
    <row r="346" spans="1:12" x14ac:dyDescent="0.25">
      <c r="A346" s="1" t="s">
        <v>21</v>
      </c>
      <c r="B346" s="1" t="s">
        <v>22</v>
      </c>
      <c r="C346" s="1">
        <v>2020</v>
      </c>
      <c r="D346" s="1">
        <v>31723</v>
      </c>
      <c r="E346" s="1">
        <v>14.9</v>
      </c>
      <c r="F346" s="1">
        <v>82</v>
      </c>
      <c r="G346" s="1">
        <v>1357989704</v>
      </c>
      <c r="H346" s="1">
        <v>59</v>
      </c>
      <c r="I346" s="1">
        <v>24.2</v>
      </c>
      <c r="J346" s="1">
        <v>74</v>
      </c>
      <c r="K346" s="1">
        <v>60</v>
      </c>
      <c r="L346" s="1" t="s">
        <v>14</v>
      </c>
    </row>
    <row r="347" spans="1:12" x14ac:dyDescent="0.25">
      <c r="A347" s="1" t="s">
        <v>23</v>
      </c>
      <c r="B347" s="1" t="s">
        <v>18</v>
      </c>
      <c r="C347" s="1">
        <v>2020</v>
      </c>
      <c r="D347" s="1">
        <v>16904</v>
      </c>
      <c r="E347" s="1">
        <v>12.5</v>
      </c>
      <c r="F347" s="1">
        <v>63</v>
      </c>
      <c r="G347" s="1">
        <v>440790761</v>
      </c>
      <c r="H347" s="1">
        <v>81</v>
      </c>
      <c r="I347" s="1">
        <v>23</v>
      </c>
      <c r="J347" s="1">
        <v>87</v>
      </c>
      <c r="K347" s="1">
        <v>62</v>
      </c>
      <c r="L347" s="1" t="s">
        <v>18</v>
      </c>
    </row>
    <row r="348" spans="1:12" x14ac:dyDescent="0.25">
      <c r="A348" s="1" t="s">
        <v>24</v>
      </c>
      <c r="B348" s="1" t="s">
        <v>16</v>
      </c>
      <c r="C348" s="1">
        <v>2022</v>
      </c>
      <c r="D348" s="1">
        <v>25858</v>
      </c>
      <c r="E348" s="1">
        <v>14.1</v>
      </c>
      <c r="F348" s="1">
        <v>79</v>
      </c>
      <c r="G348" s="1">
        <v>215994106</v>
      </c>
      <c r="H348" s="1">
        <v>90</v>
      </c>
      <c r="I348" s="1">
        <v>14.4</v>
      </c>
      <c r="J348" s="1">
        <v>89</v>
      </c>
      <c r="K348" s="1">
        <v>60</v>
      </c>
      <c r="L348" s="1" t="s">
        <v>16</v>
      </c>
    </row>
    <row r="349" spans="1:12" x14ac:dyDescent="0.25">
      <c r="A349" s="1" t="s">
        <v>25</v>
      </c>
      <c r="B349" s="1" t="s">
        <v>26</v>
      </c>
      <c r="C349" s="1">
        <v>2020</v>
      </c>
      <c r="D349" s="1">
        <v>39090</v>
      </c>
      <c r="E349" s="1">
        <v>6.3</v>
      </c>
      <c r="F349" s="1">
        <v>81</v>
      </c>
      <c r="G349" s="1">
        <v>1476134950</v>
      </c>
      <c r="H349" s="1">
        <v>94</v>
      </c>
      <c r="I349" s="1">
        <v>2.2999999999999998</v>
      </c>
      <c r="J349" s="1">
        <v>88</v>
      </c>
      <c r="K349" s="1">
        <v>67</v>
      </c>
      <c r="L349" s="1" t="s">
        <v>26</v>
      </c>
    </row>
    <row r="350" spans="1:12" x14ac:dyDescent="0.25">
      <c r="A350" s="1" t="s">
        <v>27</v>
      </c>
      <c r="B350" s="1" t="s">
        <v>22</v>
      </c>
      <c r="C350" s="1">
        <v>2020</v>
      </c>
      <c r="D350" s="1">
        <v>57924</v>
      </c>
      <c r="E350" s="1">
        <v>16</v>
      </c>
      <c r="F350" s="1">
        <v>77</v>
      </c>
      <c r="G350" s="1">
        <v>1413813761</v>
      </c>
      <c r="H350" s="1">
        <v>58</v>
      </c>
      <c r="I350" s="1">
        <v>20.7</v>
      </c>
      <c r="J350" s="1">
        <v>74</v>
      </c>
      <c r="K350" s="1">
        <v>40</v>
      </c>
      <c r="L350" s="1" t="s">
        <v>14</v>
      </c>
    </row>
    <row r="351" spans="1:12" x14ac:dyDescent="0.25">
      <c r="A351" s="1" t="s">
        <v>28</v>
      </c>
      <c r="B351" s="1" t="s">
        <v>29</v>
      </c>
      <c r="C351" s="1">
        <v>2021</v>
      </c>
      <c r="D351" s="1">
        <v>21162</v>
      </c>
      <c r="E351" s="1">
        <v>6.3</v>
      </c>
      <c r="F351" s="1">
        <v>83</v>
      </c>
      <c r="G351" s="1">
        <v>27917842</v>
      </c>
      <c r="H351" s="1">
        <v>64</v>
      </c>
      <c r="I351" s="1">
        <v>20.5</v>
      </c>
      <c r="J351" s="1">
        <v>100</v>
      </c>
      <c r="K351" s="1">
        <v>74</v>
      </c>
      <c r="L351" s="1" t="s">
        <v>29</v>
      </c>
    </row>
    <row r="352" spans="1:12" x14ac:dyDescent="0.25">
      <c r="A352" s="1" t="s">
        <v>12</v>
      </c>
      <c r="B352" s="1" t="s">
        <v>13</v>
      </c>
      <c r="C352" s="1">
        <v>2021</v>
      </c>
      <c r="D352" s="1">
        <v>55873</v>
      </c>
      <c r="E352" s="1">
        <v>5.4</v>
      </c>
      <c r="F352" s="1">
        <v>69</v>
      </c>
      <c r="G352" s="1">
        <v>218491208</v>
      </c>
      <c r="H352" s="1">
        <v>94</v>
      </c>
      <c r="I352" s="1">
        <v>16.3</v>
      </c>
      <c r="J352" s="1">
        <v>86</v>
      </c>
      <c r="K352" s="1">
        <v>88</v>
      </c>
      <c r="L352" s="1" t="s">
        <v>14</v>
      </c>
    </row>
    <row r="353" spans="1:12" x14ac:dyDescent="0.25">
      <c r="A353" s="1" t="s">
        <v>15</v>
      </c>
      <c r="B353" s="1" t="s">
        <v>16</v>
      </c>
      <c r="C353" s="1">
        <v>2022</v>
      </c>
      <c r="D353" s="1">
        <v>47245</v>
      </c>
      <c r="E353" s="1">
        <v>13.6</v>
      </c>
      <c r="F353" s="1">
        <v>60</v>
      </c>
      <c r="G353" s="1">
        <v>401373216</v>
      </c>
      <c r="H353" s="1">
        <v>66</v>
      </c>
      <c r="I353" s="1">
        <v>12.6</v>
      </c>
      <c r="J353" s="1">
        <v>80</v>
      </c>
      <c r="K353" s="1">
        <v>78</v>
      </c>
      <c r="L353" s="1" t="s">
        <v>16</v>
      </c>
    </row>
    <row r="354" spans="1:12" x14ac:dyDescent="0.25">
      <c r="A354" s="1" t="s">
        <v>17</v>
      </c>
      <c r="B354" s="1" t="s">
        <v>18</v>
      </c>
      <c r="C354" s="1">
        <v>2020</v>
      </c>
      <c r="D354" s="1">
        <v>66912</v>
      </c>
      <c r="E354" s="1">
        <v>14</v>
      </c>
      <c r="F354" s="1">
        <v>70</v>
      </c>
      <c r="G354" s="1">
        <v>893992750</v>
      </c>
      <c r="H354" s="1">
        <v>58</v>
      </c>
      <c r="I354" s="1">
        <v>3.6</v>
      </c>
      <c r="J354" s="1">
        <v>94</v>
      </c>
      <c r="K354" s="1">
        <v>58</v>
      </c>
      <c r="L354" s="1" t="s">
        <v>18</v>
      </c>
    </row>
    <row r="355" spans="1:12" x14ac:dyDescent="0.25">
      <c r="A355" s="1" t="s">
        <v>19</v>
      </c>
      <c r="B355" s="1" t="s">
        <v>20</v>
      </c>
      <c r="C355" s="1">
        <v>2022</v>
      </c>
      <c r="D355" s="1">
        <v>46344</v>
      </c>
      <c r="E355" s="1">
        <v>10.7</v>
      </c>
      <c r="F355" s="1">
        <v>65</v>
      </c>
      <c r="G355" s="1">
        <v>701763525</v>
      </c>
      <c r="H355" s="1">
        <v>86</v>
      </c>
      <c r="I355" s="1">
        <v>12.6</v>
      </c>
      <c r="J355" s="1">
        <v>90</v>
      </c>
      <c r="K355" s="1">
        <v>35</v>
      </c>
      <c r="L355" s="1" t="s">
        <v>20</v>
      </c>
    </row>
    <row r="356" spans="1:12" x14ac:dyDescent="0.25">
      <c r="A356" s="1" t="s">
        <v>21</v>
      </c>
      <c r="B356" s="1" t="s">
        <v>22</v>
      </c>
      <c r="C356" s="1">
        <v>2022</v>
      </c>
      <c r="D356" s="1">
        <v>25337</v>
      </c>
      <c r="E356" s="1">
        <v>4.9000000000000004</v>
      </c>
      <c r="F356" s="1">
        <v>76</v>
      </c>
      <c r="G356" s="1">
        <v>856009677</v>
      </c>
      <c r="H356" s="1">
        <v>84</v>
      </c>
      <c r="I356" s="1">
        <v>12</v>
      </c>
      <c r="J356" s="1">
        <v>77</v>
      </c>
      <c r="K356" s="1">
        <v>33</v>
      </c>
      <c r="L356" s="1" t="s">
        <v>14</v>
      </c>
    </row>
    <row r="357" spans="1:12" x14ac:dyDescent="0.25">
      <c r="A357" s="1" t="s">
        <v>23</v>
      </c>
      <c r="B357" s="1" t="s">
        <v>18</v>
      </c>
      <c r="C357" s="1">
        <v>2021</v>
      </c>
      <c r="D357" s="1">
        <v>60407</v>
      </c>
      <c r="E357" s="1">
        <v>10</v>
      </c>
      <c r="F357" s="1">
        <v>81</v>
      </c>
      <c r="G357" s="1">
        <v>83865122</v>
      </c>
      <c r="H357" s="1">
        <v>60</v>
      </c>
      <c r="I357" s="1">
        <v>10.6</v>
      </c>
      <c r="J357" s="1">
        <v>100</v>
      </c>
      <c r="K357" s="1">
        <v>81</v>
      </c>
      <c r="L357" s="1" t="s">
        <v>18</v>
      </c>
    </row>
    <row r="358" spans="1:12" x14ac:dyDescent="0.25">
      <c r="A358" s="1" t="s">
        <v>24</v>
      </c>
      <c r="B358" s="1" t="s">
        <v>16</v>
      </c>
      <c r="C358" s="1">
        <v>2022</v>
      </c>
      <c r="D358" s="1">
        <v>34173</v>
      </c>
      <c r="E358" s="1">
        <v>14.1</v>
      </c>
      <c r="F358" s="1">
        <v>68</v>
      </c>
      <c r="G358" s="1">
        <v>661590179</v>
      </c>
      <c r="H358" s="1">
        <v>60</v>
      </c>
      <c r="I358" s="1">
        <v>21.6</v>
      </c>
      <c r="J358" s="1">
        <v>100</v>
      </c>
      <c r="K358" s="1">
        <v>75</v>
      </c>
      <c r="L358" s="1" t="s">
        <v>16</v>
      </c>
    </row>
    <row r="359" spans="1:12" x14ac:dyDescent="0.25">
      <c r="A359" s="1" t="s">
        <v>25</v>
      </c>
      <c r="B359" s="1" t="s">
        <v>26</v>
      </c>
      <c r="C359" s="1">
        <v>2020</v>
      </c>
      <c r="D359" s="1">
        <v>9212</v>
      </c>
      <c r="E359" s="1">
        <v>8.1999999999999993</v>
      </c>
      <c r="F359" s="1">
        <v>81</v>
      </c>
      <c r="G359" s="1">
        <v>1116574399</v>
      </c>
      <c r="H359" s="1">
        <v>83</v>
      </c>
      <c r="I359" s="1">
        <v>2.4</v>
      </c>
      <c r="J359" s="1">
        <v>95</v>
      </c>
      <c r="K359" s="1">
        <v>31</v>
      </c>
      <c r="L359" s="1" t="s">
        <v>26</v>
      </c>
    </row>
    <row r="360" spans="1:12" x14ac:dyDescent="0.25">
      <c r="A360" s="1" t="s">
        <v>27</v>
      </c>
      <c r="B360" s="1" t="s">
        <v>22</v>
      </c>
      <c r="C360" s="1">
        <v>2022</v>
      </c>
      <c r="D360" s="1">
        <v>62364</v>
      </c>
      <c r="E360" s="1">
        <v>13.8</v>
      </c>
      <c r="F360" s="1">
        <v>85</v>
      </c>
      <c r="G360" s="1">
        <v>94654996</v>
      </c>
      <c r="H360" s="1">
        <v>67</v>
      </c>
      <c r="I360" s="1">
        <v>12.7</v>
      </c>
      <c r="J360" s="1">
        <v>76</v>
      </c>
      <c r="K360" s="1">
        <v>63</v>
      </c>
      <c r="L360" s="1" t="s">
        <v>14</v>
      </c>
    </row>
    <row r="361" spans="1:12" x14ac:dyDescent="0.25">
      <c r="A361" s="1" t="s">
        <v>28</v>
      </c>
      <c r="B361" s="1" t="s">
        <v>29</v>
      </c>
      <c r="C361" s="1">
        <v>2022</v>
      </c>
      <c r="D361" s="1">
        <v>22421</v>
      </c>
      <c r="E361" s="1">
        <v>9.6</v>
      </c>
      <c r="F361" s="1">
        <v>71</v>
      </c>
      <c r="G361" s="1">
        <v>1003413259</v>
      </c>
      <c r="H361" s="1">
        <v>75</v>
      </c>
      <c r="I361" s="1">
        <v>15.9</v>
      </c>
      <c r="J361" s="1">
        <v>97</v>
      </c>
      <c r="K361" s="1">
        <v>53</v>
      </c>
      <c r="L361" s="1" t="s">
        <v>29</v>
      </c>
    </row>
    <row r="362" spans="1:12" x14ac:dyDescent="0.25">
      <c r="A362" s="1" t="s">
        <v>12</v>
      </c>
      <c r="B362" s="1" t="s">
        <v>13</v>
      </c>
      <c r="C362" s="1">
        <v>2022</v>
      </c>
      <c r="D362" s="1">
        <v>5352</v>
      </c>
      <c r="E362" s="1">
        <v>14.2</v>
      </c>
      <c r="F362" s="1">
        <v>67</v>
      </c>
      <c r="G362" s="1">
        <v>414625913</v>
      </c>
      <c r="H362" s="1">
        <v>61</v>
      </c>
      <c r="I362" s="1">
        <v>10.5</v>
      </c>
      <c r="J362" s="1">
        <v>82</v>
      </c>
      <c r="K362" s="1">
        <v>33</v>
      </c>
      <c r="L362" s="1" t="s">
        <v>14</v>
      </c>
    </row>
    <row r="363" spans="1:12" x14ac:dyDescent="0.25">
      <c r="A363" s="1" t="s">
        <v>15</v>
      </c>
      <c r="B363" s="1" t="s">
        <v>16</v>
      </c>
      <c r="C363" s="1">
        <v>2020</v>
      </c>
      <c r="D363" s="1">
        <v>23422</v>
      </c>
      <c r="E363" s="1">
        <v>10.8</v>
      </c>
      <c r="F363" s="1">
        <v>75</v>
      </c>
      <c r="G363" s="1">
        <v>278348910</v>
      </c>
      <c r="H363" s="1">
        <v>86</v>
      </c>
      <c r="I363" s="1">
        <v>23.4</v>
      </c>
      <c r="J363" s="1">
        <v>82</v>
      </c>
      <c r="K363" s="1">
        <v>40</v>
      </c>
      <c r="L363" s="1" t="s">
        <v>16</v>
      </c>
    </row>
    <row r="364" spans="1:12" x14ac:dyDescent="0.25">
      <c r="A364" s="1" t="s">
        <v>17</v>
      </c>
      <c r="B364" s="1" t="s">
        <v>18</v>
      </c>
      <c r="C364" s="1">
        <v>2022</v>
      </c>
      <c r="D364" s="1">
        <v>55688</v>
      </c>
      <c r="E364" s="1">
        <v>15.6</v>
      </c>
      <c r="F364" s="1">
        <v>65</v>
      </c>
      <c r="G364" s="1">
        <v>1183515905</v>
      </c>
      <c r="H364" s="1">
        <v>69</v>
      </c>
      <c r="I364" s="1">
        <v>8.6999999999999993</v>
      </c>
      <c r="J364" s="1">
        <v>96</v>
      </c>
      <c r="K364" s="1">
        <v>79</v>
      </c>
      <c r="L364" s="1" t="s">
        <v>18</v>
      </c>
    </row>
    <row r="365" spans="1:12" x14ac:dyDescent="0.25">
      <c r="A365" s="1" t="s">
        <v>19</v>
      </c>
      <c r="B365" s="1" t="s">
        <v>20</v>
      </c>
      <c r="C365" s="1">
        <v>2021</v>
      </c>
      <c r="D365" s="1">
        <v>52617</v>
      </c>
      <c r="E365" s="1">
        <v>7.3</v>
      </c>
      <c r="F365" s="1">
        <v>68</v>
      </c>
      <c r="G365" s="1">
        <v>360684735</v>
      </c>
      <c r="H365" s="1">
        <v>60</v>
      </c>
      <c r="I365" s="1">
        <v>16.2</v>
      </c>
      <c r="J365" s="1">
        <v>90</v>
      </c>
      <c r="K365" s="1">
        <v>71</v>
      </c>
      <c r="L365" s="1" t="s">
        <v>20</v>
      </c>
    </row>
    <row r="366" spans="1:12" x14ac:dyDescent="0.25">
      <c r="A366" s="1" t="s">
        <v>21</v>
      </c>
      <c r="B366" s="1" t="s">
        <v>22</v>
      </c>
      <c r="C366" s="1">
        <v>2022</v>
      </c>
      <c r="D366" s="1">
        <v>18268</v>
      </c>
      <c r="E366" s="1">
        <v>16.100000000000001</v>
      </c>
      <c r="F366" s="1">
        <v>60</v>
      </c>
      <c r="G366" s="1">
        <v>488893672</v>
      </c>
      <c r="H366" s="1">
        <v>75</v>
      </c>
      <c r="I366" s="1">
        <v>24</v>
      </c>
      <c r="J366" s="1">
        <v>79</v>
      </c>
      <c r="K366" s="1">
        <v>59</v>
      </c>
      <c r="L366" s="1" t="s">
        <v>14</v>
      </c>
    </row>
    <row r="367" spans="1:12" x14ac:dyDescent="0.25">
      <c r="A367" s="1" t="s">
        <v>23</v>
      </c>
      <c r="B367" s="1" t="s">
        <v>18</v>
      </c>
      <c r="C367" s="1">
        <v>2022</v>
      </c>
      <c r="D367" s="1">
        <v>58179</v>
      </c>
      <c r="E367" s="1">
        <v>10.7</v>
      </c>
      <c r="F367" s="1">
        <v>60</v>
      </c>
      <c r="G367" s="1">
        <v>58407393</v>
      </c>
      <c r="H367" s="1">
        <v>78</v>
      </c>
      <c r="I367" s="1">
        <v>14.7</v>
      </c>
      <c r="J367" s="1">
        <v>100</v>
      </c>
      <c r="K367" s="1">
        <v>67</v>
      </c>
      <c r="L367" s="1" t="s">
        <v>18</v>
      </c>
    </row>
    <row r="368" spans="1:12" x14ac:dyDescent="0.25">
      <c r="A368" s="1" t="s">
        <v>24</v>
      </c>
      <c r="B368" s="1" t="s">
        <v>16</v>
      </c>
      <c r="C368" s="1">
        <v>2020</v>
      </c>
      <c r="D368" s="1">
        <v>67212</v>
      </c>
      <c r="E368" s="1">
        <v>10.4</v>
      </c>
      <c r="F368" s="1">
        <v>81</v>
      </c>
      <c r="G368" s="1">
        <v>443057589</v>
      </c>
      <c r="H368" s="1">
        <v>52</v>
      </c>
      <c r="I368" s="1">
        <v>19.899999999999999</v>
      </c>
      <c r="J368" s="1">
        <v>78</v>
      </c>
      <c r="K368" s="1">
        <v>85</v>
      </c>
      <c r="L368" s="1" t="s">
        <v>16</v>
      </c>
    </row>
    <row r="369" spans="1:12" x14ac:dyDescent="0.25">
      <c r="A369" s="1" t="s">
        <v>25</v>
      </c>
      <c r="B369" s="1" t="s">
        <v>26</v>
      </c>
      <c r="C369" s="1">
        <v>2020</v>
      </c>
      <c r="D369" s="1">
        <v>28417</v>
      </c>
      <c r="E369" s="1">
        <v>13.3</v>
      </c>
      <c r="F369" s="1">
        <v>81</v>
      </c>
      <c r="G369" s="1">
        <v>207120040</v>
      </c>
      <c r="H369" s="1">
        <v>83</v>
      </c>
      <c r="I369" s="1">
        <v>15.7</v>
      </c>
      <c r="J369" s="1">
        <v>87</v>
      </c>
      <c r="K369" s="1">
        <v>83</v>
      </c>
      <c r="L369" s="1" t="s">
        <v>26</v>
      </c>
    </row>
    <row r="370" spans="1:12" x14ac:dyDescent="0.25">
      <c r="A370" s="1" t="s">
        <v>27</v>
      </c>
      <c r="B370" s="1" t="s">
        <v>22</v>
      </c>
      <c r="C370" s="1">
        <v>2022</v>
      </c>
      <c r="D370" s="1">
        <v>61755</v>
      </c>
      <c r="E370" s="1">
        <v>6.9</v>
      </c>
      <c r="F370" s="1">
        <v>60</v>
      </c>
      <c r="G370" s="1">
        <v>736063375</v>
      </c>
      <c r="H370" s="1">
        <v>91</v>
      </c>
      <c r="I370" s="1">
        <v>2.6</v>
      </c>
      <c r="J370" s="1">
        <v>81</v>
      </c>
      <c r="K370" s="1">
        <v>71</v>
      </c>
      <c r="L370" s="1" t="s">
        <v>14</v>
      </c>
    </row>
    <row r="371" spans="1:12" x14ac:dyDescent="0.25">
      <c r="A371" s="1" t="s">
        <v>28</v>
      </c>
      <c r="B371" s="1" t="s">
        <v>29</v>
      </c>
      <c r="C371" s="1">
        <v>2020</v>
      </c>
      <c r="D371" s="1">
        <v>52971</v>
      </c>
      <c r="E371" s="1">
        <v>5.0999999999999996</v>
      </c>
      <c r="F371" s="1">
        <v>73</v>
      </c>
      <c r="G371" s="1">
        <v>1361638540</v>
      </c>
      <c r="H371" s="1">
        <v>55</v>
      </c>
      <c r="I371" s="1">
        <v>17.7</v>
      </c>
      <c r="J371" s="1">
        <v>83</v>
      </c>
      <c r="K371" s="1">
        <v>60</v>
      </c>
      <c r="L371" s="1" t="s">
        <v>29</v>
      </c>
    </row>
    <row r="372" spans="1:12" x14ac:dyDescent="0.25">
      <c r="A372" s="1" t="s">
        <v>12</v>
      </c>
      <c r="B372" s="1" t="s">
        <v>13</v>
      </c>
      <c r="C372" s="1">
        <v>2022</v>
      </c>
      <c r="D372" s="1">
        <v>65719</v>
      </c>
      <c r="E372" s="1">
        <v>15.9</v>
      </c>
      <c r="F372" s="1">
        <v>80</v>
      </c>
      <c r="G372" s="1">
        <v>998891419</v>
      </c>
      <c r="H372" s="1">
        <v>51</v>
      </c>
      <c r="I372" s="1">
        <v>20.2</v>
      </c>
      <c r="J372" s="1">
        <v>91</v>
      </c>
      <c r="K372" s="1">
        <v>32</v>
      </c>
      <c r="L372" s="1" t="s">
        <v>14</v>
      </c>
    </row>
    <row r="373" spans="1:12" x14ac:dyDescent="0.25">
      <c r="A373" s="1" t="s">
        <v>15</v>
      </c>
      <c r="B373" s="1" t="s">
        <v>16</v>
      </c>
      <c r="C373" s="1">
        <v>2022</v>
      </c>
      <c r="D373" s="1">
        <v>23935</v>
      </c>
      <c r="E373" s="1">
        <v>10.5</v>
      </c>
      <c r="F373" s="1">
        <v>75</v>
      </c>
      <c r="G373" s="1">
        <v>461110423</v>
      </c>
      <c r="H373" s="1">
        <v>57</v>
      </c>
      <c r="I373" s="1">
        <v>9.6</v>
      </c>
      <c r="J373" s="1">
        <v>98</v>
      </c>
      <c r="K373" s="1">
        <v>39</v>
      </c>
      <c r="L373" s="1" t="s">
        <v>16</v>
      </c>
    </row>
    <row r="374" spans="1:12" x14ac:dyDescent="0.25">
      <c r="A374" s="1" t="s">
        <v>17</v>
      </c>
      <c r="B374" s="1" t="s">
        <v>18</v>
      </c>
      <c r="C374" s="1">
        <v>2022</v>
      </c>
      <c r="D374" s="1">
        <v>27508</v>
      </c>
      <c r="E374" s="1">
        <v>4.5999999999999996</v>
      </c>
      <c r="F374" s="1">
        <v>72</v>
      </c>
      <c r="G374" s="1">
        <v>725536174</v>
      </c>
      <c r="H374" s="1">
        <v>81</v>
      </c>
      <c r="I374" s="1">
        <v>3.5</v>
      </c>
      <c r="J374" s="1">
        <v>73</v>
      </c>
      <c r="K374" s="1">
        <v>65</v>
      </c>
      <c r="L374" s="1" t="s">
        <v>18</v>
      </c>
    </row>
    <row r="375" spans="1:12" x14ac:dyDescent="0.25">
      <c r="A375" s="1" t="s">
        <v>19</v>
      </c>
      <c r="B375" s="1" t="s">
        <v>20</v>
      </c>
      <c r="C375" s="1">
        <v>2021</v>
      </c>
      <c r="D375" s="1">
        <v>67905</v>
      </c>
      <c r="E375" s="1">
        <v>9.6</v>
      </c>
      <c r="F375" s="1">
        <v>78</v>
      </c>
      <c r="G375" s="1">
        <v>967550619</v>
      </c>
      <c r="H375" s="1">
        <v>88</v>
      </c>
      <c r="I375" s="1">
        <v>12.8</v>
      </c>
      <c r="J375" s="1">
        <v>93</v>
      </c>
      <c r="K375" s="1">
        <v>44</v>
      </c>
      <c r="L375" s="1" t="s">
        <v>20</v>
      </c>
    </row>
    <row r="376" spans="1:12" x14ac:dyDescent="0.25">
      <c r="A376" s="1" t="s">
        <v>21</v>
      </c>
      <c r="B376" s="1" t="s">
        <v>22</v>
      </c>
      <c r="C376" s="1">
        <v>2020</v>
      </c>
      <c r="D376" s="1">
        <v>13503</v>
      </c>
      <c r="E376" s="1">
        <v>4.7</v>
      </c>
      <c r="F376" s="1">
        <v>81</v>
      </c>
      <c r="G376" s="1">
        <v>236743613</v>
      </c>
      <c r="H376" s="1">
        <v>81</v>
      </c>
      <c r="I376" s="1">
        <v>20.2</v>
      </c>
      <c r="J376" s="1">
        <v>71</v>
      </c>
      <c r="K376" s="1">
        <v>71</v>
      </c>
      <c r="L376" s="1" t="s">
        <v>14</v>
      </c>
    </row>
    <row r="377" spans="1:12" x14ac:dyDescent="0.25">
      <c r="A377" s="1" t="s">
        <v>23</v>
      </c>
      <c r="B377" s="1" t="s">
        <v>18</v>
      </c>
      <c r="C377" s="1">
        <v>2020</v>
      </c>
      <c r="D377" s="1">
        <v>3780</v>
      </c>
      <c r="E377" s="1">
        <v>3</v>
      </c>
      <c r="F377" s="1">
        <v>78</v>
      </c>
      <c r="G377" s="1">
        <v>212496804</v>
      </c>
      <c r="H377" s="1">
        <v>75</v>
      </c>
      <c r="I377" s="1">
        <v>13.1</v>
      </c>
      <c r="J377" s="1">
        <v>77</v>
      </c>
      <c r="K377" s="1">
        <v>48</v>
      </c>
      <c r="L377" s="1" t="s">
        <v>18</v>
      </c>
    </row>
    <row r="378" spans="1:12" x14ac:dyDescent="0.25">
      <c r="A378" s="1" t="s">
        <v>24</v>
      </c>
      <c r="B378" s="1" t="s">
        <v>16</v>
      </c>
      <c r="C378" s="1">
        <v>2020</v>
      </c>
      <c r="D378" s="1">
        <v>6049</v>
      </c>
      <c r="E378" s="1">
        <v>14.3</v>
      </c>
      <c r="F378" s="1">
        <v>74</v>
      </c>
      <c r="G378" s="1">
        <v>61857679</v>
      </c>
      <c r="H378" s="1">
        <v>85</v>
      </c>
      <c r="I378" s="1">
        <v>23.1</v>
      </c>
      <c r="J378" s="1">
        <v>97</v>
      </c>
      <c r="K378" s="1">
        <v>37</v>
      </c>
      <c r="L378" s="1" t="s">
        <v>16</v>
      </c>
    </row>
    <row r="379" spans="1:12" x14ac:dyDescent="0.25">
      <c r="A379" s="1" t="s">
        <v>25</v>
      </c>
      <c r="B379" s="1" t="s">
        <v>26</v>
      </c>
      <c r="C379" s="1">
        <v>2022</v>
      </c>
      <c r="D379" s="1">
        <v>8851</v>
      </c>
      <c r="E379" s="1">
        <v>12</v>
      </c>
      <c r="F379" s="1">
        <v>78</v>
      </c>
      <c r="G379" s="1">
        <v>946720689</v>
      </c>
      <c r="H379" s="1">
        <v>92</v>
      </c>
      <c r="I379" s="1">
        <v>10.5</v>
      </c>
      <c r="J379" s="1">
        <v>91</v>
      </c>
      <c r="K379" s="1">
        <v>43</v>
      </c>
      <c r="L379" s="1" t="s">
        <v>26</v>
      </c>
    </row>
    <row r="380" spans="1:12" x14ac:dyDescent="0.25">
      <c r="A380" s="1" t="s">
        <v>27</v>
      </c>
      <c r="B380" s="1" t="s">
        <v>22</v>
      </c>
      <c r="C380" s="1">
        <v>2020</v>
      </c>
      <c r="D380" s="1">
        <v>14242</v>
      </c>
      <c r="E380" s="1">
        <v>5</v>
      </c>
      <c r="F380" s="1">
        <v>84</v>
      </c>
      <c r="G380" s="1">
        <v>1205376478</v>
      </c>
      <c r="H380" s="1">
        <v>81</v>
      </c>
      <c r="I380" s="1">
        <v>7.1</v>
      </c>
      <c r="J380" s="1">
        <v>87</v>
      </c>
      <c r="K380" s="1">
        <v>84</v>
      </c>
      <c r="L380" s="1" t="s">
        <v>14</v>
      </c>
    </row>
    <row r="381" spans="1:12" x14ac:dyDescent="0.25">
      <c r="A381" s="1" t="s">
        <v>28</v>
      </c>
      <c r="B381" s="1" t="s">
        <v>29</v>
      </c>
      <c r="C381" s="1">
        <v>2020</v>
      </c>
      <c r="D381" s="1">
        <v>19980</v>
      </c>
      <c r="E381" s="1">
        <v>3.4</v>
      </c>
      <c r="F381" s="1">
        <v>67</v>
      </c>
      <c r="G381" s="1">
        <v>392211162</v>
      </c>
      <c r="H381" s="1">
        <v>53</v>
      </c>
      <c r="I381" s="1">
        <v>17.5</v>
      </c>
      <c r="J381" s="1">
        <v>73</v>
      </c>
      <c r="K381" s="1">
        <v>88</v>
      </c>
      <c r="L381" s="1" t="s">
        <v>29</v>
      </c>
    </row>
    <row r="382" spans="1:12" x14ac:dyDescent="0.25">
      <c r="A382" s="1" t="s">
        <v>12</v>
      </c>
      <c r="B382" s="1" t="s">
        <v>13</v>
      </c>
      <c r="C382" s="1">
        <v>2020</v>
      </c>
      <c r="D382" s="1">
        <v>68223</v>
      </c>
      <c r="E382" s="1">
        <v>3.2</v>
      </c>
      <c r="F382" s="1">
        <v>72</v>
      </c>
      <c r="G382" s="1">
        <v>189284618</v>
      </c>
      <c r="H382" s="1">
        <v>58</v>
      </c>
      <c r="I382" s="1">
        <v>3.1</v>
      </c>
      <c r="J382" s="1">
        <v>82</v>
      </c>
      <c r="K382" s="1">
        <v>40</v>
      </c>
      <c r="L382" s="1" t="s">
        <v>14</v>
      </c>
    </row>
    <row r="383" spans="1:12" x14ac:dyDescent="0.25">
      <c r="A383" s="1" t="s">
        <v>15</v>
      </c>
      <c r="B383" s="1" t="s">
        <v>16</v>
      </c>
      <c r="C383" s="1">
        <v>2022</v>
      </c>
      <c r="D383" s="1">
        <v>65750</v>
      </c>
      <c r="E383" s="1">
        <v>13.4</v>
      </c>
      <c r="F383" s="1">
        <v>72</v>
      </c>
      <c r="G383" s="1">
        <v>705030364</v>
      </c>
      <c r="H383" s="1">
        <v>71</v>
      </c>
      <c r="I383" s="1">
        <v>9</v>
      </c>
      <c r="J383" s="1">
        <v>89</v>
      </c>
      <c r="K383" s="1">
        <v>46</v>
      </c>
      <c r="L383" s="1" t="s">
        <v>16</v>
      </c>
    </row>
    <row r="384" spans="1:12" x14ac:dyDescent="0.25">
      <c r="A384" s="1" t="s">
        <v>17</v>
      </c>
      <c r="B384" s="1" t="s">
        <v>18</v>
      </c>
      <c r="C384" s="1">
        <v>2020</v>
      </c>
      <c r="D384" s="1">
        <v>27111</v>
      </c>
      <c r="E384" s="1">
        <v>14.4</v>
      </c>
      <c r="F384" s="1">
        <v>82</v>
      </c>
      <c r="G384" s="1">
        <v>1059301565</v>
      </c>
      <c r="H384" s="1">
        <v>53</v>
      </c>
      <c r="I384" s="1">
        <v>5.0999999999999996</v>
      </c>
      <c r="J384" s="1">
        <v>97</v>
      </c>
      <c r="K384" s="1">
        <v>53</v>
      </c>
      <c r="L384" s="1" t="s">
        <v>18</v>
      </c>
    </row>
    <row r="385" spans="1:12" x14ac:dyDescent="0.25">
      <c r="A385" s="1" t="s">
        <v>19</v>
      </c>
      <c r="B385" s="1" t="s">
        <v>20</v>
      </c>
      <c r="C385" s="1">
        <v>2022</v>
      </c>
      <c r="D385" s="1">
        <v>8980</v>
      </c>
      <c r="E385" s="1">
        <v>13.3</v>
      </c>
      <c r="F385" s="1">
        <v>84</v>
      </c>
      <c r="G385" s="1">
        <v>324191940</v>
      </c>
      <c r="H385" s="1">
        <v>82</v>
      </c>
      <c r="I385" s="1">
        <v>11.5</v>
      </c>
      <c r="J385" s="1">
        <v>75</v>
      </c>
      <c r="K385" s="1">
        <v>83</v>
      </c>
      <c r="L385" s="1" t="s">
        <v>20</v>
      </c>
    </row>
    <row r="386" spans="1:12" x14ac:dyDescent="0.25">
      <c r="A386" s="1" t="s">
        <v>21</v>
      </c>
      <c r="B386" s="1" t="s">
        <v>22</v>
      </c>
      <c r="C386" s="1">
        <v>2020</v>
      </c>
      <c r="D386" s="1">
        <v>46639</v>
      </c>
      <c r="E386" s="1">
        <v>8.9</v>
      </c>
      <c r="F386" s="1">
        <v>84</v>
      </c>
      <c r="G386" s="1">
        <v>1499869837</v>
      </c>
      <c r="H386" s="1">
        <v>69</v>
      </c>
      <c r="I386" s="1">
        <v>21.1</v>
      </c>
      <c r="J386" s="1">
        <v>84</v>
      </c>
      <c r="K386" s="1">
        <v>47</v>
      </c>
      <c r="L386" s="1" t="s">
        <v>14</v>
      </c>
    </row>
    <row r="387" spans="1:12" x14ac:dyDescent="0.25">
      <c r="A387" s="1" t="s">
        <v>23</v>
      </c>
      <c r="B387" s="1" t="s">
        <v>18</v>
      </c>
      <c r="C387" s="1">
        <v>2021</v>
      </c>
      <c r="D387" s="1">
        <v>23918</v>
      </c>
      <c r="E387" s="1">
        <v>10</v>
      </c>
      <c r="F387" s="1">
        <v>74</v>
      </c>
      <c r="G387" s="1">
        <v>844049896</v>
      </c>
      <c r="H387" s="1">
        <v>76</v>
      </c>
      <c r="I387" s="1">
        <v>15.5</v>
      </c>
      <c r="J387" s="1">
        <v>93</v>
      </c>
      <c r="K387" s="1">
        <v>49</v>
      </c>
      <c r="L387" s="1" t="s">
        <v>18</v>
      </c>
    </row>
    <row r="388" spans="1:12" x14ac:dyDescent="0.25">
      <c r="A388" s="1" t="s">
        <v>24</v>
      </c>
      <c r="B388" s="1" t="s">
        <v>16</v>
      </c>
      <c r="C388" s="1">
        <v>2022</v>
      </c>
      <c r="D388" s="1">
        <v>59228</v>
      </c>
      <c r="E388" s="1">
        <v>8.8000000000000007</v>
      </c>
      <c r="F388" s="1">
        <v>66</v>
      </c>
      <c r="G388" s="1">
        <v>96035002</v>
      </c>
      <c r="H388" s="1">
        <v>76</v>
      </c>
      <c r="I388" s="1">
        <v>21.8</v>
      </c>
      <c r="J388" s="1">
        <v>89</v>
      </c>
      <c r="K388" s="1">
        <v>74</v>
      </c>
      <c r="L388" s="1" t="s">
        <v>16</v>
      </c>
    </row>
    <row r="389" spans="1:12" x14ac:dyDescent="0.25">
      <c r="A389" s="1" t="s">
        <v>25</v>
      </c>
      <c r="B389" s="1" t="s">
        <v>26</v>
      </c>
      <c r="C389" s="1">
        <v>2022</v>
      </c>
      <c r="D389" s="1">
        <v>28349</v>
      </c>
      <c r="E389" s="1">
        <v>7</v>
      </c>
      <c r="F389" s="1">
        <v>61</v>
      </c>
      <c r="G389" s="1">
        <v>421151082</v>
      </c>
      <c r="H389" s="1">
        <v>93</v>
      </c>
      <c r="I389" s="1">
        <v>19</v>
      </c>
      <c r="J389" s="1">
        <v>74</v>
      </c>
      <c r="K389" s="1">
        <v>47</v>
      </c>
      <c r="L389" s="1" t="s">
        <v>26</v>
      </c>
    </row>
    <row r="390" spans="1:12" x14ac:dyDescent="0.25">
      <c r="A390" s="1" t="s">
        <v>27</v>
      </c>
      <c r="B390" s="1" t="s">
        <v>22</v>
      </c>
      <c r="C390" s="1">
        <v>2022</v>
      </c>
      <c r="D390" s="1">
        <v>34011</v>
      </c>
      <c r="E390" s="1">
        <v>7.9</v>
      </c>
      <c r="F390" s="1">
        <v>63</v>
      </c>
      <c r="G390" s="1">
        <v>454896118</v>
      </c>
      <c r="H390" s="1">
        <v>59</v>
      </c>
      <c r="I390" s="1">
        <v>23.1</v>
      </c>
      <c r="J390" s="1">
        <v>79</v>
      </c>
      <c r="K390" s="1">
        <v>31</v>
      </c>
      <c r="L390" s="1" t="s">
        <v>14</v>
      </c>
    </row>
    <row r="391" spans="1:12" x14ac:dyDescent="0.25">
      <c r="A391" s="1" t="s">
        <v>28</v>
      </c>
      <c r="B391" s="1" t="s">
        <v>29</v>
      </c>
      <c r="C391" s="1">
        <v>2020</v>
      </c>
      <c r="D391" s="1">
        <v>19879</v>
      </c>
      <c r="E391" s="1">
        <v>10.5</v>
      </c>
      <c r="F391" s="1">
        <v>66</v>
      </c>
      <c r="G391" s="1">
        <v>876409362</v>
      </c>
      <c r="H391" s="1">
        <v>90</v>
      </c>
      <c r="I391" s="1">
        <v>23.3</v>
      </c>
      <c r="J391" s="1">
        <v>79</v>
      </c>
      <c r="K391" s="1">
        <v>70</v>
      </c>
      <c r="L391" s="1" t="s">
        <v>29</v>
      </c>
    </row>
    <row r="392" spans="1:12" x14ac:dyDescent="0.25">
      <c r="A392" s="1" t="s">
        <v>12</v>
      </c>
      <c r="B392" s="1" t="s">
        <v>13</v>
      </c>
      <c r="C392" s="1">
        <v>2020</v>
      </c>
      <c r="D392" s="1">
        <v>40859</v>
      </c>
      <c r="E392" s="1">
        <v>4.9000000000000004</v>
      </c>
      <c r="F392" s="1">
        <v>70</v>
      </c>
      <c r="G392" s="1">
        <v>1265409244</v>
      </c>
      <c r="H392" s="1">
        <v>69</v>
      </c>
      <c r="I392" s="1">
        <v>14.4</v>
      </c>
      <c r="J392" s="1">
        <v>86</v>
      </c>
      <c r="K392" s="1">
        <v>33</v>
      </c>
      <c r="L392" s="1" t="s">
        <v>14</v>
      </c>
    </row>
    <row r="393" spans="1:12" x14ac:dyDescent="0.25">
      <c r="A393" s="1" t="s">
        <v>15</v>
      </c>
      <c r="B393" s="1" t="s">
        <v>16</v>
      </c>
      <c r="C393" s="1">
        <v>2021</v>
      </c>
      <c r="D393" s="1">
        <v>3658</v>
      </c>
      <c r="E393" s="1">
        <v>16.2</v>
      </c>
      <c r="F393" s="1">
        <v>85</v>
      </c>
      <c r="G393" s="1">
        <v>1353066187</v>
      </c>
      <c r="H393" s="1">
        <v>80</v>
      </c>
      <c r="I393" s="1">
        <v>3.6</v>
      </c>
      <c r="J393" s="1">
        <v>84</v>
      </c>
      <c r="K393" s="1">
        <v>70</v>
      </c>
      <c r="L393" s="1" t="s">
        <v>16</v>
      </c>
    </row>
    <row r="394" spans="1:12" x14ac:dyDescent="0.25">
      <c r="A394" s="1" t="s">
        <v>17</v>
      </c>
      <c r="B394" s="1" t="s">
        <v>18</v>
      </c>
      <c r="C394" s="1">
        <v>2021</v>
      </c>
      <c r="D394" s="1">
        <v>28472</v>
      </c>
      <c r="E394" s="1">
        <v>9.1</v>
      </c>
      <c r="F394" s="1">
        <v>80</v>
      </c>
      <c r="G394" s="1">
        <v>1068064073</v>
      </c>
      <c r="H394" s="1">
        <v>59</v>
      </c>
      <c r="I394" s="1">
        <v>12.8</v>
      </c>
      <c r="J394" s="1">
        <v>71</v>
      </c>
      <c r="K394" s="1">
        <v>86</v>
      </c>
      <c r="L394" s="1" t="s">
        <v>18</v>
      </c>
    </row>
    <row r="395" spans="1:12" x14ac:dyDescent="0.25">
      <c r="A395" s="1" t="s">
        <v>19</v>
      </c>
      <c r="B395" s="1" t="s">
        <v>20</v>
      </c>
      <c r="C395" s="1">
        <v>2022</v>
      </c>
      <c r="D395" s="1">
        <v>57516</v>
      </c>
      <c r="E395" s="1">
        <v>13.8</v>
      </c>
      <c r="F395" s="1">
        <v>76</v>
      </c>
      <c r="G395" s="1">
        <v>536204215</v>
      </c>
      <c r="H395" s="1">
        <v>75</v>
      </c>
      <c r="I395" s="1">
        <v>24.3</v>
      </c>
      <c r="J395" s="1">
        <v>75</v>
      </c>
      <c r="K395" s="1">
        <v>47</v>
      </c>
      <c r="L395" s="1" t="s">
        <v>20</v>
      </c>
    </row>
    <row r="396" spans="1:12" x14ac:dyDescent="0.25">
      <c r="A396" s="1" t="s">
        <v>21</v>
      </c>
      <c r="B396" s="1" t="s">
        <v>22</v>
      </c>
      <c r="C396" s="1">
        <v>2020</v>
      </c>
      <c r="D396" s="1">
        <v>2363</v>
      </c>
      <c r="E396" s="1">
        <v>6</v>
      </c>
      <c r="F396" s="1">
        <v>79</v>
      </c>
      <c r="G396" s="1">
        <v>680837925</v>
      </c>
      <c r="H396" s="1">
        <v>65</v>
      </c>
      <c r="I396" s="1">
        <v>21.8</v>
      </c>
      <c r="J396" s="1">
        <v>100</v>
      </c>
      <c r="K396" s="1">
        <v>90</v>
      </c>
      <c r="L396" s="1" t="s">
        <v>14</v>
      </c>
    </row>
    <row r="397" spans="1:12" x14ac:dyDescent="0.25">
      <c r="A397" s="1" t="s">
        <v>23</v>
      </c>
      <c r="B397" s="1" t="s">
        <v>18</v>
      </c>
      <c r="C397" s="1">
        <v>2020</v>
      </c>
      <c r="D397" s="1">
        <v>7995</v>
      </c>
      <c r="E397" s="1">
        <v>15</v>
      </c>
      <c r="F397" s="1">
        <v>76</v>
      </c>
      <c r="G397" s="1">
        <v>45891353</v>
      </c>
      <c r="H397" s="1">
        <v>89</v>
      </c>
      <c r="I397" s="1">
        <v>3.1</v>
      </c>
      <c r="J397" s="1">
        <v>72</v>
      </c>
      <c r="K397" s="1">
        <v>81</v>
      </c>
      <c r="L397" s="1" t="s">
        <v>18</v>
      </c>
    </row>
    <row r="398" spans="1:12" x14ac:dyDescent="0.25">
      <c r="A398" s="1" t="s">
        <v>24</v>
      </c>
      <c r="B398" s="1" t="s">
        <v>16</v>
      </c>
      <c r="C398" s="1">
        <v>2022</v>
      </c>
      <c r="D398" s="1">
        <v>16460</v>
      </c>
      <c r="E398" s="1">
        <v>11.6</v>
      </c>
      <c r="F398" s="1">
        <v>62</v>
      </c>
      <c r="G398" s="1">
        <v>944538253</v>
      </c>
      <c r="H398" s="1">
        <v>63</v>
      </c>
      <c r="I398" s="1">
        <v>10.6</v>
      </c>
      <c r="J398" s="1">
        <v>93</v>
      </c>
      <c r="K398" s="1">
        <v>56</v>
      </c>
      <c r="L398" s="1" t="s">
        <v>16</v>
      </c>
    </row>
    <row r="399" spans="1:12" x14ac:dyDescent="0.25">
      <c r="A399" s="1" t="s">
        <v>25</v>
      </c>
      <c r="B399" s="1" t="s">
        <v>26</v>
      </c>
      <c r="C399" s="1">
        <v>2020</v>
      </c>
      <c r="D399" s="1">
        <v>50989</v>
      </c>
      <c r="E399" s="1">
        <v>7.2</v>
      </c>
      <c r="F399" s="1">
        <v>74</v>
      </c>
      <c r="G399" s="1">
        <v>1444144732</v>
      </c>
      <c r="H399" s="1">
        <v>54</v>
      </c>
      <c r="I399" s="1">
        <v>18.2</v>
      </c>
      <c r="J399" s="1">
        <v>83</v>
      </c>
      <c r="K399" s="1">
        <v>35</v>
      </c>
      <c r="L399" s="1" t="s">
        <v>26</v>
      </c>
    </row>
    <row r="400" spans="1:12" x14ac:dyDescent="0.25">
      <c r="A400" s="1" t="s">
        <v>27</v>
      </c>
      <c r="B400" s="1" t="s">
        <v>22</v>
      </c>
      <c r="C400" s="1">
        <v>2021</v>
      </c>
      <c r="D400" s="1">
        <v>46887</v>
      </c>
      <c r="E400" s="1">
        <v>16.8</v>
      </c>
      <c r="F400" s="1">
        <v>72</v>
      </c>
      <c r="G400" s="1">
        <v>983193431</v>
      </c>
      <c r="H400" s="1">
        <v>58</v>
      </c>
      <c r="I400" s="1">
        <v>6</v>
      </c>
      <c r="J400" s="1">
        <v>79</v>
      </c>
      <c r="K400" s="1">
        <v>44</v>
      </c>
      <c r="L400" s="1" t="s">
        <v>14</v>
      </c>
    </row>
    <row r="401" spans="1:12" x14ac:dyDescent="0.25">
      <c r="A401" s="1" t="s">
        <v>28</v>
      </c>
      <c r="B401" s="1" t="s">
        <v>29</v>
      </c>
      <c r="C401" s="1">
        <v>2021</v>
      </c>
      <c r="D401" s="1">
        <v>42307</v>
      </c>
      <c r="E401" s="1">
        <v>7.7</v>
      </c>
      <c r="F401" s="1">
        <v>71</v>
      </c>
      <c r="G401" s="1">
        <v>2676624</v>
      </c>
      <c r="H401" s="1">
        <v>92</v>
      </c>
      <c r="I401" s="1">
        <v>17.2</v>
      </c>
      <c r="J401" s="1">
        <v>97</v>
      </c>
      <c r="K401" s="1">
        <v>89</v>
      </c>
      <c r="L401" s="1" t="s">
        <v>29</v>
      </c>
    </row>
    <row r="402" spans="1:12" x14ac:dyDescent="0.25">
      <c r="A402" s="1" t="s">
        <v>12</v>
      </c>
      <c r="B402" s="1" t="s">
        <v>13</v>
      </c>
      <c r="C402" s="1">
        <v>2021</v>
      </c>
      <c r="D402" s="1">
        <v>46124</v>
      </c>
      <c r="E402" s="1">
        <v>11.2</v>
      </c>
      <c r="F402" s="1">
        <v>78</v>
      </c>
      <c r="G402" s="1">
        <v>774704291</v>
      </c>
      <c r="H402" s="1">
        <v>51</v>
      </c>
      <c r="I402" s="1">
        <v>11.2</v>
      </c>
      <c r="J402" s="1">
        <v>88</v>
      </c>
      <c r="K402" s="1">
        <v>69</v>
      </c>
      <c r="L402" s="1" t="s">
        <v>14</v>
      </c>
    </row>
    <row r="403" spans="1:12" x14ac:dyDescent="0.25">
      <c r="A403" s="1" t="s">
        <v>15</v>
      </c>
      <c r="B403" s="1" t="s">
        <v>16</v>
      </c>
      <c r="C403" s="1">
        <v>2020</v>
      </c>
      <c r="D403" s="1">
        <v>66404</v>
      </c>
      <c r="E403" s="1">
        <v>13.5</v>
      </c>
      <c r="F403" s="1">
        <v>75</v>
      </c>
      <c r="G403" s="1">
        <v>425886178</v>
      </c>
      <c r="H403" s="1">
        <v>64</v>
      </c>
      <c r="I403" s="1">
        <v>15.6</v>
      </c>
      <c r="J403" s="1">
        <v>79</v>
      </c>
      <c r="K403" s="1">
        <v>74</v>
      </c>
      <c r="L403" s="1" t="s">
        <v>16</v>
      </c>
    </row>
    <row r="404" spans="1:12" x14ac:dyDescent="0.25">
      <c r="A404" s="1" t="s">
        <v>17</v>
      </c>
      <c r="B404" s="1" t="s">
        <v>18</v>
      </c>
      <c r="C404" s="1">
        <v>2020</v>
      </c>
      <c r="D404" s="1">
        <v>67637</v>
      </c>
      <c r="E404" s="1">
        <v>9.8000000000000007</v>
      </c>
      <c r="F404" s="1">
        <v>82</v>
      </c>
      <c r="G404" s="1">
        <v>1122339088</v>
      </c>
      <c r="H404" s="1">
        <v>52</v>
      </c>
      <c r="I404" s="1">
        <v>23.4</v>
      </c>
      <c r="J404" s="1">
        <v>85</v>
      </c>
      <c r="K404" s="1">
        <v>86</v>
      </c>
      <c r="L404" s="1" t="s">
        <v>18</v>
      </c>
    </row>
    <row r="405" spans="1:12" x14ac:dyDescent="0.25">
      <c r="A405" s="1" t="s">
        <v>19</v>
      </c>
      <c r="B405" s="1" t="s">
        <v>20</v>
      </c>
      <c r="C405" s="1">
        <v>2020</v>
      </c>
      <c r="D405" s="1">
        <v>55986</v>
      </c>
      <c r="E405" s="1">
        <v>15</v>
      </c>
      <c r="F405" s="1">
        <v>73</v>
      </c>
      <c r="G405" s="1">
        <v>628325803</v>
      </c>
      <c r="H405" s="1">
        <v>66</v>
      </c>
      <c r="I405" s="1">
        <v>8.1999999999999993</v>
      </c>
      <c r="J405" s="1">
        <v>85</v>
      </c>
      <c r="K405" s="1">
        <v>46</v>
      </c>
      <c r="L405" s="1" t="s">
        <v>20</v>
      </c>
    </row>
    <row r="406" spans="1:12" x14ac:dyDescent="0.25">
      <c r="A406" s="1" t="s">
        <v>21</v>
      </c>
      <c r="B406" s="1" t="s">
        <v>22</v>
      </c>
      <c r="C406" s="1">
        <v>2021</v>
      </c>
      <c r="D406" s="1">
        <v>39651</v>
      </c>
      <c r="E406" s="1">
        <v>3.1</v>
      </c>
      <c r="F406" s="1">
        <v>64</v>
      </c>
      <c r="G406" s="1">
        <v>166171553</v>
      </c>
      <c r="H406" s="1">
        <v>53</v>
      </c>
      <c r="I406" s="1">
        <v>23.5</v>
      </c>
      <c r="J406" s="1">
        <v>74</v>
      </c>
      <c r="K406" s="1">
        <v>37</v>
      </c>
      <c r="L406" s="1" t="s">
        <v>14</v>
      </c>
    </row>
    <row r="407" spans="1:12" x14ac:dyDescent="0.25">
      <c r="A407" s="1" t="s">
        <v>23</v>
      </c>
      <c r="B407" s="1" t="s">
        <v>18</v>
      </c>
      <c r="C407" s="1">
        <v>2021</v>
      </c>
      <c r="D407" s="1">
        <v>2362</v>
      </c>
      <c r="E407" s="1">
        <v>8.8000000000000007</v>
      </c>
      <c r="F407" s="1">
        <v>63</v>
      </c>
      <c r="G407" s="1">
        <v>937189115</v>
      </c>
      <c r="H407" s="1">
        <v>85</v>
      </c>
      <c r="I407" s="1">
        <v>20.100000000000001</v>
      </c>
      <c r="J407" s="1">
        <v>95</v>
      </c>
      <c r="K407" s="1">
        <v>62</v>
      </c>
      <c r="L407" s="1" t="s">
        <v>18</v>
      </c>
    </row>
    <row r="408" spans="1:12" x14ac:dyDescent="0.25">
      <c r="A408" s="1" t="s">
        <v>24</v>
      </c>
      <c r="B408" s="1" t="s">
        <v>16</v>
      </c>
      <c r="C408" s="1">
        <v>2021</v>
      </c>
      <c r="D408" s="1">
        <v>42932</v>
      </c>
      <c r="E408" s="1">
        <v>13.2</v>
      </c>
      <c r="F408" s="1">
        <v>84</v>
      </c>
      <c r="G408" s="1">
        <v>1362571651</v>
      </c>
      <c r="H408" s="1">
        <v>78</v>
      </c>
      <c r="I408" s="1">
        <v>8.4</v>
      </c>
      <c r="J408" s="1">
        <v>76</v>
      </c>
      <c r="K408" s="1">
        <v>69</v>
      </c>
      <c r="L408" s="1" t="s">
        <v>16</v>
      </c>
    </row>
    <row r="409" spans="1:12" x14ac:dyDescent="0.25">
      <c r="A409" s="1" t="s">
        <v>25</v>
      </c>
      <c r="B409" s="1" t="s">
        <v>26</v>
      </c>
      <c r="C409" s="1">
        <v>2021</v>
      </c>
      <c r="D409" s="1">
        <v>16882</v>
      </c>
      <c r="E409" s="1">
        <v>3.3</v>
      </c>
      <c r="F409" s="1">
        <v>66</v>
      </c>
      <c r="G409" s="1">
        <v>11015019</v>
      </c>
      <c r="H409" s="1">
        <v>68</v>
      </c>
      <c r="I409" s="1">
        <v>11</v>
      </c>
      <c r="J409" s="1">
        <v>100</v>
      </c>
      <c r="K409" s="1">
        <v>52</v>
      </c>
      <c r="L409" s="1" t="s">
        <v>26</v>
      </c>
    </row>
    <row r="410" spans="1:12" x14ac:dyDescent="0.25">
      <c r="A410" s="1" t="s">
        <v>27</v>
      </c>
      <c r="B410" s="1" t="s">
        <v>22</v>
      </c>
      <c r="C410" s="1">
        <v>2021</v>
      </c>
      <c r="D410" s="1">
        <v>2094</v>
      </c>
      <c r="E410" s="1">
        <v>13.3</v>
      </c>
      <c r="F410" s="1">
        <v>82</v>
      </c>
      <c r="G410" s="1">
        <v>516523945</v>
      </c>
      <c r="H410" s="1">
        <v>89</v>
      </c>
      <c r="I410" s="1">
        <v>20.8</v>
      </c>
      <c r="J410" s="1">
        <v>81</v>
      </c>
      <c r="K410" s="1">
        <v>74</v>
      </c>
      <c r="L410" s="1" t="s">
        <v>14</v>
      </c>
    </row>
    <row r="411" spans="1:12" x14ac:dyDescent="0.25">
      <c r="A411" s="1" t="s">
        <v>28</v>
      </c>
      <c r="B411" s="1" t="s">
        <v>29</v>
      </c>
      <c r="C411" s="1">
        <v>2021</v>
      </c>
      <c r="D411" s="1">
        <v>22724</v>
      </c>
      <c r="E411" s="1">
        <v>8.1999999999999993</v>
      </c>
      <c r="F411" s="1">
        <v>79</v>
      </c>
      <c r="G411" s="1">
        <v>1382133853</v>
      </c>
      <c r="H411" s="1">
        <v>51</v>
      </c>
      <c r="I411" s="1">
        <v>13.3</v>
      </c>
      <c r="J411" s="1">
        <v>88</v>
      </c>
      <c r="K411" s="1">
        <v>38</v>
      </c>
      <c r="L411" s="1" t="s">
        <v>29</v>
      </c>
    </row>
    <row r="412" spans="1:12" x14ac:dyDescent="0.25">
      <c r="A412" s="1" t="s">
        <v>12</v>
      </c>
      <c r="B412" s="1" t="s">
        <v>13</v>
      </c>
      <c r="C412" s="1">
        <v>2020</v>
      </c>
      <c r="D412" s="1">
        <v>40243</v>
      </c>
      <c r="E412" s="1">
        <v>9</v>
      </c>
      <c r="F412" s="1">
        <v>66</v>
      </c>
      <c r="G412" s="1">
        <v>1434235431</v>
      </c>
      <c r="H412" s="1">
        <v>76</v>
      </c>
      <c r="I412" s="1">
        <v>15.8</v>
      </c>
      <c r="J412" s="1">
        <v>72</v>
      </c>
      <c r="K412" s="1">
        <v>53</v>
      </c>
      <c r="L412" s="1" t="s">
        <v>14</v>
      </c>
    </row>
    <row r="413" spans="1:12" x14ac:dyDescent="0.25">
      <c r="A413" s="1" t="s">
        <v>15</v>
      </c>
      <c r="B413" s="1" t="s">
        <v>16</v>
      </c>
      <c r="C413" s="1">
        <v>2021</v>
      </c>
      <c r="D413" s="1">
        <v>27636</v>
      </c>
      <c r="E413" s="1">
        <v>16.100000000000001</v>
      </c>
      <c r="F413" s="1">
        <v>65</v>
      </c>
      <c r="G413" s="1">
        <v>1405324045</v>
      </c>
      <c r="H413" s="1">
        <v>55</v>
      </c>
      <c r="I413" s="1">
        <v>2.4</v>
      </c>
      <c r="J413" s="1">
        <v>84</v>
      </c>
      <c r="K413" s="1">
        <v>69</v>
      </c>
      <c r="L413" s="1" t="s">
        <v>16</v>
      </c>
    </row>
    <row r="414" spans="1:12" x14ac:dyDescent="0.25">
      <c r="A414" s="1" t="s">
        <v>17</v>
      </c>
      <c r="B414" s="1" t="s">
        <v>18</v>
      </c>
      <c r="C414" s="1">
        <v>2021</v>
      </c>
      <c r="D414" s="1">
        <v>49245</v>
      </c>
      <c r="E414" s="1">
        <v>3.6</v>
      </c>
      <c r="F414" s="1">
        <v>72</v>
      </c>
      <c r="G414" s="1">
        <v>937058998</v>
      </c>
      <c r="H414" s="1">
        <v>72</v>
      </c>
      <c r="I414" s="1">
        <v>9.8000000000000007</v>
      </c>
      <c r="J414" s="1">
        <v>88</v>
      </c>
      <c r="K414" s="1">
        <v>36</v>
      </c>
      <c r="L414" s="1" t="s">
        <v>18</v>
      </c>
    </row>
    <row r="415" spans="1:12" x14ac:dyDescent="0.25">
      <c r="A415" s="1" t="s">
        <v>19</v>
      </c>
      <c r="B415" s="1" t="s">
        <v>20</v>
      </c>
      <c r="C415" s="1">
        <v>2021</v>
      </c>
      <c r="D415" s="1">
        <v>22576</v>
      </c>
      <c r="E415" s="1">
        <v>4.2</v>
      </c>
      <c r="F415" s="1">
        <v>78</v>
      </c>
      <c r="G415" s="1">
        <v>451150046</v>
      </c>
      <c r="H415" s="1">
        <v>56</v>
      </c>
      <c r="I415" s="1">
        <v>23.9</v>
      </c>
      <c r="J415" s="1">
        <v>86</v>
      </c>
      <c r="K415" s="1">
        <v>83</v>
      </c>
      <c r="L415" s="1" t="s">
        <v>20</v>
      </c>
    </row>
    <row r="416" spans="1:12" x14ac:dyDescent="0.25">
      <c r="A416" s="1" t="s">
        <v>21</v>
      </c>
      <c r="B416" s="1" t="s">
        <v>22</v>
      </c>
      <c r="C416" s="1">
        <v>2022</v>
      </c>
      <c r="D416" s="1">
        <v>51451</v>
      </c>
      <c r="E416" s="1">
        <v>16.7</v>
      </c>
      <c r="F416" s="1">
        <v>60</v>
      </c>
      <c r="G416" s="1">
        <v>936673231</v>
      </c>
      <c r="H416" s="1">
        <v>67</v>
      </c>
      <c r="I416" s="1">
        <v>18</v>
      </c>
      <c r="J416" s="1">
        <v>73</v>
      </c>
      <c r="K416" s="1">
        <v>56</v>
      </c>
      <c r="L416" s="1" t="s">
        <v>14</v>
      </c>
    </row>
    <row r="417" spans="1:12" x14ac:dyDescent="0.25">
      <c r="A417" s="1" t="s">
        <v>23</v>
      </c>
      <c r="B417" s="1" t="s">
        <v>18</v>
      </c>
      <c r="C417" s="1">
        <v>2022</v>
      </c>
      <c r="D417" s="1">
        <v>61512</v>
      </c>
      <c r="E417" s="1">
        <v>16.8</v>
      </c>
      <c r="F417" s="1">
        <v>61</v>
      </c>
      <c r="G417" s="1">
        <v>1155578411</v>
      </c>
      <c r="H417" s="1">
        <v>66</v>
      </c>
      <c r="I417" s="1">
        <v>5.7</v>
      </c>
      <c r="J417" s="1">
        <v>72</v>
      </c>
      <c r="K417" s="1">
        <v>41</v>
      </c>
      <c r="L417" s="1" t="s">
        <v>18</v>
      </c>
    </row>
    <row r="418" spans="1:12" x14ac:dyDescent="0.25">
      <c r="A418" s="1" t="s">
        <v>24</v>
      </c>
      <c r="B418" s="1" t="s">
        <v>16</v>
      </c>
      <c r="C418" s="1">
        <v>2020</v>
      </c>
      <c r="D418" s="1">
        <v>31218</v>
      </c>
      <c r="E418" s="1">
        <v>4.0999999999999996</v>
      </c>
      <c r="F418" s="1">
        <v>81</v>
      </c>
      <c r="G418" s="1">
        <v>1419675965</v>
      </c>
      <c r="H418" s="1">
        <v>54</v>
      </c>
      <c r="I418" s="1">
        <v>9.1</v>
      </c>
      <c r="J418" s="1">
        <v>73</v>
      </c>
      <c r="K418" s="1">
        <v>66</v>
      </c>
      <c r="L418" s="1" t="s">
        <v>16</v>
      </c>
    </row>
    <row r="419" spans="1:12" x14ac:dyDescent="0.25">
      <c r="A419" s="1" t="s">
        <v>25</v>
      </c>
      <c r="B419" s="1" t="s">
        <v>26</v>
      </c>
      <c r="C419" s="1">
        <v>2022</v>
      </c>
      <c r="D419" s="1">
        <v>8861</v>
      </c>
      <c r="E419" s="1">
        <v>15.2</v>
      </c>
      <c r="F419" s="1">
        <v>72</v>
      </c>
      <c r="G419" s="1">
        <v>936153328</v>
      </c>
      <c r="H419" s="1">
        <v>53</v>
      </c>
      <c r="I419" s="1">
        <v>7</v>
      </c>
      <c r="J419" s="1">
        <v>75</v>
      </c>
      <c r="K419" s="1">
        <v>62</v>
      </c>
      <c r="L419" s="1" t="s">
        <v>26</v>
      </c>
    </row>
    <row r="420" spans="1:12" x14ac:dyDescent="0.25">
      <c r="A420" s="1" t="s">
        <v>27</v>
      </c>
      <c r="B420" s="1" t="s">
        <v>22</v>
      </c>
      <c r="C420" s="1">
        <v>2020</v>
      </c>
      <c r="D420" s="1">
        <v>30208</v>
      </c>
      <c r="E420" s="1">
        <v>16.100000000000001</v>
      </c>
      <c r="F420" s="1">
        <v>61</v>
      </c>
      <c r="G420" s="1">
        <v>418676513</v>
      </c>
      <c r="H420" s="1">
        <v>71</v>
      </c>
      <c r="I420" s="1">
        <v>5</v>
      </c>
      <c r="J420" s="1">
        <v>87</v>
      </c>
      <c r="K420" s="1">
        <v>46</v>
      </c>
      <c r="L420" s="1" t="s">
        <v>14</v>
      </c>
    </row>
    <row r="421" spans="1:12" x14ac:dyDescent="0.25">
      <c r="A421" s="1" t="s">
        <v>28</v>
      </c>
      <c r="B421" s="1" t="s">
        <v>29</v>
      </c>
      <c r="C421" s="1">
        <v>2020</v>
      </c>
      <c r="D421" s="1">
        <v>2872</v>
      </c>
      <c r="E421" s="1">
        <v>11.4</v>
      </c>
      <c r="F421" s="1">
        <v>75</v>
      </c>
      <c r="G421" s="1">
        <v>573038213</v>
      </c>
      <c r="H421" s="1">
        <v>81</v>
      </c>
      <c r="I421" s="1">
        <v>24.7</v>
      </c>
      <c r="J421" s="1">
        <v>78</v>
      </c>
      <c r="K421" s="1">
        <v>41</v>
      </c>
      <c r="L421" s="1" t="s">
        <v>29</v>
      </c>
    </row>
    <row r="422" spans="1:12" x14ac:dyDescent="0.25">
      <c r="A422" s="1" t="s">
        <v>12</v>
      </c>
      <c r="B422" s="1" t="s">
        <v>13</v>
      </c>
      <c r="C422" s="1">
        <v>2022</v>
      </c>
      <c r="D422" s="1">
        <v>15391</v>
      </c>
      <c r="E422" s="1">
        <v>10.8</v>
      </c>
      <c r="F422" s="1">
        <v>85</v>
      </c>
      <c r="G422" s="1">
        <v>721289780</v>
      </c>
      <c r="H422" s="1">
        <v>94</v>
      </c>
      <c r="I422" s="1">
        <v>5.8</v>
      </c>
      <c r="J422" s="1">
        <v>82</v>
      </c>
      <c r="K422" s="1">
        <v>61</v>
      </c>
      <c r="L422" s="1" t="s">
        <v>14</v>
      </c>
    </row>
    <row r="423" spans="1:12" x14ac:dyDescent="0.25">
      <c r="A423" s="1" t="s">
        <v>15</v>
      </c>
      <c r="B423" s="1" t="s">
        <v>16</v>
      </c>
      <c r="C423" s="1">
        <v>2020</v>
      </c>
      <c r="D423" s="1">
        <v>48486</v>
      </c>
      <c r="E423" s="1">
        <v>5</v>
      </c>
      <c r="F423" s="1">
        <v>62</v>
      </c>
      <c r="G423" s="1">
        <v>963163747</v>
      </c>
      <c r="H423" s="1">
        <v>50</v>
      </c>
      <c r="I423" s="1">
        <v>6.8</v>
      </c>
      <c r="J423" s="1">
        <v>86</v>
      </c>
      <c r="K423" s="1">
        <v>85</v>
      </c>
      <c r="L423" s="1" t="s">
        <v>16</v>
      </c>
    </row>
    <row r="424" spans="1:12" x14ac:dyDescent="0.25">
      <c r="A424" s="1" t="s">
        <v>17</v>
      </c>
      <c r="B424" s="1" t="s">
        <v>18</v>
      </c>
      <c r="C424" s="1">
        <v>2020</v>
      </c>
      <c r="D424" s="1">
        <v>34752</v>
      </c>
      <c r="E424" s="1">
        <v>4.2</v>
      </c>
      <c r="F424" s="1">
        <v>73</v>
      </c>
      <c r="G424" s="1">
        <v>325689953</v>
      </c>
      <c r="H424" s="1">
        <v>61</v>
      </c>
      <c r="I424" s="1">
        <v>8.5</v>
      </c>
      <c r="J424" s="1">
        <v>73</v>
      </c>
      <c r="K424" s="1">
        <v>72</v>
      </c>
      <c r="L424" s="1" t="s">
        <v>18</v>
      </c>
    </row>
    <row r="425" spans="1:12" x14ac:dyDescent="0.25">
      <c r="A425" s="1" t="s">
        <v>19</v>
      </c>
      <c r="B425" s="1" t="s">
        <v>20</v>
      </c>
      <c r="C425" s="1">
        <v>2022</v>
      </c>
      <c r="D425" s="1">
        <v>5813</v>
      </c>
      <c r="E425" s="1">
        <v>8.6999999999999993</v>
      </c>
      <c r="F425" s="1">
        <v>79</v>
      </c>
      <c r="G425" s="1">
        <v>1139531638</v>
      </c>
      <c r="H425" s="1">
        <v>64</v>
      </c>
      <c r="I425" s="1">
        <v>14.2</v>
      </c>
      <c r="J425" s="1">
        <v>92</v>
      </c>
      <c r="K425" s="1">
        <v>74</v>
      </c>
      <c r="L425" s="1" t="s">
        <v>20</v>
      </c>
    </row>
    <row r="426" spans="1:12" x14ac:dyDescent="0.25">
      <c r="A426" s="1" t="s">
        <v>21</v>
      </c>
      <c r="B426" s="1" t="s">
        <v>22</v>
      </c>
      <c r="C426" s="1">
        <v>2021</v>
      </c>
      <c r="D426" s="1">
        <v>9162</v>
      </c>
      <c r="E426" s="1">
        <v>8.9</v>
      </c>
      <c r="F426" s="1">
        <v>83</v>
      </c>
      <c r="G426" s="1">
        <v>1299199653</v>
      </c>
      <c r="H426" s="1">
        <v>54</v>
      </c>
      <c r="I426" s="1">
        <v>20.3</v>
      </c>
      <c r="J426" s="1">
        <v>97</v>
      </c>
      <c r="K426" s="1">
        <v>79</v>
      </c>
      <c r="L426" s="1" t="s">
        <v>14</v>
      </c>
    </row>
    <row r="427" spans="1:12" x14ac:dyDescent="0.25">
      <c r="A427" s="1" t="s">
        <v>23</v>
      </c>
      <c r="B427" s="1" t="s">
        <v>18</v>
      </c>
      <c r="C427" s="1">
        <v>2021</v>
      </c>
      <c r="D427" s="1">
        <v>3412</v>
      </c>
      <c r="E427" s="1">
        <v>3.1</v>
      </c>
      <c r="F427" s="1">
        <v>73</v>
      </c>
      <c r="G427" s="1">
        <v>512589141</v>
      </c>
      <c r="H427" s="1">
        <v>55</v>
      </c>
      <c r="I427" s="1">
        <v>5.2</v>
      </c>
      <c r="J427" s="1">
        <v>87</v>
      </c>
      <c r="K427" s="1">
        <v>76</v>
      </c>
      <c r="L427" s="1" t="s">
        <v>18</v>
      </c>
    </row>
    <row r="428" spans="1:12" x14ac:dyDescent="0.25">
      <c r="A428" s="1" t="s">
        <v>24</v>
      </c>
      <c r="B428" s="1" t="s">
        <v>16</v>
      </c>
      <c r="C428" s="1">
        <v>2020</v>
      </c>
      <c r="D428" s="1">
        <v>69497</v>
      </c>
      <c r="E428" s="1">
        <v>10.6</v>
      </c>
      <c r="F428" s="1">
        <v>61</v>
      </c>
      <c r="G428" s="1">
        <v>709057763</v>
      </c>
      <c r="H428" s="1">
        <v>68</v>
      </c>
      <c r="I428" s="1">
        <v>6.7</v>
      </c>
      <c r="J428" s="1">
        <v>89</v>
      </c>
      <c r="K428" s="1">
        <v>36</v>
      </c>
      <c r="L428" s="1" t="s">
        <v>16</v>
      </c>
    </row>
    <row r="429" spans="1:12" x14ac:dyDescent="0.25">
      <c r="A429" s="1" t="s">
        <v>25</v>
      </c>
      <c r="B429" s="1" t="s">
        <v>26</v>
      </c>
      <c r="C429" s="1">
        <v>2022</v>
      </c>
      <c r="D429" s="1">
        <v>45330</v>
      </c>
      <c r="E429" s="1">
        <v>7.9</v>
      </c>
      <c r="F429" s="1">
        <v>80</v>
      </c>
      <c r="G429" s="1">
        <v>1071613692</v>
      </c>
      <c r="H429" s="1">
        <v>91</v>
      </c>
      <c r="I429" s="1">
        <v>24.3</v>
      </c>
      <c r="J429" s="1">
        <v>91</v>
      </c>
      <c r="K429" s="1">
        <v>82</v>
      </c>
      <c r="L429" s="1" t="s">
        <v>26</v>
      </c>
    </row>
    <row r="430" spans="1:12" x14ac:dyDescent="0.25">
      <c r="A430" s="1" t="s">
        <v>27</v>
      </c>
      <c r="B430" s="1" t="s">
        <v>22</v>
      </c>
      <c r="C430" s="1">
        <v>2020</v>
      </c>
      <c r="D430" s="1">
        <v>34002</v>
      </c>
      <c r="E430" s="1">
        <v>14.4</v>
      </c>
      <c r="F430" s="1">
        <v>62</v>
      </c>
      <c r="G430" s="1">
        <v>1072320280</v>
      </c>
      <c r="H430" s="1">
        <v>76</v>
      </c>
      <c r="I430" s="1">
        <v>5.9</v>
      </c>
      <c r="J430" s="1">
        <v>95</v>
      </c>
      <c r="K430" s="1">
        <v>60</v>
      </c>
      <c r="L430" s="1" t="s">
        <v>14</v>
      </c>
    </row>
    <row r="431" spans="1:12" x14ac:dyDescent="0.25">
      <c r="A431" s="1" t="s">
        <v>28</v>
      </c>
      <c r="B431" s="1" t="s">
        <v>29</v>
      </c>
      <c r="C431" s="1">
        <v>2021</v>
      </c>
      <c r="D431" s="1">
        <v>7322</v>
      </c>
      <c r="E431" s="1">
        <v>12.1</v>
      </c>
      <c r="F431" s="1">
        <v>64</v>
      </c>
      <c r="G431" s="1">
        <v>370861975</v>
      </c>
      <c r="H431" s="1">
        <v>55</v>
      </c>
      <c r="I431" s="1">
        <v>16.3</v>
      </c>
      <c r="J431" s="1">
        <v>90</v>
      </c>
      <c r="K431" s="1">
        <v>56</v>
      </c>
      <c r="L431" s="1" t="s">
        <v>29</v>
      </c>
    </row>
    <row r="432" spans="1:12" x14ac:dyDescent="0.25">
      <c r="A432" s="1" t="s">
        <v>12</v>
      </c>
      <c r="B432" s="1" t="s">
        <v>13</v>
      </c>
      <c r="C432" s="1">
        <v>2021</v>
      </c>
      <c r="D432" s="1">
        <v>59952</v>
      </c>
      <c r="E432" s="1">
        <v>10.199999999999999</v>
      </c>
      <c r="F432" s="1">
        <v>65</v>
      </c>
      <c r="G432" s="1">
        <v>655914665</v>
      </c>
      <c r="H432" s="1">
        <v>51</v>
      </c>
      <c r="I432" s="1">
        <v>16.100000000000001</v>
      </c>
      <c r="J432" s="1">
        <v>73</v>
      </c>
      <c r="K432" s="1">
        <v>57</v>
      </c>
      <c r="L432" s="1" t="s">
        <v>14</v>
      </c>
    </row>
    <row r="433" spans="1:12" x14ac:dyDescent="0.25">
      <c r="A433" s="1" t="s">
        <v>15</v>
      </c>
      <c r="B433" s="1" t="s">
        <v>16</v>
      </c>
      <c r="C433" s="1">
        <v>2022</v>
      </c>
      <c r="D433" s="1">
        <v>28346</v>
      </c>
      <c r="E433" s="1">
        <v>8.1</v>
      </c>
      <c r="F433" s="1">
        <v>65</v>
      </c>
      <c r="G433" s="1">
        <v>14816030</v>
      </c>
      <c r="H433" s="1">
        <v>63</v>
      </c>
      <c r="I433" s="1">
        <v>10.7</v>
      </c>
      <c r="J433" s="1">
        <v>94</v>
      </c>
      <c r="K433" s="1">
        <v>37</v>
      </c>
      <c r="L433" s="1" t="s">
        <v>16</v>
      </c>
    </row>
    <row r="434" spans="1:12" x14ac:dyDescent="0.25">
      <c r="A434" s="1" t="s">
        <v>17</v>
      </c>
      <c r="B434" s="1" t="s">
        <v>18</v>
      </c>
      <c r="C434" s="1">
        <v>2021</v>
      </c>
      <c r="D434" s="1">
        <v>50984</v>
      </c>
      <c r="E434" s="1">
        <v>3.1</v>
      </c>
      <c r="F434" s="1">
        <v>67</v>
      </c>
      <c r="G434" s="1">
        <v>1099068034</v>
      </c>
      <c r="H434" s="1">
        <v>74</v>
      </c>
      <c r="I434" s="1">
        <v>21.8</v>
      </c>
      <c r="J434" s="1">
        <v>95</v>
      </c>
      <c r="K434" s="1">
        <v>72</v>
      </c>
      <c r="L434" s="1" t="s">
        <v>18</v>
      </c>
    </row>
    <row r="435" spans="1:12" x14ac:dyDescent="0.25">
      <c r="A435" s="1" t="s">
        <v>19</v>
      </c>
      <c r="B435" s="1" t="s">
        <v>20</v>
      </c>
      <c r="C435" s="1">
        <v>2021</v>
      </c>
      <c r="D435" s="1">
        <v>56203</v>
      </c>
      <c r="E435" s="1">
        <v>10.9</v>
      </c>
      <c r="F435" s="1">
        <v>72</v>
      </c>
      <c r="G435" s="1">
        <v>1485235161</v>
      </c>
      <c r="H435" s="1">
        <v>89</v>
      </c>
      <c r="I435" s="1">
        <v>13.2</v>
      </c>
      <c r="J435" s="1">
        <v>70</v>
      </c>
      <c r="K435" s="1">
        <v>31</v>
      </c>
      <c r="L435" s="1" t="s">
        <v>20</v>
      </c>
    </row>
    <row r="436" spans="1:12" x14ac:dyDescent="0.25">
      <c r="A436" s="1" t="s">
        <v>21</v>
      </c>
      <c r="B436" s="1" t="s">
        <v>22</v>
      </c>
      <c r="C436" s="1">
        <v>2022</v>
      </c>
      <c r="D436" s="1">
        <v>39009</v>
      </c>
      <c r="E436" s="1">
        <v>7.8</v>
      </c>
      <c r="F436" s="1">
        <v>77</v>
      </c>
      <c r="G436" s="1">
        <v>1305127091</v>
      </c>
      <c r="H436" s="1">
        <v>59</v>
      </c>
      <c r="I436" s="1">
        <v>20.2</v>
      </c>
      <c r="J436" s="1">
        <v>89</v>
      </c>
      <c r="K436" s="1">
        <v>74</v>
      </c>
      <c r="L436" s="1" t="s">
        <v>14</v>
      </c>
    </row>
    <row r="437" spans="1:12" x14ac:dyDescent="0.25">
      <c r="A437" s="1" t="s">
        <v>23</v>
      </c>
      <c r="B437" s="1" t="s">
        <v>18</v>
      </c>
      <c r="C437" s="1">
        <v>2020</v>
      </c>
      <c r="D437" s="1">
        <v>31409</v>
      </c>
      <c r="E437" s="1">
        <v>11.3</v>
      </c>
      <c r="F437" s="1">
        <v>77</v>
      </c>
      <c r="G437" s="1">
        <v>1081171979</v>
      </c>
      <c r="H437" s="1">
        <v>52</v>
      </c>
      <c r="I437" s="1">
        <v>8.9</v>
      </c>
      <c r="J437" s="1">
        <v>80</v>
      </c>
      <c r="K437" s="1">
        <v>47</v>
      </c>
      <c r="L437" s="1" t="s">
        <v>18</v>
      </c>
    </row>
    <row r="438" spans="1:12" x14ac:dyDescent="0.25">
      <c r="A438" s="1" t="s">
        <v>24</v>
      </c>
      <c r="B438" s="1" t="s">
        <v>16</v>
      </c>
      <c r="C438" s="1">
        <v>2021</v>
      </c>
      <c r="D438" s="1">
        <v>7541</v>
      </c>
      <c r="E438" s="1">
        <v>4.5999999999999996</v>
      </c>
      <c r="F438" s="1">
        <v>68</v>
      </c>
      <c r="G438" s="1">
        <v>88977190</v>
      </c>
      <c r="H438" s="1">
        <v>81</v>
      </c>
      <c r="I438" s="1">
        <v>10.4</v>
      </c>
      <c r="J438" s="1">
        <v>90</v>
      </c>
      <c r="K438" s="1">
        <v>74</v>
      </c>
      <c r="L438" s="1" t="s">
        <v>16</v>
      </c>
    </row>
    <row r="439" spans="1:12" x14ac:dyDescent="0.25">
      <c r="A439" s="1" t="s">
        <v>25</v>
      </c>
      <c r="B439" s="1" t="s">
        <v>26</v>
      </c>
      <c r="C439" s="1">
        <v>2021</v>
      </c>
      <c r="D439" s="1">
        <v>51587</v>
      </c>
      <c r="E439" s="1">
        <v>4.9000000000000004</v>
      </c>
      <c r="F439" s="1">
        <v>74</v>
      </c>
      <c r="G439" s="1">
        <v>1237242876</v>
      </c>
      <c r="H439" s="1">
        <v>67</v>
      </c>
      <c r="I439" s="1">
        <v>23.1</v>
      </c>
      <c r="J439" s="1">
        <v>81</v>
      </c>
      <c r="K439" s="1">
        <v>68</v>
      </c>
      <c r="L439" s="1" t="s">
        <v>26</v>
      </c>
    </row>
    <row r="440" spans="1:12" x14ac:dyDescent="0.25">
      <c r="A440" s="1" t="s">
        <v>27</v>
      </c>
      <c r="B440" s="1" t="s">
        <v>22</v>
      </c>
      <c r="C440" s="1">
        <v>2022</v>
      </c>
      <c r="D440" s="1">
        <v>55077</v>
      </c>
      <c r="E440" s="1">
        <v>4</v>
      </c>
      <c r="F440" s="1">
        <v>69</v>
      </c>
      <c r="G440" s="1">
        <v>1138020658</v>
      </c>
      <c r="H440" s="1">
        <v>95</v>
      </c>
      <c r="I440" s="1">
        <v>15.4</v>
      </c>
      <c r="J440" s="1">
        <v>79</v>
      </c>
      <c r="K440" s="1">
        <v>54</v>
      </c>
      <c r="L440" s="1" t="s">
        <v>14</v>
      </c>
    </row>
    <row r="441" spans="1:12" x14ac:dyDescent="0.25">
      <c r="A441" s="1" t="s">
        <v>28</v>
      </c>
      <c r="B441" s="1" t="s">
        <v>29</v>
      </c>
      <c r="C441" s="1">
        <v>2021</v>
      </c>
      <c r="D441" s="1">
        <v>5962</v>
      </c>
      <c r="E441" s="1">
        <v>15.8</v>
      </c>
      <c r="F441" s="1">
        <v>74</v>
      </c>
      <c r="G441" s="1">
        <v>942036899</v>
      </c>
      <c r="H441" s="1">
        <v>72</v>
      </c>
      <c r="I441" s="1">
        <v>14.6</v>
      </c>
      <c r="J441" s="1">
        <v>78</v>
      </c>
      <c r="K441" s="1">
        <v>40</v>
      </c>
      <c r="L441" s="1" t="s">
        <v>29</v>
      </c>
    </row>
    <row r="442" spans="1:12" x14ac:dyDescent="0.25">
      <c r="A442" s="1" t="s">
        <v>12</v>
      </c>
      <c r="B442" s="1" t="s">
        <v>13</v>
      </c>
      <c r="C442" s="1">
        <v>2021</v>
      </c>
      <c r="D442" s="1">
        <v>11334</v>
      </c>
      <c r="E442" s="1">
        <v>3.7</v>
      </c>
      <c r="F442" s="1">
        <v>73</v>
      </c>
      <c r="G442" s="1">
        <v>81671426</v>
      </c>
      <c r="H442" s="1">
        <v>92</v>
      </c>
      <c r="I442" s="1">
        <v>18.7</v>
      </c>
      <c r="J442" s="1">
        <v>73</v>
      </c>
      <c r="K442" s="1">
        <v>65</v>
      </c>
      <c r="L442" s="1" t="s">
        <v>14</v>
      </c>
    </row>
    <row r="443" spans="1:12" x14ac:dyDescent="0.25">
      <c r="A443" s="1" t="s">
        <v>15</v>
      </c>
      <c r="B443" s="1" t="s">
        <v>16</v>
      </c>
      <c r="C443" s="1">
        <v>2020</v>
      </c>
      <c r="D443" s="1">
        <v>37761</v>
      </c>
      <c r="E443" s="1">
        <v>11.3</v>
      </c>
      <c r="F443" s="1">
        <v>74</v>
      </c>
      <c r="G443" s="1">
        <v>1464557244</v>
      </c>
      <c r="H443" s="1">
        <v>60</v>
      </c>
      <c r="I443" s="1">
        <v>21</v>
      </c>
      <c r="J443" s="1">
        <v>93</v>
      </c>
      <c r="K443" s="1">
        <v>50</v>
      </c>
      <c r="L443" s="1" t="s">
        <v>16</v>
      </c>
    </row>
    <row r="444" spans="1:12" x14ac:dyDescent="0.25">
      <c r="A444" s="1" t="s">
        <v>17</v>
      </c>
      <c r="B444" s="1" t="s">
        <v>18</v>
      </c>
      <c r="C444" s="1">
        <v>2022</v>
      </c>
      <c r="D444" s="1">
        <v>52212</v>
      </c>
      <c r="E444" s="1">
        <v>12.6</v>
      </c>
      <c r="F444" s="1">
        <v>77</v>
      </c>
      <c r="G444" s="1">
        <v>1214679924</v>
      </c>
      <c r="H444" s="1">
        <v>55</v>
      </c>
      <c r="I444" s="1">
        <v>10.6</v>
      </c>
      <c r="J444" s="1">
        <v>98</v>
      </c>
      <c r="K444" s="1">
        <v>47</v>
      </c>
      <c r="L444" s="1" t="s">
        <v>18</v>
      </c>
    </row>
    <row r="445" spans="1:12" x14ac:dyDescent="0.25">
      <c r="A445" s="1" t="s">
        <v>19</v>
      </c>
      <c r="B445" s="1" t="s">
        <v>20</v>
      </c>
      <c r="C445" s="1">
        <v>2020</v>
      </c>
      <c r="D445" s="1">
        <v>58248</v>
      </c>
      <c r="E445" s="1">
        <v>11.4</v>
      </c>
      <c r="F445" s="1">
        <v>79</v>
      </c>
      <c r="G445" s="1">
        <v>206197457</v>
      </c>
      <c r="H445" s="1">
        <v>93</v>
      </c>
      <c r="I445" s="1">
        <v>22.1</v>
      </c>
      <c r="J445" s="1">
        <v>84</v>
      </c>
      <c r="K445" s="1">
        <v>61</v>
      </c>
      <c r="L445" s="1" t="s">
        <v>20</v>
      </c>
    </row>
    <row r="446" spans="1:12" x14ac:dyDescent="0.25">
      <c r="A446" s="1" t="s">
        <v>21</v>
      </c>
      <c r="B446" s="1" t="s">
        <v>22</v>
      </c>
      <c r="C446" s="1">
        <v>2020</v>
      </c>
      <c r="D446" s="1">
        <v>61514</v>
      </c>
      <c r="E446" s="1">
        <v>8.6</v>
      </c>
      <c r="F446" s="1">
        <v>79</v>
      </c>
      <c r="G446" s="1">
        <v>1436796278</v>
      </c>
      <c r="H446" s="1">
        <v>61</v>
      </c>
      <c r="I446" s="1">
        <v>22.3</v>
      </c>
      <c r="J446" s="1">
        <v>83</v>
      </c>
      <c r="K446" s="1">
        <v>59</v>
      </c>
      <c r="L446" s="1" t="s">
        <v>14</v>
      </c>
    </row>
    <row r="447" spans="1:12" x14ac:dyDescent="0.25">
      <c r="A447" s="1" t="s">
        <v>23</v>
      </c>
      <c r="B447" s="1" t="s">
        <v>18</v>
      </c>
      <c r="C447" s="1">
        <v>2021</v>
      </c>
      <c r="D447" s="1">
        <v>69064</v>
      </c>
      <c r="E447" s="1">
        <v>13.8</v>
      </c>
      <c r="F447" s="1">
        <v>83</v>
      </c>
      <c r="G447" s="1">
        <v>5128754</v>
      </c>
      <c r="H447" s="1">
        <v>61</v>
      </c>
      <c r="I447" s="1">
        <v>20</v>
      </c>
      <c r="J447" s="1">
        <v>86</v>
      </c>
      <c r="K447" s="1">
        <v>50</v>
      </c>
      <c r="L447" s="1" t="s">
        <v>18</v>
      </c>
    </row>
    <row r="448" spans="1:12" x14ac:dyDescent="0.25">
      <c r="A448" s="1" t="s">
        <v>24</v>
      </c>
      <c r="B448" s="1" t="s">
        <v>16</v>
      </c>
      <c r="C448" s="1">
        <v>2022</v>
      </c>
      <c r="D448" s="1">
        <v>47653</v>
      </c>
      <c r="E448" s="1">
        <v>10</v>
      </c>
      <c r="F448" s="1">
        <v>77</v>
      </c>
      <c r="G448" s="1">
        <v>1080423577</v>
      </c>
      <c r="H448" s="1">
        <v>89</v>
      </c>
      <c r="I448" s="1">
        <v>24</v>
      </c>
      <c r="J448" s="1">
        <v>94</v>
      </c>
      <c r="K448" s="1">
        <v>50</v>
      </c>
      <c r="L448" s="1" t="s">
        <v>16</v>
      </c>
    </row>
    <row r="449" spans="1:12" x14ac:dyDescent="0.25">
      <c r="A449" s="1" t="s">
        <v>25</v>
      </c>
      <c r="B449" s="1" t="s">
        <v>26</v>
      </c>
      <c r="C449" s="1">
        <v>2022</v>
      </c>
      <c r="D449" s="1">
        <v>59263</v>
      </c>
      <c r="E449" s="1">
        <v>15.2</v>
      </c>
      <c r="F449" s="1">
        <v>64</v>
      </c>
      <c r="G449" s="1">
        <v>943214899</v>
      </c>
      <c r="H449" s="1">
        <v>74</v>
      </c>
      <c r="I449" s="1">
        <v>25</v>
      </c>
      <c r="J449" s="1">
        <v>70</v>
      </c>
      <c r="K449" s="1">
        <v>48</v>
      </c>
      <c r="L449" s="1" t="s">
        <v>26</v>
      </c>
    </row>
    <row r="450" spans="1:12" x14ac:dyDescent="0.25">
      <c r="A450" s="1" t="s">
        <v>27</v>
      </c>
      <c r="B450" s="1" t="s">
        <v>22</v>
      </c>
      <c r="C450" s="1">
        <v>2020</v>
      </c>
      <c r="D450" s="1">
        <v>7477</v>
      </c>
      <c r="E450" s="1">
        <v>10.1</v>
      </c>
      <c r="F450" s="1">
        <v>80</v>
      </c>
      <c r="G450" s="1">
        <v>727464879</v>
      </c>
      <c r="H450" s="1">
        <v>91</v>
      </c>
      <c r="I450" s="1">
        <v>15.8</v>
      </c>
      <c r="J450" s="1">
        <v>97</v>
      </c>
      <c r="K450" s="1">
        <v>44</v>
      </c>
      <c r="L450" s="1" t="s">
        <v>14</v>
      </c>
    </row>
    <row r="451" spans="1:12" x14ac:dyDescent="0.25">
      <c r="A451" s="1" t="s">
        <v>28</v>
      </c>
      <c r="B451" s="1" t="s">
        <v>29</v>
      </c>
      <c r="C451" s="1">
        <v>2021</v>
      </c>
      <c r="D451" s="1">
        <v>45743</v>
      </c>
      <c r="E451" s="1">
        <v>4.7</v>
      </c>
      <c r="F451" s="1">
        <v>60</v>
      </c>
      <c r="G451" s="1">
        <v>39464577</v>
      </c>
      <c r="H451" s="1">
        <v>69</v>
      </c>
      <c r="I451" s="1">
        <v>13.3</v>
      </c>
      <c r="J451" s="1">
        <v>80</v>
      </c>
      <c r="K451" s="1">
        <v>60</v>
      </c>
      <c r="L451" s="1" t="s">
        <v>29</v>
      </c>
    </row>
    <row r="452" spans="1:12" x14ac:dyDescent="0.25">
      <c r="A452" s="1" t="s">
        <v>12</v>
      </c>
      <c r="B452" s="1" t="s">
        <v>13</v>
      </c>
      <c r="C452" s="1">
        <v>2021</v>
      </c>
      <c r="D452" s="1">
        <v>61762</v>
      </c>
      <c r="E452" s="1">
        <v>8.1</v>
      </c>
      <c r="F452" s="1">
        <v>68</v>
      </c>
      <c r="G452" s="1">
        <v>940700308</v>
      </c>
      <c r="H452" s="1">
        <v>84</v>
      </c>
      <c r="I452" s="1">
        <v>4.5</v>
      </c>
      <c r="J452" s="1">
        <v>92</v>
      </c>
      <c r="K452" s="1">
        <v>60</v>
      </c>
      <c r="L452" s="1" t="s">
        <v>14</v>
      </c>
    </row>
    <row r="453" spans="1:12" x14ac:dyDescent="0.25">
      <c r="A453" s="1" t="s">
        <v>15</v>
      </c>
      <c r="B453" s="1" t="s">
        <v>16</v>
      </c>
      <c r="C453" s="1">
        <v>2021</v>
      </c>
      <c r="D453" s="1">
        <v>16721</v>
      </c>
      <c r="E453" s="1">
        <v>4</v>
      </c>
      <c r="F453" s="1">
        <v>69</v>
      </c>
      <c r="G453" s="1">
        <v>366599273</v>
      </c>
      <c r="H453" s="1">
        <v>65</v>
      </c>
      <c r="I453" s="1">
        <v>10.199999999999999</v>
      </c>
      <c r="J453" s="1">
        <v>91</v>
      </c>
      <c r="K453" s="1">
        <v>31</v>
      </c>
      <c r="L453" s="1" t="s">
        <v>16</v>
      </c>
    </row>
    <row r="454" spans="1:12" x14ac:dyDescent="0.25">
      <c r="A454" s="1" t="s">
        <v>17</v>
      </c>
      <c r="B454" s="1" t="s">
        <v>18</v>
      </c>
      <c r="C454" s="1">
        <v>2022</v>
      </c>
      <c r="D454" s="1">
        <v>47131</v>
      </c>
      <c r="E454" s="1">
        <v>6.2</v>
      </c>
      <c r="F454" s="1">
        <v>65</v>
      </c>
      <c r="G454" s="1">
        <v>601280347</v>
      </c>
      <c r="H454" s="1">
        <v>78</v>
      </c>
      <c r="I454" s="1">
        <v>9.9</v>
      </c>
      <c r="J454" s="1">
        <v>86</v>
      </c>
      <c r="K454" s="1">
        <v>80</v>
      </c>
      <c r="L454" s="1" t="s">
        <v>18</v>
      </c>
    </row>
    <row r="455" spans="1:12" x14ac:dyDescent="0.25">
      <c r="A455" s="1" t="s">
        <v>19</v>
      </c>
      <c r="B455" s="1" t="s">
        <v>20</v>
      </c>
      <c r="C455" s="1">
        <v>2022</v>
      </c>
      <c r="D455" s="1">
        <v>24488</v>
      </c>
      <c r="E455" s="1">
        <v>3.8</v>
      </c>
      <c r="F455" s="1">
        <v>64</v>
      </c>
      <c r="G455" s="1">
        <v>1426244731</v>
      </c>
      <c r="H455" s="1">
        <v>91</v>
      </c>
      <c r="I455" s="1">
        <v>3.5</v>
      </c>
      <c r="J455" s="1">
        <v>93</v>
      </c>
      <c r="K455" s="1">
        <v>43</v>
      </c>
      <c r="L455" s="1" t="s">
        <v>20</v>
      </c>
    </row>
    <row r="456" spans="1:12" x14ac:dyDescent="0.25">
      <c r="A456" s="1" t="s">
        <v>21</v>
      </c>
      <c r="B456" s="1" t="s">
        <v>22</v>
      </c>
      <c r="C456" s="1">
        <v>2020</v>
      </c>
      <c r="D456" s="1">
        <v>61427</v>
      </c>
      <c r="E456" s="1">
        <v>12.9</v>
      </c>
      <c r="F456" s="1">
        <v>81</v>
      </c>
      <c r="G456" s="1">
        <v>736445689</v>
      </c>
      <c r="H456" s="1">
        <v>73</v>
      </c>
      <c r="I456" s="1">
        <v>15.5</v>
      </c>
      <c r="J456" s="1">
        <v>87</v>
      </c>
      <c r="K456" s="1">
        <v>48</v>
      </c>
      <c r="L456" s="1" t="s">
        <v>14</v>
      </c>
    </row>
    <row r="457" spans="1:12" x14ac:dyDescent="0.25">
      <c r="A457" s="1" t="s">
        <v>23</v>
      </c>
      <c r="B457" s="1" t="s">
        <v>18</v>
      </c>
      <c r="C457" s="1">
        <v>2020</v>
      </c>
      <c r="D457" s="1">
        <v>69721</v>
      </c>
      <c r="E457" s="1">
        <v>15.7</v>
      </c>
      <c r="F457" s="1">
        <v>66</v>
      </c>
      <c r="G457" s="1">
        <v>833608980</v>
      </c>
      <c r="H457" s="1">
        <v>77</v>
      </c>
      <c r="I457" s="1">
        <v>21.7</v>
      </c>
      <c r="J457" s="1">
        <v>98</v>
      </c>
      <c r="K457" s="1">
        <v>86</v>
      </c>
      <c r="L457" s="1" t="s">
        <v>18</v>
      </c>
    </row>
    <row r="458" spans="1:12" x14ac:dyDescent="0.25">
      <c r="A458" s="1" t="s">
        <v>24</v>
      </c>
      <c r="B458" s="1" t="s">
        <v>16</v>
      </c>
      <c r="C458" s="1">
        <v>2022</v>
      </c>
      <c r="D458" s="1">
        <v>2266</v>
      </c>
      <c r="E458" s="1">
        <v>15.7</v>
      </c>
      <c r="F458" s="1">
        <v>75</v>
      </c>
      <c r="G458" s="1">
        <v>714151787</v>
      </c>
      <c r="H458" s="1">
        <v>50</v>
      </c>
      <c r="I458" s="1">
        <v>24.8</v>
      </c>
      <c r="J458" s="1">
        <v>99</v>
      </c>
      <c r="K458" s="1">
        <v>72</v>
      </c>
      <c r="L458" s="1" t="s">
        <v>16</v>
      </c>
    </row>
    <row r="459" spans="1:12" x14ac:dyDescent="0.25">
      <c r="A459" s="1" t="s">
        <v>25</v>
      </c>
      <c r="B459" s="1" t="s">
        <v>26</v>
      </c>
      <c r="C459" s="1">
        <v>2020</v>
      </c>
      <c r="D459" s="1">
        <v>45313</v>
      </c>
      <c r="E459" s="1">
        <v>3.6</v>
      </c>
      <c r="F459" s="1">
        <v>77</v>
      </c>
      <c r="G459" s="1">
        <v>880496248</v>
      </c>
      <c r="H459" s="1">
        <v>86</v>
      </c>
      <c r="I459" s="1">
        <v>20.9</v>
      </c>
      <c r="J459" s="1">
        <v>82</v>
      </c>
      <c r="K459" s="1">
        <v>35</v>
      </c>
      <c r="L459" s="1" t="s">
        <v>26</v>
      </c>
    </row>
    <row r="460" spans="1:12" x14ac:dyDescent="0.25">
      <c r="A460" s="1" t="s">
        <v>27</v>
      </c>
      <c r="B460" s="1" t="s">
        <v>22</v>
      </c>
      <c r="C460" s="1">
        <v>2021</v>
      </c>
      <c r="D460" s="1">
        <v>4935</v>
      </c>
      <c r="E460" s="1">
        <v>6.1</v>
      </c>
      <c r="F460" s="1">
        <v>71</v>
      </c>
      <c r="G460" s="1">
        <v>368441198</v>
      </c>
      <c r="H460" s="1">
        <v>83</v>
      </c>
      <c r="I460" s="1">
        <v>20.8</v>
      </c>
      <c r="J460" s="1">
        <v>88</v>
      </c>
      <c r="K460" s="1">
        <v>67</v>
      </c>
      <c r="L460" s="1" t="s">
        <v>14</v>
      </c>
    </row>
    <row r="461" spans="1:12" x14ac:dyDescent="0.25">
      <c r="A461" s="1" t="s">
        <v>28</v>
      </c>
      <c r="B461" s="1" t="s">
        <v>29</v>
      </c>
      <c r="C461" s="1">
        <v>2020</v>
      </c>
      <c r="D461" s="1">
        <v>22293</v>
      </c>
      <c r="E461" s="1">
        <v>9.1</v>
      </c>
      <c r="F461" s="1">
        <v>65</v>
      </c>
      <c r="G461" s="1">
        <v>1094174729</v>
      </c>
      <c r="H461" s="1">
        <v>67</v>
      </c>
      <c r="I461" s="1">
        <v>16.3</v>
      </c>
      <c r="J461" s="1">
        <v>79</v>
      </c>
      <c r="K461" s="1">
        <v>88</v>
      </c>
      <c r="L461" s="1" t="s">
        <v>29</v>
      </c>
    </row>
    <row r="462" spans="1:12" x14ac:dyDescent="0.25">
      <c r="A462" s="1" t="s">
        <v>12</v>
      </c>
      <c r="B462" s="1" t="s">
        <v>13</v>
      </c>
      <c r="C462" s="1">
        <v>2021</v>
      </c>
      <c r="D462" s="1">
        <v>57661</v>
      </c>
      <c r="E462" s="1">
        <v>3.6</v>
      </c>
      <c r="F462" s="1">
        <v>80</v>
      </c>
      <c r="G462" s="1">
        <v>1152089087</v>
      </c>
      <c r="H462" s="1">
        <v>76</v>
      </c>
      <c r="I462" s="1">
        <v>7.3</v>
      </c>
      <c r="J462" s="1">
        <v>75</v>
      </c>
      <c r="K462" s="1">
        <v>90</v>
      </c>
      <c r="L462" s="1" t="s">
        <v>14</v>
      </c>
    </row>
    <row r="463" spans="1:12" x14ac:dyDescent="0.25">
      <c r="A463" s="1" t="s">
        <v>15</v>
      </c>
      <c r="B463" s="1" t="s">
        <v>16</v>
      </c>
      <c r="C463" s="1">
        <v>2020</v>
      </c>
      <c r="D463" s="1">
        <v>41992</v>
      </c>
      <c r="E463" s="1">
        <v>12.8</v>
      </c>
      <c r="F463" s="1">
        <v>64</v>
      </c>
      <c r="G463" s="1">
        <v>243962397</v>
      </c>
      <c r="H463" s="1">
        <v>95</v>
      </c>
      <c r="I463" s="1">
        <v>16</v>
      </c>
      <c r="J463" s="1">
        <v>96</v>
      </c>
      <c r="K463" s="1">
        <v>49</v>
      </c>
      <c r="L463" s="1" t="s">
        <v>16</v>
      </c>
    </row>
    <row r="464" spans="1:12" x14ac:dyDescent="0.25">
      <c r="A464" s="1" t="s">
        <v>17</v>
      </c>
      <c r="B464" s="1" t="s">
        <v>18</v>
      </c>
      <c r="C464" s="1">
        <v>2021</v>
      </c>
      <c r="D464" s="1">
        <v>50031</v>
      </c>
      <c r="E464" s="1">
        <v>4.7</v>
      </c>
      <c r="F464" s="1">
        <v>73</v>
      </c>
      <c r="G464" s="1">
        <v>613243070</v>
      </c>
      <c r="H464" s="1">
        <v>77</v>
      </c>
      <c r="I464" s="1">
        <v>23.1</v>
      </c>
      <c r="J464" s="1">
        <v>89</v>
      </c>
      <c r="K464" s="1">
        <v>48</v>
      </c>
      <c r="L464" s="1" t="s">
        <v>18</v>
      </c>
    </row>
    <row r="465" spans="1:12" x14ac:dyDescent="0.25">
      <c r="A465" s="1" t="s">
        <v>19</v>
      </c>
      <c r="B465" s="1" t="s">
        <v>20</v>
      </c>
      <c r="C465" s="1">
        <v>2020</v>
      </c>
      <c r="D465" s="1">
        <v>34100</v>
      </c>
      <c r="E465" s="1">
        <v>10</v>
      </c>
      <c r="F465" s="1">
        <v>66</v>
      </c>
      <c r="G465" s="1">
        <v>653937643</v>
      </c>
      <c r="H465" s="1">
        <v>95</v>
      </c>
      <c r="I465" s="1">
        <v>21.5</v>
      </c>
      <c r="J465" s="1">
        <v>91</v>
      </c>
      <c r="K465" s="1">
        <v>41</v>
      </c>
      <c r="L465" s="1" t="s">
        <v>20</v>
      </c>
    </row>
    <row r="466" spans="1:12" x14ac:dyDescent="0.25">
      <c r="A466" s="1" t="s">
        <v>21</v>
      </c>
      <c r="B466" s="1" t="s">
        <v>22</v>
      </c>
      <c r="C466" s="1">
        <v>2022</v>
      </c>
      <c r="D466" s="1">
        <v>51105</v>
      </c>
      <c r="E466" s="1">
        <v>10.7</v>
      </c>
      <c r="F466" s="1">
        <v>62</v>
      </c>
      <c r="G466" s="1">
        <v>1302533436</v>
      </c>
      <c r="H466" s="1">
        <v>67</v>
      </c>
      <c r="I466" s="1">
        <v>5.3</v>
      </c>
      <c r="J466" s="1">
        <v>70</v>
      </c>
      <c r="K466" s="1">
        <v>63</v>
      </c>
      <c r="L466" s="1" t="s">
        <v>14</v>
      </c>
    </row>
    <row r="467" spans="1:12" x14ac:dyDescent="0.25">
      <c r="A467" s="1" t="s">
        <v>23</v>
      </c>
      <c r="B467" s="1" t="s">
        <v>18</v>
      </c>
      <c r="C467" s="1">
        <v>2022</v>
      </c>
      <c r="D467" s="1">
        <v>31852</v>
      </c>
      <c r="E467" s="1">
        <v>6.7</v>
      </c>
      <c r="F467" s="1">
        <v>63</v>
      </c>
      <c r="G467" s="1">
        <v>1329300454</v>
      </c>
      <c r="H467" s="1">
        <v>59</v>
      </c>
      <c r="I467" s="1">
        <v>17.7</v>
      </c>
      <c r="J467" s="1">
        <v>93</v>
      </c>
      <c r="K467" s="1">
        <v>78</v>
      </c>
      <c r="L467" s="1" t="s">
        <v>18</v>
      </c>
    </row>
    <row r="468" spans="1:12" x14ac:dyDescent="0.25">
      <c r="A468" s="1" t="s">
        <v>24</v>
      </c>
      <c r="B468" s="1" t="s">
        <v>16</v>
      </c>
      <c r="C468" s="1">
        <v>2021</v>
      </c>
      <c r="D468" s="1">
        <v>49526</v>
      </c>
      <c r="E468" s="1">
        <v>8.5</v>
      </c>
      <c r="F468" s="1">
        <v>78</v>
      </c>
      <c r="G468" s="1">
        <v>1333725790</v>
      </c>
      <c r="H468" s="1">
        <v>65</v>
      </c>
      <c r="I468" s="1">
        <v>19.2</v>
      </c>
      <c r="J468" s="1">
        <v>87</v>
      </c>
      <c r="K468" s="1">
        <v>84</v>
      </c>
      <c r="L468" s="1" t="s">
        <v>16</v>
      </c>
    </row>
    <row r="469" spans="1:12" x14ac:dyDescent="0.25">
      <c r="A469" s="1" t="s">
        <v>25</v>
      </c>
      <c r="B469" s="1" t="s">
        <v>26</v>
      </c>
      <c r="C469" s="1">
        <v>2021</v>
      </c>
      <c r="D469" s="1">
        <v>33043</v>
      </c>
      <c r="E469" s="1">
        <v>14.2</v>
      </c>
      <c r="F469" s="1">
        <v>74</v>
      </c>
      <c r="G469" s="1">
        <v>406966434</v>
      </c>
      <c r="H469" s="1">
        <v>81</v>
      </c>
      <c r="I469" s="1">
        <v>14</v>
      </c>
      <c r="J469" s="1">
        <v>85</v>
      </c>
      <c r="K469" s="1">
        <v>68</v>
      </c>
      <c r="L469" s="1" t="s">
        <v>26</v>
      </c>
    </row>
    <row r="470" spans="1:12" x14ac:dyDescent="0.25">
      <c r="A470" s="1" t="s">
        <v>27</v>
      </c>
      <c r="B470" s="1" t="s">
        <v>22</v>
      </c>
      <c r="C470" s="1">
        <v>2020</v>
      </c>
      <c r="D470" s="1">
        <v>9430</v>
      </c>
      <c r="E470" s="1">
        <v>4</v>
      </c>
      <c r="F470" s="1">
        <v>83</v>
      </c>
      <c r="G470" s="1">
        <v>1189693714</v>
      </c>
      <c r="H470" s="1">
        <v>50</v>
      </c>
      <c r="I470" s="1">
        <v>24.8</v>
      </c>
      <c r="J470" s="1">
        <v>75</v>
      </c>
      <c r="K470" s="1">
        <v>74</v>
      </c>
      <c r="L470" s="1" t="s">
        <v>14</v>
      </c>
    </row>
    <row r="471" spans="1:12" x14ac:dyDescent="0.25">
      <c r="A471" s="1" t="s">
        <v>28</v>
      </c>
      <c r="B471" s="1" t="s">
        <v>29</v>
      </c>
      <c r="C471" s="1">
        <v>2022</v>
      </c>
      <c r="D471" s="1">
        <v>63645</v>
      </c>
      <c r="E471" s="1">
        <v>15.2</v>
      </c>
      <c r="F471" s="1">
        <v>67</v>
      </c>
      <c r="G471" s="1">
        <v>455458389</v>
      </c>
      <c r="H471" s="1">
        <v>68</v>
      </c>
      <c r="I471" s="1">
        <v>6.8</v>
      </c>
      <c r="J471" s="1">
        <v>96</v>
      </c>
      <c r="K471" s="1">
        <v>79</v>
      </c>
      <c r="L471" s="1" t="s">
        <v>29</v>
      </c>
    </row>
    <row r="472" spans="1:12" x14ac:dyDescent="0.25">
      <c r="A472" s="1" t="s">
        <v>12</v>
      </c>
      <c r="B472" s="1" t="s">
        <v>13</v>
      </c>
      <c r="C472" s="1">
        <v>2020</v>
      </c>
      <c r="D472" s="1">
        <v>61989</v>
      </c>
      <c r="E472" s="1">
        <v>11</v>
      </c>
      <c r="F472" s="1">
        <v>73</v>
      </c>
      <c r="G472" s="1">
        <v>1102453617</v>
      </c>
      <c r="H472" s="1">
        <v>60</v>
      </c>
      <c r="I472" s="1">
        <v>21.4</v>
      </c>
      <c r="J472" s="1">
        <v>75</v>
      </c>
      <c r="K472" s="1">
        <v>64</v>
      </c>
      <c r="L472" s="1" t="s">
        <v>14</v>
      </c>
    </row>
    <row r="473" spans="1:12" x14ac:dyDescent="0.25">
      <c r="A473" s="1" t="s">
        <v>15</v>
      </c>
      <c r="B473" s="1" t="s">
        <v>16</v>
      </c>
      <c r="C473" s="1">
        <v>2021</v>
      </c>
      <c r="D473" s="1">
        <v>22156</v>
      </c>
      <c r="E473" s="1">
        <v>14.4</v>
      </c>
      <c r="F473" s="1">
        <v>69</v>
      </c>
      <c r="G473" s="1">
        <v>384942416</v>
      </c>
      <c r="H473" s="1">
        <v>65</v>
      </c>
      <c r="I473" s="1">
        <v>14</v>
      </c>
      <c r="J473" s="1">
        <v>75</v>
      </c>
      <c r="K473" s="1">
        <v>30</v>
      </c>
      <c r="L473" s="1" t="s">
        <v>16</v>
      </c>
    </row>
    <row r="474" spans="1:12" x14ac:dyDescent="0.25">
      <c r="A474" s="1" t="s">
        <v>17</v>
      </c>
      <c r="B474" s="1" t="s">
        <v>18</v>
      </c>
      <c r="C474" s="1">
        <v>2021</v>
      </c>
      <c r="D474" s="1">
        <v>40419</v>
      </c>
      <c r="E474" s="1">
        <v>13.3</v>
      </c>
      <c r="F474" s="1">
        <v>71</v>
      </c>
      <c r="G474" s="1">
        <v>1208455098</v>
      </c>
      <c r="H474" s="1">
        <v>85</v>
      </c>
      <c r="I474" s="1">
        <v>7.3</v>
      </c>
      <c r="J474" s="1">
        <v>97</v>
      </c>
      <c r="K474" s="1">
        <v>90</v>
      </c>
      <c r="L474" s="1" t="s">
        <v>18</v>
      </c>
    </row>
    <row r="475" spans="1:12" x14ac:dyDescent="0.25">
      <c r="A475" s="1" t="s">
        <v>19</v>
      </c>
      <c r="B475" s="1" t="s">
        <v>20</v>
      </c>
      <c r="C475" s="1">
        <v>2020</v>
      </c>
      <c r="D475" s="1">
        <v>17314</v>
      </c>
      <c r="E475" s="1">
        <v>10.7</v>
      </c>
      <c r="F475" s="1">
        <v>84</v>
      </c>
      <c r="G475" s="1">
        <v>609840573</v>
      </c>
      <c r="H475" s="1">
        <v>70</v>
      </c>
      <c r="I475" s="1">
        <v>23.8</v>
      </c>
      <c r="J475" s="1">
        <v>79</v>
      </c>
      <c r="K475" s="1">
        <v>74</v>
      </c>
      <c r="L475" s="1" t="s">
        <v>20</v>
      </c>
    </row>
    <row r="476" spans="1:12" x14ac:dyDescent="0.25">
      <c r="A476" s="1" t="s">
        <v>21</v>
      </c>
      <c r="B476" s="1" t="s">
        <v>22</v>
      </c>
      <c r="C476" s="1">
        <v>2021</v>
      </c>
      <c r="D476" s="1">
        <v>43062</v>
      </c>
      <c r="E476" s="1">
        <v>8.5</v>
      </c>
      <c r="F476" s="1">
        <v>81</v>
      </c>
      <c r="G476" s="1">
        <v>898049481</v>
      </c>
      <c r="H476" s="1">
        <v>85</v>
      </c>
      <c r="I476" s="1">
        <v>12.3</v>
      </c>
      <c r="J476" s="1">
        <v>78</v>
      </c>
      <c r="K476" s="1">
        <v>76</v>
      </c>
      <c r="L476" s="1" t="s">
        <v>14</v>
      </c>
    </row>
    <row r="477" spans="1:12" x14ac:dyDescent="0.25">
      <c r="A477" s="1" t="s">
        <v>23</v>
      </c>
      <c r="B477" s="1" t="s">
        <v>18</v>
      </c>
      <c r="C477" s="1">
        <v>2022</v>
      </c>
      <c r="D477" s="1">
        <v>39095</v>
      </c>
      <c r="E477" s="1">
        <v>5.9</v>
      </c>
      <c r="F477" s="1">
        <v>61</v>
      </c>
      <c r="G477" s="1">
        <v>655564103</v>
      </c>
      <c r="H477" s="1">
        <v>92</v>
      </c>
      <c r="I477" s="1">
        <v>3.6</v>
      </c>
      <c r="J477" s="1">
        <v>82</v>
      </c>
      <c r="K477" s="1">
        <v>37</v>
      </c>
      <c r="L477" s="1" t="s">
        <v>18</v>
      </c>
    </row>
    <row r="478" spans="1:12" x14ac:dyDescent="0.25">
      <c r="A478" s="1" t="s">
        <v>24</v>
      </c>
      <c r="B478" s="1" t="s">
        <v>16</v>
      </c>
      <c r="C478" s="1">
        <v>2022</v>
      </c>
      <c r="D478" s="1">
        <v>26756</v>
      </c>
      <c r="E478" s="1">
        <v>6.8</v>
      </c>
      <c r="F478" s="1">
        <v>71</v>
      </c>
      <c r="G478" s="1">
        <v>1499990158</v>
      </c>
      <c r="H478" s="1">
        <v>59</v>
      </c>
      <c r="I478" s="1">
        <v>18.5</v>
      </c>
      <c r="J478" s="1">
        <v>81</v>
      </c>
      <c r="K478" s="1">
        <v>33</v>
      </c>
      <c r="L478" s="1" t="s">
        <v>16</v>
      </c>
    </row>
    <row r="479" spans="1:12" x14ac:dyDescent="0.25">
      <c r="A479" s="1" t="s">
        <v>25</v>
      </c>
      <c r="B479" s="1" t="s">
        <v>26</v>
      </c>
      <c r="C479" s="1">
        <v>2022</v>
      </c>
      <c r="D479" s="1">
        <v>68396</v>
      </c>
      <c r="E479" s="1">
        <v>6.9</v>
      </c>
      <c r="F479" s="1">
        <v>75</v>
      </c>
      <c r="G479" s="1">
        <v>594210994</v>
      </c>
      <c r="H479" s="1">
        <v>83</v>
      </c>
      <c r="I479" s="1">
        <v>20</v>
      </c>
      <c r="J479" s="1">
        <v>76</v>
      </c>
      <c r="K479" s="1">
        <v>89</v>
      </c>
      <c r="L479" s="1" t="s">
        <v>26</v>
      </c>
    </row>
    <row r="480" spans="1:12" x14ac:dyDescent="0.25">
      <c r="A480" s="1" t="s">
        <v>27</v>
      </c>
      <c r="B480" s="1" t="s">
        <v>22</v>
      </c>
      <c r="C480" s="1">
        <v>2021</v>
      </c>
      <c r="D480" s="1">
        <v>56526</v>
      </c>
      <c r="E480" s="1">
        <v>7.8</v>
      </c>
      <c r="F480" s="1">
        <v>80</v>
      </c>
      <c r="G480" s="1">
        <v>280171661</v>
      </c>
      <c r="H480" s="1">
        <v>74</v>
      </c>
      <c r="I480" s="1">
        <v>24.7</v>
      </c>
      <c r="J480" s="1">
        <v>78</v>
      </c>
      <c r="K480" s="1">
        <v>80</v>
      </c>
      <c r="L480" s="1" t="s">
        <v>14</v>
      </c>
    </row>
    <row r="481" spans="1:12" x14ac:dyDescent="0.25">
      <c r="A481" s="1" t="s">
        <v>28</v>
      </c>
      <c r="B481" s="1" t="s">
        <v>29</v>
      </c>
      <c r="C481" s="1">
        <v>2021</v>
      </c>
      <c r="D481" s="1">
        <v>32492</v>
      </c>
      <c r="E481" s="1">
        <v>4.9000000000000004</v>
      </c>
      <c r="F481" s="1">
        <v>68</v>
      </c>
      <c r="G481" s="1">
        <v>1321707077</v>
      </c>
      <c r="H481" s="1">
        <v>85</v>
      </c>
      <c r="I481" s="1">
        <v>4.5</v>
      </c>
      <c r="J481" s="1">
        <v>88</v>
      </c>
      <c r="K481" s="1">
        <v>35</v>
      </c>
      <c r="L481" s="1" t="s">
        <v>29</v>
      </c>
    </row>
    <row r="482" spans="1:12" x14ac:dyDescent="0.25">
      <c r="A482" s="1" t="s">
        <v>12</v>
      </c>
      <c r="B482" s="1" t="s">
        <v>13</v>
      </c>
      <c r="C482" s="1">
        <v>2022</v>
      </c>
      <c r="D482" s="1">
        <v>11255</v>
      </c>
      <c r="E482" s="1">
        <v>13.7</v>
      </c>
      <c r="F482" s="1">
        <v>64</v>
      </c>
      <c r="G482" s="1">
        <v>1404371911</v>
      </c>
      <c r="H482" s="1">
        <v>64</v>
      </c>
      <c r="I482" s="1">
        <v>5.7</v>
      </c>
      <c r="J482" s="1">
        <v>80</v>
      </c>
      <c r="K482" s="1">
        <v>82</v>
      </c>
      <c r="L482" s="1" t="s">
        <v>14</v>
      </c>
    </row>
    <row r="483" spans="1:12" x14ac:dyDescent="0.25">
      <c r="A483" s="1" t="s">
        <v>15</v>
      </c>
      <c r="B483" s="1" t="s">
        <v>16</v>
      </c>
      <c r="C483" s="1">
        <v>2020</v>
      </c>
      <c r="D483" s="1">
        <v>12092</v>
      </c>
      <c r="E483" s="1">
        <v>5.6</v>
      </c>
      <c r="F483" s="1">
        <v>76</v>
      </c>
      <c r="G483" s="1">
        <v>728503315</v>
      </c>
      <c r="H483" s="1">
        <v>53</v>
      </c>
      <c r="I483" s="1">
        <v>15.3</v>
      </c>
      <c r="J483" s="1">
        <v>96</v>
      </c>
      <c r="K483" s="1">
        <v>61</v>
      </c>
      <c r="L483" s="1" t="s">
        <v>16</v>
      </c>
    </row>
    <row r="484" spans="1:12" x14ac:dyDescent="0.25">
      <c r="A484" s="1" t="s">
        <v>17</v>
      </c>
      <c r="B484" s="1" t="s">
        <v>18</v>
      </c>
      <c r="C484" s="1">
        <v>2020</v>
      </c>
      <c r="D484" s="1">
        <v>28685</v>
      </c>
      <c r="E484" s="1">
        <v>6.9</v>
      </c>
      <c r="F484" s="1">
        <v>67</v>
      </c>
      <c r="G484" s="1">
        <v>553857175</v>
      </c>
      <c r="H484" s="1">
        <v>83</v>
      </c>
      <c r="I484" s="1">
        <v>21.1</v>
      </c>
      <c r="J484" s="1">
        <v>97</v>
      </c>
      <c r="K484" s="1">
        <v>67</v>
      </c>
      <c r="L484" s="1" t="s">
        <v>18</v>
      </c>
    </row>
    <row r="485" spans="1:12" x14ac:dyDescent="0.25">
      <c r="A485" s="1" t="s">
        <v>19</v>
      </c>
      <c r="B485" s="1" t="s">
        <v>20</v>
      </c>
      <c r="C485" s="1">
        <v>2021</v>
      </c>
      <c r="D485" s="1">
        <v>67299</v>
      </c>
      <c r="E485" s="1">
        <v>10.3</v>
      </c>
      <c r="F485" s="1">
        <v>76</v>
      </c>
      <c r="G485" s="1">
        <v>666443325</v>
      </c>
      <c r="H485" s="1">
        <v>66</v>
      </c>
      <c r="I485" s="1">
        <v>16.5</v>
      </c>
      <c r="J485" s="1">
        <v>95</v>
      </c>
      <c r="K485" s="1">
        <v>53</v>
      </c>
      <c r="L485" s="1" t="s">
        <v>20</v>
      </c>
    </row>
    <row r="486" spans="1:12" x14ac:dyDescent="0.25">
      <c r="A486" s="1" t="s">
        <v>21</v>
      </c>
      <c r="B486" s="1" t="s">
        <v>22</v>
      </c>
      <c r="C486" s="1">
        <v>2022</v>
      </c>
      <c r="D486" s="1">
        <v>2082</v>
      </c>
      <c r="E486" s="1">
        <v>11.6</v>
      </c>
      <c r="F486" s="1">
        <v>71</v>
      </c>
      <c r="G486" s="1">
        <v>1481031812</v>
      </c>
      <c r="H486" s="1">
        <v>91</v>
      </c>
      <c r="I486" s="1">
        <v>18.399999999999999</v>
      </c>
      <c r="J486" s="1">
        <v>90</v>
      </c>
      <c r="K486" s="1">
        <v>82</v>
      </c>
      <c r="L486" s="1" t="s">
        <v>14</v>
      </c>
    </row>
    <row r="487" spans="1:12" x14ac:dyDescent="0.25">
      <c r="A487" s="1" t="s">
        <v>23</v>
      </c>
      <c r="B487" s="1" t="s">
        <v>18</v>
      </c>
      <c r="C487" s="1">
        <v>2020</v>
      </c>
      <c r="D487" s="1">
        <v>20870</v>
      </c>
      <c r="E487" s="1">
        <v>9.1</v>
      </c>
      <c r="F487" s="1">
        <v>84</v>
      </c>
      <c r="G487" s="1">
        <v>604185716</v>
      </c>
      <c r="H487" s="1">
        <v>73</v>
      </c>
      <c r="I487" s="1">
        <v>8.6999999999999993</v>
      </c>
      <c r="J487" s="1">
        <v>97</v>
      </c>
      <c r="K487" s="1">
        <v>46</v>
      </c>
      <c r="L487" s="1" t="s">
        <v>18</v>
      </c>
    </row>
    <row r="488" spans="1:12" x14ac:dyDescent="0.25">
      <c r="A488" s="1" t="s">
        <v>24</v>
      </c>
      <c r="B488" s="1" t="s">
        <v>16</v>
      </c>
      <c r="C488" s="1">
        <v>2021</v>
      </c>
      <c r="D488" s="1">
        <v>23678</v>
      </c>
      <c r="E488" s="1">
        <v>5.0999999999999996</v>
      </c>
      <c r="F488" s="1">
        <v>66</v>
      </c>
      <c r="G488" s="1">
        <v>1367456600</v>
      </c>
      <c r="H488" s="1">
        <v>62</v>
      </c>
      <c r="I488" s="1">
        <v>9.8000000000000007</v>
      </c>
      <c r="J488" s="1">
        <v>79</v>
      </c>
      <c r="K488" s="1">
        <v>62</v>
      </c>
      <c r="L488" s="1" t="s">
        <v>16</v>
      </c>
    </row>
    <row r="489" spans="1:12" x14ac:dyDescent="0.25">
      <c r="A489" s="1" t="s">
        <v>25</v>
      </c>
      <c r="B489" s="1" t="s">
        <v>26</v>
      </c>
      <c r="C489" s="1">
        <v>2021</v>
      </c>
      <c r="D489" s="1">
        <v>16381</v>
      </c>
      <c r="E489" s="1">
        <v>3</v>
      </c>
      <c r="F489" s="1">
        <v>81</v>
      </c>
      <c r="G489" s="1">
        <v>1357389161</v>
      </c>
      <c r="H489" s="1">
        <v>81</v>
      </c>
      <c r="I489" s="1">
        <v>20.5</v>
      </c>
      <c r="J489" s="1">
        <v>77</v>
      </c>
      <c r="K489" s="1">
        <v>35</v>
      </c>
      <c r="L489" s="1" t="s">
        <v>26</v>
      </c>
    </row>
    <row r="490" spans="1:12" x14ac:dyDescent="0.25">
      <c r="A490" s="1" t="s">
        <v>27</v>
      </c>
      <c r="B490" s="1" t="s">
        <v>22</v>
      </c>
      <c r="C490" s="1">
        <v>2021</v>
      </c>
      <c r="D490" s="1">
        <v>11700</v>
      </c>
      <c r="E490" s="1">
        <v>15.5</v>
      </c>
      <c r="F490" s="1">
        <v>79</v>
      </c>
      <c r="G490" s="1">
        <v>1273620927</v>
      </c>
      <c r="H490" s="1">
        <v>88</v>
      </c>
      <c r="I490" s="1">
        <v>2.9</v>
      </c>
      <c r="J490" s="1">
        <v>97</v>
      </c>
      <c r="K490" s="1">
        <v>30</v>
      </c>
      <c r="L490" s="1" t="s">
        <v>14</v>
      </c>
    </row>
    <row r="491" spans="1:12" x14ac:dyDescent="0.25">
      <c r="A491" s="1" t="s">
        <v>28</v>
      </c>
      <c r="B491" s="1" t="s">
        <v>29</v>
      </c>
      <c r="C491" s="1">
        <v>2022</v>
      </c>
      <c r="D491" s="1">
        <v>12967</v>
      </c>
      <c r="E491" s="1">
        <v>9.1</v>
      </c>
      <c r="F491" s="1">
        <v>84</v>
      </c>
      <c r="G491" s="1">
        <v>251745522</v>
      </c>
      <c r="H491" s="1">
        <v>76</v>
      </c>
      <c r="I491" s="1">
        <v>18.5</v>
      </c>
      <c r="J491" s="1">
        <v>86</v>
      </c>
      <c r="K491" s="1">
        <v>39</v>
      </c>
      <c r="L491" s="1" t="s">
        <v>29</v>
      </c>
    </row>
    <row r="492" spans="1:12" x14ac:dyDescent="0.25">
      <c r="A492" s="1" t="s">
        <v>12</v>
      </c>
      <c r="B492" s="1" t="s">
        <v>13</v>
      </c>
      <c r="C492" s="1">
        <v>2020</v>
      </c>
      <c r="D492" s="1">
        <v>66065</v>
      </c>
      <c r="E492" s="1">
        <v>6</v>
      </c>
      <c r="F492" s="1">
        <v>69</v>
      </c>
      <c r="G492" s="1">
        <v>906207894</v>
      </c>
      <c r="H492" s="1">
        <v>88</v>
      </c>
      <c r="I492" s="1">
        <v>9.1</v>
      </c>
      <c r="J492" s="1">
        <v>70</v>
      </c>
      <c r="K492" s="1">
        <v>79</v>
      </c>
      <c r="L492" s="1" t="s">
        <v>14</v>
      </c>
    </row>
    <row r="493" spans="1:12" x14ac:dyDescent="0.25">
      <c r="A493" s="1" t="s">
        <v>15</v>
      </c>
      <c r="B493" s="1" t="s">
        <v>16</v>
      </c>
      <c r="C493" s="1">
        <v>2020</v>
      </c>
      <c r="D493" s="1">
        <v>65194</v>
      </c>
      <c r="E493" s="1">
        <v>8.9</v>
      </c>
      <c r="F493" s="1">
        <v>66</v>
      </c>
      <c r="G493" s="1">
        <v>1294675280</v>
      </c>
      <c r="H493" s="1">
        <v>58</v>
      </c>
      <c r="I493" s="1">
        <v>22.9</v>
      </c>
      <c r="J493" s="1">
        <v>94</v>
      </c>
      <c r="K493" s="1">
        <v>71</v>
      </c>
      <c r="L493" s="1" t="s">
        <v>16</v>
      </c>
    </row>
    <row r="494" spans="1:12" x14ac:dyDescent="0.25">
      <c r="A494" s="1" t="s">
        <v>17</v>
      </c>
      <c r="B494" s="1" t="s">
        <v>18</v>
      </c>
      <c r="C494" s="1">
        <v>2022</v>
      </c>
      <c r="D494" s="1">
        <v>54167</v>
      </c>
      <c r="E494" s="1">
        <v>14.3</v>
      </c>
      <c r="F494" s="1">
        <v>64</v>
      </c>
      <c r="G494" s="1">
        <v>1443738440</v>
      </c>
      <c r="H494" s="1">
        <v>50</v>
      </c>
      <c r="I494" s="1">
        <v>15.4</v>
      </c>
      <c r="J494" s="1">
        <v>88</v>
      </c>
      <c r="K494" s="1">
        <v>85</v>
      </c>
      <c r="L494" s="1" t="s">
        <v>18</v>
      </c>
    </row>
    <row r="495" spans="1:12" x14ac:dyDescent="0.25">
      <c r="A495" s="1" t="s">
        <v>19</v>
      </c>
      <c r="B495" s="1" t="s">
        <v>20</v>
      </c>
      <c r="C495" s="1">
        <v>2021</v>
      </c>
      <c r="D495" s="1">
        <v>5215</v>
      </c>
      <c r="E495" s="1">
        <v>6.5</v>
      </c>
      <c r="F495" s="1">
        <v>69</v>
      </c>
      <c r="G495" s="1">
        <v>569600951</v>
      </c>
      <c r="H495" s="1">
        <v>94</v>
      </c>
      <c r="I495" s="1">
        <v>22.4</v>
      </c>
      <c r="J495" s="1">
        <v>93</v>
      </c>
      <c r="K495" s="1">
        <v>62</v>
      </c>
      <c r="L495" s="1" t="s">
        <v>20</v>
      </c>
    </row>
    <row r="496" spans="1:12" x14ac:dyDescent="0.25">
      <c r="A496" s="1" t="s">
        <v>21</v>
      </c>
      <c r="B496" s="1" t="s">
        <v>22</v>
      </c>
      <c r="C496" s="1">
        <v>2022</v>
      </c>
      <c r="D496" s="1">
        <v>43771</v>
      </c>
      <c r="E496" s="1">
        <v>4.3</v>
      </c>
      <c r="F496" s="1">
        <v>71</v>
      </c>
      <c r="G496" s="1">
        <v>1475110392</v>
      </c>
      <c r="H496" s="1">
        <v>58</v>
      </c>
      <c r="I496" s="1">
        <v>12.8</v>
      </c>
      <c r="J496" s="1">
        <v>70</v>
      </c>
      <c r="K496" s="1">
        <v>59</v>
      </c>
      <c r="L496" s="1" t="s">
        <v>14</v>
      </c>
    </row>
    <row r="497" spans="1:12" x14ac:dyDescent="0.25">
      <c r="A497" s="1" t="s">
        <v>23</v>
      </c>
      <c r="B497" s="1" t="s">
        <v>18</v>
      </c>
      <c r="C497" s="1">
        <v>2021</v>
      </c>
      <c r="D497" s="1">
        <v>50360</v>
      </c>
      <c r="E497" s="1">
        <v>15.4</v>
      </c>
      <c r="F497" s="1">
        <v>78</v>
      </c>
      <c r="G497" s="1">
        <v>1173779390</v>
      </c>
      <c r="H497" s="1">
        <v>58</v>
      </c>
      <c r="I497" s="1">
        <v>20.5</v>
      </c>
      <c r="J497" s="1">
        <v>85</v>
      </c>
      <c r="K497" s="1">
        <v>52</v>
      </c>
      <c r="L497" s="1" t="s">
        <v>18</v>
      </c>
    </row>
    <row r="498" spans="1:12" x14ac:dyDescent="0.25">
      <c r="A498" s="1" t="s">
        <v>24</v>
      </c>
      <c r="B498" s="1" t="s">
        <v>16</v>
      </c>
      <c r="C498" s="1">
        <v>2022</v>
      </c>
      <c r="D498" s="1">
        <v>45389</v>
      </c>
      <c r="E498" s="1">
        <v>7.9</v>
      </c>
      <c r="F498" s="1">
        <v>69</v>
      </c>
      <c r="G498" s="1">
        <v>10172880</v>
      </c>
      <c r="H498" s="1">
        <v>70</v>
      </c>
      <c r="I498" s="1">
        <v>19.899999999999999</v>
      </c>
      <c r="J498" s="1">
        <v>94</v>
      </c>
      <c r="K498" s="1">
        <v>42</v>
      </c>
      <c r="L498" s="1" t="s">
        <v>16</v>
      </c>
    </row>
    <row r="499" spans="1:12" x14ac:dyDescent="0.25">
      <c r="A499" s="1" t="s">
        <v>25</v>
      </c>
      <c r="B499" s="1" t="s">
        <v>26</v>
      </c>
      <c r="C499" s="1">
        <v>2021</v>
      </c>
      <c r="D499" s="1">
        <v>10166</v>
      </c>
      <c r="E499" s="1">
        <v>4.9000000000000004</v>
      </c>
      <c r="F499" s="1">
        <v>67</v>
      </c>
      <c r="G499" s="1">
        <v>1045842962</v>
      </c>
      <c r="H499" s="1">
        <v>89</v>
      </c>
      <c r="I499" s="1">
        <v>15.2</v>
      </c>
      <c r="J499" s="1">
        <v>92</v>
      </c>
      <c r="K499" s="1">
        <v>45</v>
      </c>
      <c r="L499" s="1" t="s">
        <v>26</v>
      </c>
    </row>
    <row r="500" spans="1:12" x14ac:dyDescent="0.25">
      <c r="A500" s="1" t="s">
        <v>27</v>
      </c>
      <c r="B500" s="1" t="s">
        <v>22</v>
      </c>
      <c r="C500" s="1">
        <v>2020</v>
      </c>
      <c r="D500" s="1">
        <v>67116</v>
      </c>
      <c r="E500" s="1">
        <v>15.6</v>
      </c>
      <c r="F500" s="1">
        <v>72</v>
      </c>
      <c r="G500" s="1">
        <v>1227974417</v>
      </c>
      <c r="H500" s="1">
        <v>76</v>
      </c>
      <c r="I500" s="1">
        <v>7.4</v>
      </c>
      <c r="J500" s="1">
        <v>92</v>
      </c>
      <c r="K500" s="1">
        <v>86</v>
      </c>
      <c r="L500" s="1" t="s">
        <v>14</v>
      </c>
    </row>
    <row r="501" spans="1:12" x14ac:dyDescent="0.25">
      <c r="A501" s="1" t="s">
        <v>28</v>
      </c>
      <c r="B501" s="1" t="s">
        <v>29</v>
      </c>
      <c r="C501" s="1">
        <v>2020</v>
      </c>
      <c r="D501" s="1">
        <v>51044</v>
      </c>
      <c r="E501" s="1">
        <v>15.9</v>
      </c>
      <c r="F501" s="1">
        <v>82</v>
      </c>
      <c r="G501" s="1">
        <v>476370662</v>
      </c>
      <c r="H501" s="1">
        <v>94</v>
      </c>
      <c r="I501" s="1">
        <v>21.9</v>
      </c>
      <c r="J501" s="1">
        <v>87</v>
      </c>
      <c r="K501" s="1">
        <v>44</v>
      </c>
      <c r="L501" s="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01"/>
  <sheetViews>
    <sheetView topLeftCell="I1" workbookViewId="0">
      <selection activeCell="O6" sqref="O6"/>
    </sheetView>
  </sheetViews>
  <sheetFormatPr defaultRowHeight="15" x14ac:dyDescent="0.25"/>
  <cols>
    <col min="1" max="1" width="11.7109375" bestFit="1" customWidth="1"/>
    <col min="2" max="2" width="14" bestFit="1" customWidth="1"/>
    <col min="3" max="3" width="5.28515625" bestFit="1" customWidth="1"/>
    <col min="4" max="4" width="17" bestFit="1" customWidth="1"/>
    <col min="5" max="5" width="15" bestFit="1" customWidth="1"/>
    <col min="6" max="6" width="16.7109375" bestFit="1" customWidth="1"/>
    <col min="7" max="7" width="11.85546875" bestFit="1" customWidth="1"/>
    <col min="8" max="8" width="18.28515625" bestFit="1" customWidth="1"/>
    <col min="9" max="9" width="22.140625" bestFit="1" customWidth="1"/>
    <col min="10" max="11" width="14.42578125" bestFit="1" customWidth="1"/>
    <col min="12" max="12" width="14" bestFit="1" customWidth="1"/>
    <col min="13" max="13" width="15.42578125" bestFit="1" customWidth="1"/>
    <col min="14" max="14" width="14.28515625" bestFit="1" customWidth="1"/>
    <col min="15" max="15" width="17.5703125" bestFit="1" customWidth="1"/>
    <col min="16" max="16" width="20.5703125" bestFit="1" customWidth="1"/>
    <col min="17" max="17" width="9.42578125" bestFit="1" customWidth="1"/>
  </cols>
  <sheetData>
    <row r="1" spans="1:17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</row>
    <row r="2" spans="1:17" x14ac:dyDescent="0.25">
      <c r="A2" s="1" t="str">
        <f>Main_Data!A2</f>
        <v>India</v>
      </c>
      <c r="B2" s="1" t="str">
        <f>Main_Data!B2</f>
        <v>South Asia</v>
      </c>
      <c r="C2" s="1">
        <f>Main_Data!C2</f>
        <v>2021</v>
      </c>
      <c r="D2" s="1">
        <f>Main_Data!D2</f>
        <v>28697</v>
      </c>
      <c r="E2" s="1">
        <f>Main_Data!E2</f>
        <v>10.7</v>
      </c>
      <c r="F2" s="1">
        <f>Main_Data!F2</f>
        <v>68</v>
      </c>
      <c r="G2" s="1">
        <f>Main_Data!G2</f>
        <v>320755470</v>
      </c>
      <c r="H2" s="1">
        <f>Main_Data!H2</f>
        <v>65</v>
      </c>
      <c r="I2" s="1">
        <f>Main_Data!I2</f>
        <v>21</v>
      </c>
      <c r="J2" s="1">
        <f>Main_Data!J2</f>
        <v>87</v>
      </c>
      <c r="K2" s="1">
        <f>Main_Data!K2</f>
        <v>43</v>
      </c>
      <c r="L2" s="1" t="str">
        <f>Main_Data!L2</f>
        <v>Asia</v>
      </c>
      <c r="M2" s="1" t="str">
        <f>PROPER(TRIM(Main_Data!A2))</f>
        <v>India</v>
      </c>
      <c r="N2" s="1" t="str">
        <f>PROPER(TRIM(Main_Data!B2))</f>
        <v>South Asia</v>
      </c>
      <c r="O2" s="1" t="str" cm="1">
        <f t="array" ref="O2">_xlfn.IFS(F2&gt;=80,"Very High",F2&gt;=70,"High",F2&gt;=60,"Medium",TRUE,"Low")</f>
        <v>Medium</v>
      </c>
      <c r="P2" s="1" t="str" cm="1">
        <f t="array" ref="P2">_xlfn.IFS(D2&gt;=40000,"High Income",D2&gt;=15000,"Middle Income",TRUE,"Low Income")</f>
        <v>Middle Income</v>
      </c>
      <c r="Q2" s="1" t="str">
        <f>IF(COUNTIFS(A:A,A2,C:C,C2)&gt;1,"Duplicate","OK")</f>
        <v>Duplicate</v>
      </c>
    </row>
    <row r="3" spans="1:17" x14ac:dyDescent="0.25">
      <c r="A3" s="1" t="str">
        <f>Main_Data!A3</f>
        <v>USA</v>
      </c>
      <c r="B3" s="1" t="str">
        <f>Main_Data!B3</f>
        <v>North America</v>
      </c>
      <c r="C3" s="1">
        <f>Main_Data!C3</f>
        <v>2021</v>
      </c>
      <c r="D3" s="1">
        <f>Main_Data!D3</f>
        <v>9328</v>
      </c>
      <c r="E3" s="1">
        <f>Main_Data!E3</f>
        <v>9.1</v>
      </c>
      <c r="F3" s="1">
        <f>Main_Data!F3</f>
        <v>61</v>
      </c>
      <c r="G3" s="1">
        <f>Main_Data!G3</f>
        <v>779975845</v>
      </c>
      <c r="H3" s="1">
        <f>Main_Data!H3</f>
        <v>54</v>
      </c>
      <c r="I3" s="1">
        <f>Main_Data!I3</f>
        <v>7.5</v>
      </c>
      <c r="J3" s="1">
        <f>Main_Data!J3</f>
        <v>86</v>
      </c>
      <c r="K3" s="1">
        <f>Main_Data!K3</f>
        <v>51</v>
      </c>
      <c r="L3" s="1" t="str">
        <f>Main_Data!L3</f>
        <v>North America</v>
      </c>
      <c r="M3" s="1" t="str">
        <f>PROPER(TRIM(Main_Data!A3))</f>
        <v>Usa</v>
      </c>
      <c r="N3" s="1" t="str">
        <f>PROPER(TRIM(Main_Data!B3))</f>
        <v>North America</v>
      </c>
      <c r="O3" s="1" t="str" cm="1">
        <f t="array" ref="O3">_xlfn.IFS(F3&gt;=80,"Very High",F3&gt;=70,"High",F3&gt;=60,"Medium",TRUE,"Low")</f>
        <v>Medium</v>
      </c>
      <c r="P3" s="1" t="str" cm="1">
        <f t="array" ref="P3">_xlfn.IFS(D3&gt;=40000,"High Income",D3&gt;=15000,"Middle Income",TRUE,"Low Income")</f>
        <v>Low Income</v>
      </c>
      <c r="Q3" s="1" t="str">
        <f t="shared" ref="Q3:Q66" si="0">IF(COUNTIFS(A:A,A3,C:C,C3)&gt;1,"Duplicate","OK")</f>
        <v>Duplicate</v>
      </c>
    </row>
    <row r="4" spans="1:17" x14ac:dyDescent="0.25">
      <c r="A4" s="1" t="str">
        <f>Main_Data!A4</f>
        <v>Germany</v>
      </c>
      <c r="B4" s="1" t="str">
        <f>Main_Data!B4</f>
        <v>Europe</v>
      </c>
      <c r="C4" s="1">
        <f>Main_Data!C4</f>
        <v>2022</v>
      </c>
      <c r="D4" s="1">
        <f>Main_Data!D4</f>
        <v>32915</v>
      </c>
      <c r="E4" s="1">
        <f>Main_Data!E4</f>
        <v>7.3</v>
      </c>
      <c r="F4" s="1">
        <f>Main_Data!F4</f>
        <v>81</v>
      </c>
      <c r="G4" s="1">
        <f>Main_Data!G4</f>
        <v>1024677989</v>
      </c>
      <c r="H4" s="1">
        <f>Main_Data!H4</f>
        <v>84</v>
      </c>
      <c r="I4" s="1">
        <f>Main_Data!I4</f>
        <v>22</v>
      </c>
      <c r="J4" s="1">
        <f>Main_Data!J4</f>
        <v>86</v>
      </c>
      <c r="K4" s="1">
        <f>Main_Data!K4</f>
        <v>88</v>
      </c>
      <c r="L4" s="1" t="str">
        <f>Main_Data!L4</f>
        <v>Europe</v>
      </c>
      <c r="M4" s="1" t="str">
        <f>PROPER(TRIM(Main_Data!A4))</f>
        <v>Germany</v>
      </c>
      <c r="N4" s="1" t="str">
        <f>PROPER(TRIM(Main_Data!B4))</f>
        <v>Europe</v>
      </c>
      <c r="O4" s="1" t="str" cm="1">
        <f t="array" ref="O4">_xlfn.IFS(F4&gt;=80,"Very High",F4&gt;=70,"High",F4&gt;=60,"Medium",TRUE,"Low")</f>
        <v>Very High</v>
      </c>
      <c r="P4" s="1" t="str" cm="1">
        <f t="array" ref="P4">_xlfn.IFS(D4&gt;=40000,"High Income",D4&gt;=15000,"Middle Income",TRUE,"Low Income")</f>
        <v>Middle Income</v>
      </c>
      <c r="Q4" s="1" t="str">
        <f t="shared" si="0"/>
        <v>Duplicate</v>
      </c>
    </row>
    <row r="5" spans="1:17" x14ac:dyDescent="0.25">
      <c r="A5" s="1" t="str">
        <f>Main_Data!A5</f>
        <v>Brazil</v>
      </c>
      <c r="B5" s="1" t="str">
        <f>Main_Data!B5</f>
        <v>South America</v>
      </c>
      <c r="C5" s="1">
        <f>Main_Data!C5</f>
        <v>2022</v>
      </c>
      <c r="D5" s="1">
        <f>Main_Data!D5</f>
        <v>48330</v>
      </c>
      <c r="E5" s="1">
        <f>Main_Data!E5</f>
        <v>11.3</v>
      </c>
      <c r="F5" s="1">
        <f>Main_Data!F5</f>
        <v>73</v>
      </c>
      <c r="G5" s="1">
        <f>Main_Data!G5</f>
        <v>11982489</v>
      </c>
      <c r="H5" s="1">
        <f>Main_Data!H5</f>
        <v>75</v>
      </c>
      <c r="I5" s="1">
        <f>Main_Data!I5</f>
        <v>16.3</v>
      </c>
      <c r="J5" s="1">
        <f>Main_Data!J5</f>
        <v>70</v>
      </c>
      <c r="K5" s="1">
        <f>Main_Data!K5</f>
        <v>60</v>
      </c>
      <c r="L5" s="1" t="str">
        <f>Main_Data!L5</f>
        <v>South America</v>
      </c>
      <c r="M5" s="1" t="str">
        <f>PROPER(TRIM(Main_Data!A5))</f>
        <v>Brazil</v>
      </c>
      <c r="N5" s="1" t="str">
        <f>PROPER(TRIM(Main_Data!B5))</f>
        <v>South America</v>
      </c>
      <c r="O5" s="1" t="str" cm="1">
        <f t="array" ref="O5">_xlfn.IFS(F5&gt;=80,"Very High",F5&gt;=70,"High",F5&gt;=60,"Medium",TRUE,"Low")</f>
        <v>High</v>
      </c>
      <c r="P5" s="1" t="str" cm="1">
        <f t="array" ref="P5">_xlfn.IFS(D5&gt;=40000,"High Income",D5&gt;=15000,"Middle Income",TRUE,"Low Income")</f>
        <v>High Income</v>
      </c>
      <c r="Q5" s="1" t="str">
        <f t="shared" si="0"/>
        <v>Duplicate</v>
      </c>
    </row>
    <row r="6" spans="1:17" x14ac:dyDescent="0.25">
      <c r="A6" s="1" t="str">
        <f>Main_Data!A6</f>
        <v>China</v>
      </c>
      <c r="B6" s="1" t="str">
        <f>Main_Data!B6</f>
        <v>East Asia</v>
      </c>
      <c r="C6" s="1">
        <f>Main_Data!C6</f>
        <v>2021</v>
      </c>
      <c r="D6" s="1">
        <f>Main_Data!D6</f>
        <v>46701</v>
      </c>
      <c r="E6" s="1">
        <f>Main_Data!E6</f>
        <v>6.7</v>
      </c>
      <c r="F6" s="1">
        <f>Main_Data!F6</f>
        <v>84</v>
      </c>
      <c r="G6" s="1">
        <f>Main_Data!G6</f>
        <v>1398599595</v>
      </c>
      <c r="H6" s="1">
        <f>Main_Data!H6</f>
        <v>66</v>
      </c>
      <c r="I6" s="1">
        <f>Main_Data!I6</f>
        <v>18</v>
      </c>
      <c r="J6" s="1">
        <f>Main_Data!J6</f>
        <v>94</v>
      </c>
      <c r="K6" s="1">
        <f>Main_Data!K6</f>
        <v>87</v>
      </c>
      <c r="L6" s="1" t="str">
        <f>Main_Data!L6</f>
        <v>Asia</v>
      </c>
      <c r="M6" s="1" t="str">
        <f>PROPER(TRIM(Main_Data!A6))</f>
        <v>China</v>
      </c>
      <c r="N6" s="1" t="str">
        <f>PROPER(TRIM(Main_Data!B6))</f>
        <v>East Asia</v>
      </c>
      <c r="O6" s="1" t="str" cm="1">
        <f t="array" ref="O6">_xlfn.IFS(F6&gt;=80,"Very High",F6&gt;=70,"High",F6&gt;=60,"Medium",TRUE,"Low")</f>
        <v>Very High</v>
      </c>
      <c r="P6" s="1" t="str" cm="1">
        <f t="array" ref="P6">_xlfn.IFS(D6&gt;=40000,"High Income",D6&gt;=15000,"Middle Income",TRUE,"Low Income")</f>
        <v>High Income</v>
      </c>
      <c r="Q6" s="1" t="str">
        <f t="shared" si="0"/>
        <v>Duplicate</v>
      </c>
    </row>
    <row r="7" spans="1:17" x14ac:dyDescent="0.25">
      <c r="A7" s="1" t="str">
        <f>Main_Data!A7</f>
        <v>UK</v>
      </c>
      <c r="B7" s="1" t="str">
        <f>Main_Data!B7</f>
        <v>Europe</v>
      </c>
      <c r="C7" s="1">
        <f>Main_Data!C7</f>
        <v>2020</v>
      </c>
      <c r="D7" s="1">
        <f>Main_Data!D7</f>
        <v>53760</v>
      </c>
      <c r="E7" s="1">
        <f>Main_Data!E7</f>
        <v>13.9</v>
      </c>
      <c r="F7" s="1">
        <f>Main_Data!F7</f>
        <v>65</v>
      </c>
      <c r="G7" s="1">
        <f>Main_Data!G7</f>
        <v>225142920</v>
      </c>
      <c r="H7" s="1">
        <f>Main_Data!H7</f>
        <v>80</v>
      </c>
      <c r="I7" s="1">
        <f>Main_Data!I7</f>
        <v>4</v>
      </c>
      <c r="J7" s="1">
        <f>Main_Data!J7</f>
        <v>92</v>
      </c>
      <c r="K7" s="1">
        <f>Main_Data!K7</f>
        <v>39</v>
      </c>
      <c r="L7" s="1" t="str">
        <f>Main_Data!L7</f>
        <v>Europe</v>
      </c>
      <c r="M7" s="1" t="str">
        <f>PROPER(TRIM(Main_Data!A7))</f>
        <v>Uk</v>
      </c>
      <c r="N7" s="1" t="str">
        <f>PROPER(TRIM(Main_Data!B7))</f>
        <v>Europe</v>
      </c>
      <c r="O7" s="1" t="str" cm="1">
        <f t="array" ref="O7">_xlfn.IFS(F7&gt;=80,"Very High",F7&gt;=70,"High",F7&gt;=60,"Medium",TRUE,"Low")</f>
        <v>Medium</v>
      </c>
      <c r="P7" s="1" t="str" cm="1">
        <f t="array" ref="P7">_xlfn.IFS(D7&gt;=40000,"High Income",D7&gt;=15000,"Middle Income",TRUE,"Low Income")</f>
        <v>High Income</v>
      </c>
      <c r="Q7" s="1" t="str">
        <f t="shared" si="0"/>
        <v>Duplicate</v>
      </c>
    </row>
    <row r="8" spans="1:17" x14ac:dyDescent="0.25">
      <c r="A8" s="1" t="str">
        <f>Main_Data!A8</f>
        <v>Canada</v>
      </c>
      <c r="B8" s="1" t="str">
        <f>Main_Data!B8</f>
        <v>North America</v>
      </c>
      <c r="C8" s="1">
        <f>Main_Data!C8</f>
        <v>2021</v>
      </c>
      <c r="D8" s="1">
        <f>Main_Data!D8</f>
        <v>49493</v>
      </c>
      <c r="E8" s="1">
        <f>Main_Data!E8</f>
        <v>11.8</v>
      </c>
      <c r="F8" s="1">
        <f>Main_Data!F8</f>
        <v>76</v>
      </c>
      <c r="G8" s="1">
        <f>Main_Data!G8</f>
        <v>1025519857</v>
      </c>
      <c r="H8" s="1">
        <f>Main_Data!H8</f>
        <v>87</v>
      </c>
      <c r="I8" s="1">
        <f>Main_Data!I8</f>
        <v>10</v>
      </c>
      <c r="J8" s="1">
        <f>Main_Data!J8</f>
        <v>81</v>
      </c>
      <c r="K8" s="1">
        <f>Main_Data!K8</f>
        <v>42</v>
      </c>
      <c r="L8" s="1" t="str">
        <f>Main_Data!L8</f>
        <v>North America</v>
      </c>
      <c r="M8" s="1" t="str">
        <f>PROPER(TRIM(Main_Data!A8))</f>
        <v>Canada</v>
      </c>
      <c r="N8" s="1" t="str">
        <f>PROPER(TRIM(Main_Data!B8))</f>
        <v>North America</v>
      </c>
      <c r="O8" s="1" t="str" cm="1">
        <f t="array" ref="O8">_xlfn.IFS(F8&gt;=80,"Very High",F8&gt;=70,"High",F8&gt;=60,"Medium",TRUE,"Low")</f>
        <v>High</v>
      </c>
      <c r="P8" s="1" t="str" cm="1">
        <f t="array" ref="P8">_xlfn.IFS(D8&gt;=40000,"High Income",D8&gt;=15000,"Middle Income",TRUE,"Low Income")</f>
        <v>High Income</v>
      </c>
      <c r="Q8" s="1" t="str">
        <f t="shared" si="0"/>
        <v>Duplicate</v>
      </c>
    </row>
    <row r="9" spans="1:17" x14ac:dyDescent="0.25">
      <c r="A9" s="1" t="str">
        <f>Main_Data!A9</f>
        <v>Australia</v>
      </c>
      <c r="B9" s="1" t="str">
        <f>Main_Data!B9</f>
        <v>Oceania</v>
      </c>
      <c r="C9" s="1">
        <f>Main_Data!C9</f>
        <v>2020</v>
      </c>
      <c r="D9" s="1">
        <f>Main_Data!D9</f>
        <v>33504</v>
      </c>
      <c r="E9" s="1">
        <f>Main_Data!E9</f>
        <v>9.9</v>
      </c>
      <c r="F9" s="1">
        <f>Main_Data!F9</f>
        <v>71</v>
      </c>
      <c r="G9" s="1">
        <f>Main_Data!G9</f>
        <v>997430905</v>
      </c>
      <c r="H9" s="1">
        <f>Main_Data!H9</f>
        <v>84</v>
      </c>
      <c r="I9" s="1">
        <f>Main_Data!I9</f>
        <v>6.4</v>
      </c>
      <c r="J9" s="1">
        <f>Main_Data!J9</f>
        <v>96</v>
      </c>
      <c r="K9" s="1">
        <f>Main_Data!K9</f>
        <v>64</v>
      </c>
      <c r="L9" s="1" t="str">
        <f>Main_Data!L9</f>
        <v>Oceania</v>
      </c>
      <c r="M9" s="1" t="str">
        <f>PROPER(TRIM(Main_Data!A9))</f>
        <v>Australia</v>
      </c>
      <c r="N9" s="1" t="str">
        <f>PROPER(TRIM(Main_Data!B9))</f>
        <v>Oceania</v>
      </c>
      <c r="O9" s="1" t="str" cm="1">
        <f t="array" ref="O9">_xlfn.IFS(F9&gt;=80,"Very High",F9&gt;=70,"High",F9&gt;=60,"Medium",TRUE,"Low")</f>
        <v>High</v>
      </c>
      <c r="P9" s="1" t="str" cm="1">
        <f t="array" ref="P9">_xlfn.IFS(D9&gt;=40000,"High Income",D9&gt;=15000,"Middle Income",TRUE,"Low Income")</f>
        <v>Middle Income</v>
      </c>
      <c r="Q9" s="1" t="str">
        <f t="shared" si="0"/>
        <v>Duplicate</v>
      </c>
    </row>
    <row r="10" spans="1:17" x14ac:dyDescent="0.25">
      <c r="A10" s="1" t="str">
        <f>Main_Data!A10</f>
        <v>Japan</v>
      </c>
      <c r="B10" s="1" t="str">
        <f>Main_Data!B10</f>
        <v>East Asia</v>
      </c>
      <c r="C10" s="1">
        <f>Main_Data!C10</f>
        <v>2020</v>
      </c>
      <c r="D10" s="1">
        <f>Main_Data!D10</f>
        <v>54027</v>
      </c>
      <c r="E10" s="1">
        <f>Main_Data!E10</f>
        <v>16.2</v>
      </c>
      <c r="F10" s="1">
        <f>Main_Data!F10</f>
        <v>78</v>
      </c>
      <c r="G10" s="1">
        <f>Main_Data!G10</f>
        <v>579162748</v>
      </c>
      <c r="H10" s="1">
        <f>Main_Data!H10</f>
        <v>76</v>
      </c>
      <c r="I10" s="1">
        <f>Main_Data!I10</f>
        <v>21.2</v>
      </c>
      <c r="J10" s="1">
        <f>Main_Data!J10</f>
        <v>88</v>
      </c>
      <c r="K10" s="1">
        <f>Main_Data!K10</f>
        <v>47</v>
      </c>
      <c r="L10" s="1" t="str">
        <f>Main_Data!L10</f>
        <v>Asia</v>
      </c>
      <c r="M10" s="1" t="str">
        <f>PROPER(TRIM(Main_Data!A10))</f>
        <v>Japan</v>
      </c>
      <c r="N10" s="1" t="str">
        <f>PROPER(TRIM(Main_Data!B10))</f>
        <v>East Asia</v>
      </c>
      <c r="O10" s="1" t="str" cm="1">
        <f t="array" ref="O10">_xlfn.IFS(F10&gt;=80,"Very High",F10&gt;=70,"High",F10&gt;=60,"Medium",TRUE,"Low")</f>
        <v>High</v>
      </c>
      <c r="P10" s="1" t="str" cm="1">
        <f t="array" ref="P10">_xlfn.IFS(D10&gt;=40000,"High Income",D10&gt;=15000,"Middle Income",TRUE,"Low Income")</f>
        <v>High Income</v>
      </c>
      <c r="Q10" s="1" t="str">
        <f t="shared" si="0"/>
        <v>Duplicate</v>
      </c>
    </row>
    <row r="11" spans="1:17" x14ac:dyDescent="0.25">
      <c r="A11" s="1" t="str">
        <f>Main_Data!A11</f>
        <v>South Africa</v>
      </c>
      <c r="B11" s="1" t="str">
        <f>Main_Data!B11</f>
        <v>Africa</v>
      </c>
      <c r="C11" s="1">
        <f>Main_Data!C11</f>
        <v>2020</v>
      </c>
      <c r="D11" s="1">
        <f>Main_Data!D11</f>
        <v>49580</v>
      </c>
      <c r="E11" s="1">
        <f>Main_Data!E11</f>
        <v>11.3</v>
      </c>
      <c r="F11" s="1">
        <f>Main_Data!F11</f>
        <v>65</v>
      </c>
      <c r="G11" s="1">
        <f>Main_Data!G11</f>
        <v>1150916965</v>
      </c>
      <c r="H11" s="1">
        <f>Main_Data!H11</f>
        <v>94</v>
      </c>
      <c r="I11" s="1">
        <f>Main_Data!I11</f>
        <v>7.7</v>
      </c>
      <c r="J11" s="1">
        <f>Main_Data!J11</f>
        <v>76</v>
      </c>
      <c r="K11" s="1">
        <f>Main_Data!K11</f>
        <v>65</v>
      </c>
      <c r="L11" s="1" t="str">
        <f>Main_Data!L11</f>
        <v>Africa</v>
      </c>
      <c r="M11" s="1" t="str">
        <f>PROPER(TRIM(Main_Data!A11))</f>
        <v>South Africa</v>
      </c>
      <c r="N11" s="1" t="str">
        <f>PROPER(TRIM(Main_Data!B11))</f>
        <v>Africa</v>
      </c>
      <c r="O11" s="1" t="str" cm="1">
        <f t="array" ref="O11">_xlfn.IFS(F11&gt;=80,"Very High",F11&gt;=70,"High",F11&gt;=60,"Medium",TRUE,"Low")</f>
        <v>Medium</v>
      </c>
      <c r="P11" s="1" t="str" cm="1">
        <f t="array" ref="P11">_xlfn.IFS(D11&gt;=40000,"High Income",D11&gt;=15000,"Middle Income",TRUE,"Low Income")</f>
        <v>High Income</v>
      </c>
      <c r="Q11" s="1" t="str">
        <f>IF(COUNTIFS(A:A,A11,C:C,C11)&gt;1,"Duplicate","OK")</f>
        <v>Duplicate</v>
      </c>
    </row>
    <row r="12" spans="1:17" x14ac:dyDescent="0.25">
      <c r="A12" s="1" t="str">
        <f>Main_Data!A12</f>
        <v>India</v>
      </c>
      <c r="B12" s="1" t="str">
        <f>Main_Data!B12</f>
        <v>South Asia</v>
      </c>
      <c r="C12" s="1">
        <f>Main_Data!C12</f>
        <v>2022</v>
      </c>
      <c r="D12" s="1">
        <f>Main_Data!D12</f>
        <v>12017</v>
      </c>
      <c r="E12" s="1">
        <f>Main_Data!E12</f>
        <v>6.9</v>
      </c>
      <c r="F12" s="1">
        <f>Main_Data!F12</f>
        <v>82</v>
      </c>
      <c r="G12" s="1">
        <f>Main_Data!G12</f>
        <v>583736500</v>
      </c>
      <c r="H12" s="1">
        <f>Main_Data!H12</f>
        <v>50</v>
      </c>
      <c r="I12" s="1">
        <f>Main_Data!I12</f>
        <v>13</v>
      </c>
      <c r="J12" s="1">
        <f>Main_Data!J12</f>
        <v>71</v>
      </c>
      <c r="K12" s="1">
        <f>Main_Data!K12</f>
        <v>72</v>
      </c>
      <c r="L12" s="1" t="str">
        <f>Main_Data!L12</f>
        <v>Asia</v>
      </c>
      <c r="M12" s="1" t="str">
        <f>PROPER(TRIM(Main_Data!A12))</f>
        <v>India</v>
      </c>
      <c r="N12" s="1" t="str">
        <f>PROPER(TRIM(Main_Data!B12))</f>
        <v>South Asia</v>
      </c>
      <c r="O12" s="1" t="str" cm="1">
        <f t="array" ref="O12">_xlfn.IFS(F12&gt;=80,"Very High",F12&gt;=70,"High",F12&gt;=60,"Medium",TRUE,"Low")</f>
        <v>Very High</v>
      </c>
      <c r="P12" s="1" t="str" cm="1">
        <f t="array" ref="P12">_xlfn.IFS(D12&gt;=40000,"High Income",D12&gt;=15000,"Middle Income",TRUE,"Low Income")</f>
        <v>Low Income</v>
      </c>
      <c r="Q12" s="1" t="str">
        <f t="shared" si="0"/>
        <v>Duplicate</v>
      </c>
    </row>
    <row r="13" spans="1:17" x14ac:dyDescent="0.25">
      <c r="A13" s="1" t="str">
        <f>Main_Data!A13</f>
        <v>USA</v>
      </c>
      <c r="B13" s="1" t="str">
        <f>Main_Data!B13</f>
        <v>North America</v>
      </c>
      <c r="C13" s="1">
        <f>Main_Data!C13</f>
        <v>2020</v>
      </c>
      <c r="D13" s="1">
        <f>Main_Data!D13</f>
        <v>32580</v>
      </c>
      <c r="E13" s="1">
        <f>Main_Data!E13</f>
        <v>8.6999999999999993</v>
      </c>
      <c r="F13" s="1">
        <f>Main_Data!F13</f>
        <v>64</v>
      </c>
      <c r="G13" s="1">
        <f>Main_Data!G13</f>
        <v>1491550777</v>
      </c>
      <c r="H13" s="1">
        <f>Main_Data!H13</f>
        <v>66</v>
      </c>
      <c r="I13" s="1">
        <f>Main_Data!I13</f>
        <v>2.2999999999999998</v>
      </c>
      <c r="J13" s="1">
        <f>Main_Data!J13</f>
        <v>84</v>
      </c>
      <c r="K13" s="1">
        <f>Main_Data!K13</f>
        <v>87</v>
      </c>
      <c r="L13" s="1" t="str">
        <f>Main_Data!L13</f>
        <v>North America</v>
      </c>
      <c r="M13" s="1" t="str">
        <f>PROPER(TRIM(Main_Data!A13))</f>
        <v>Usa</v>
      </c>
      <c r="N13" s="1" t="str">
        <f>PROPER(TRIM(Main_Data!B13))</f>
        <v>North America</v>
      </c>
      <c r="O13" s="1" t="str" cm="1">
        <f t="array" ref="O13">_xlfn.IFS(F13&gt;=80,"Very High",F13&gt;=70,"High",F13&gt;=60,"Medium",TRUE,"Low")</f>
        <v>Medium</v>
      </c>
      <c r="P13" s="1" t="str" cm="1">
        <f t="array" ref="P13">_xlfn.IFS(D13&gt;=40000,"High Income",D13&gt;=15000,"Middle Income",TRUE,"Low Income")</f>
        <v>Middle Income</v>
      </c>
      <c r="Q13" s="1" t="str">
        <f t="shared" si="0"/>
        <v>Duplicate</v>
      </c>
    </row>
    <row r="14" spans="1:17" x14ac:dyDescent="0.25">
      <c r="A14" s="1" t="str">
        <f>Main_Data!A14</f>
        <v>Germany</v>
      </c>
      <c r="B14" s="1" t="str">
        <f>Main_Data!B14</f>
        <v>Europe</v>
      </c>
      <c r="C14" s="1">
        <f>Main_Data!C14</f>
        <v>2021</v>
      </c>
      <c r="D14" s="1">
        <f>Main_Data!D14</f>
        <v>65224</v>
      </c>
      <c r="E14" s="1">
        <f>Main_Data!E14</f>
        <v>5.5</v>
      </c>
      <c r="F14" s="1">
        <f>Main_Data!F14</f>
        <v>66</v>
      </c>
      <c r="G14" s="1">
        <f>Main_Data!G14</f>
        <v>604209612</v>
      </c>
      <c r="H14" s="1">
        <f>Main_Data!H14</f>
        <v>95</v>
      </c>
      <c r="I14" s="1">
        <f>Main_Data!I14</f>
        <v>22.5</v>
      </c>
      <c r="J14" s="1">
        <f>Main_Data!J14</f>
        <v>90</v>
      </c>
      <c r="K14" s="1">
        <f>Main_Data!K14</f>
        <v>46</v>
      </c>
      <c r="L14" s="1" t="str">
        <f>Main_Data!L14</f>
        <v>Europe</v>
      </c>
      <c r="M14" s="1" t="str">
        <f>PROPER(TRIM(Main_Data!A14))</f>
        <v>Germany</v>
      </c>
      <c r="N14" s="1" t="str">
        <f>PROPER(TRIM(Main_Data!B14))</f>
        <v>Europe</v>
      </c>
      <c r="O14" s="1" t="str" cm="1">
        <f t="array" ref="O14">_xlfn.IFS(F14&gt;=80,"Very High",F14&gt;=70,"High",F14&gt;=60,"Medium",TRUE,"Low")</f>
        <v>Medium</v>
      </c>
      <c r="P14" s="1" t="str" cm="1">
        <f t="array" ref="P14">_xlfn.IFS(D14&gt;=40000,"High Income",D14&gt;=15000,"Middle Income",TRUE,"Low Income")</f>
        <v>High Income</v>
      </c>
      <c r="Q14" s="1" t="str">
        <f t="shared" si="0"/>
        <v>Duplicate</v>
      </c>
    </row>
    <row r="15" spans="1:17" x14ac:dyDescent="0.25">
      <c r="A15" s="1" t="str">
        <f>Main_Data!A15</f>
        <v>Brazil</v>
      </c>
      <c r="B15" s="1" t="str">
        <f>Main_Data!B15</f>
        <v>South America</v>
      </c>
      <c r="C15" s="1">
        <f>Main_Data!C15</f>
        <v>2020</v>
      </c>
      <c r="D15" s="1">
        <f>Main_Data!D15</f>
        <v>5969</v>
      </c>
      <c r="E15" s="1">
        <f>Main_Data!E15</f>
        <v>7.6</v>
      </c>
      <c r="F15" s="1">
        <f>Main_Data!F15</f>
        <v>66</v>
      </c>
      <c r="G15" s="1">
        <f>Main_Data!G15</f>
        <v>900636370</v>
      </c>
      <c r="H15" s="1">
        <f>Main_Data!H15</f>
        <v>62</v>
      </c>
      <c r="I15" s="1">
        <f>Main_Data!I15</f>
        <v>4.2</v>
      </c>
      <c r="J15" s="1">
        <f>Main_Data!J15</f>
        <v>72</v>
      </c>
      <c r="K15" s="1">
        <f>Main_Data!K15</f>
        <v>50</v>
      </c>
      <c r="L15" s="1" t="str">
        <f>Main_Data!L15</f>
        <v>South America</v>
      </c>
      <c r="M15" s="1" t="str">
        <f>PROPER(TRIM(Main_Data!A15))</f>
        <v>Brazil</v>
      </c>
      <c r="N15" s="1" t="str">
        <f>PROPER(TRIM(Main_Data!B15))</f>
        <v>South America</v>
      </c>
      <c r="O15" s="1" t="str" cm="1">
        <f t="array" ref="O15">_xlfn.IFS(F15&gt;=80,"Very High",F15&gt;=70,"High",F15&gt;=60,"Medium",TRUE,"Low")</f>
        <v>Medium</v>
      </c>
      <c r="P15" s="1" t="str" cm="1">
        <f t="array" ref="P15">_xlfn.IFS(D15&gt;=40000,"High Income",D15&gt;=15000,"Middle Income",TRUE,"Low Income")</f>
        <v>Low Income</v>
      </c>
      <c r="Q15" s="1" t="str">
        <f t="shared" si="0"/>
        <v>Duplicate</v>
      </c>
    </row>
    <row r="16" spans="1:17" x14ac:dyDescent="0.25">
      <c r="A16" s="1" t="str">
        <f>Main_Data!A16</f>
        <v>China</v>
      </c>
      <c r="B16" s="1" t="str">
        <f>Main_Data!B16</f>
        <v>East Asia</v>
      </c>
      <c r="C16" s="1">
        <f>Main_Data!C16</f>
        <v>2021</v>
      </c>
      <c r="D16" s="1">
        <f>Main_Data!D16</f>
        <v>10110</v>
      </c>
      <c r="E16" s="1">
        <f>Main_Data!E16</f>
        <v>16</v>
      </c>
      <c r="F16" s="1">
        <f>Main_Data!F16</f>
        <v>78</v>
      </c>
      <c r="G16" s="1">
        <f>Main_Data!G16</f>
        <v>781479156</v>
      </c>
      <c r="H16" s="1">
        <f>Main_Data!H16</f>
        <v>92</v>
      </c>
      <c r="I16" s="1">
        <f>Main_Data!I16</f>
        <v>10.3</v>
      </c>
      <c r="J16" s="1">
        <f>Main_Data!J16</f>
        <v>78</v>
      </c>
      <c r="K16" s="1">
        <f>Main_Data!K16</f>
        <v>80</v>
      </c>
      <c r="L16" s="1" t="str">
        <f>Main_Data!L16</f>
        <v>Asia</v>
      </c>
      <c r="M16" s="1" t="str">
        <f>PROPER(TRIM(Main_Data!A16))</f>
        <v>China</v>
      </c>
      <c r="N16" s="1" t="str">
        <f>PROPER(TRIM(Main_Data!B16))</f>
        <v>East Asia</v>
      </c>
      <c r="O16" s="1" t="str" cm="1">
        <f t="array" ref="O16">_xlfn.IFS(F16&gt;=80,"Very High",F16&gt;=70,"High",F16&gt;=60,"Medium",TRUE,"Low")</f>
        <v>High</v>
      </c>
      <c r="P16" s="1" t="str" cm="1">
        <f t="array" ref="P16">_xlfn.IFS(D16&gt;=40000,"High Income",D16&gt;=15000,"Middle Income",TRUE,"Low Income")</f>
        <v>Low Income</v>
      </c>
      <c r="Q16" s="1" t="str">
        <f t="shared" si="0"/>
        <v>Duplicate</v>
      </c>
    </row>
    <row r="17" spans="1:17" x14ac:dyDescent="0.25">
      <c r="A17" s="1" t="str">
        <f>Main_Data!A17</f>
        <v>UK</v>
      </c>
      <c r="B17" s="1" t="str">
        <f>Main_Data!B17</f>
        <v>Europe</v>
      </c>
      <c r="C17" s="1">
        <f>Main_Data!C17</f>
        <v>2022</v>
      </c>
      <c r="D17" s="1">
        <f>Main_Data!D17</f>
        <v>57088</v>
      </c>
      <c r="E17" s="1">
        <f>Main_Data!E17</f>
        <v>11.9</v>
      </c>
      <c r="F17" s="1">
        <f>Main_Data!F17</f>
        <v>84</v>
      </c>
      <c r="G17" s="1">
        <f>Main_Data!G17</f>
        <v>248590736</v>
      </c>
      <c r="H17" s="1">
        <f>Main_Data!H17</f>
        <v>87</v>
      </c>
      <c r="I17" s="1">
        <f>Main_Data!I17</f>
        <v>9.6999999999999993</v>
      </c>
      <c r="J17" s="1">
        <f>Main_Data!J17</f>
        <v>81</v>
      </c>
      <c r="K17" s="1">
        <f>Main_Data!K17</f>
        <v>80</v>
      </c>
      <c r="L17" s="1" t="str">
        <f>Main_Data!L17</f>
        <v>Europe</v>
      </c>
      <c r="M17" s="1" t="str">
        <f>PROPER(TRIM(Main_Data!A17))</f>
        <v>Uk</v>
      </c>
      <c r="N17" s="1" t="str">
        <f>PROPER(TRIM(Main_Data!B17))</f>
        <v>Europe</v>
      </c>
      <c r="O17" s="1" t="str" cm="1">
        <f t="array" ref="O17">_xlfn.IFS(F17&gt;=80,"Very High",F17&gt;=70,"High",F17&gt;=60,"Medium",TRUE,"Low")</f>
        <v>Very High</v>
      </c>
      <c r="P17" s="1" t="str" cm="1">
        <f t="array" ref="P17">_xlfn.IFS(D17&gt;=40000,"High Income",D17&gt;=15000,"Middle Income",TRUE,"Low Income")</f>
        <v>High Income</v>
      </c>
      <c r="Q17" s="1" t="str">
        <f t="shared" si="0"/>
        <v>Duplicate</v>
      </c>
    </row>
    <row r="18" spans="1:17" x14ac:dyDescent="0.25">
      <c r="A18" s="1" t="str">
        <f>Main_Data!A18</f>
        <v>Canada</v>
      </c>
      <c r="B18" s="1" t="str">
        <f>Main_Data!B18</f>
        <v>North America</v>
      </c>
      <c r="C18" s="1">
        <f>Main_Data!C18</f>
        <v>2021</v>
      </c>
      <c r="D18" s="1">
        <f>Main_Data!D18</f>
        <v>51446</v>
      </c>
      <c r="E18" s="1">
        <f>Main_Data!E18</f>
        <v>8.1</v>
      </c>
      <c r="F18" s="1">
        <f>Main_Data!F18</f>
        <v>66</v>
      </c>
      <c r="G18" s="1">
        <f>Main_Data!G18</f>
        <v>226850356</v>
      </c>
      <c r="H18" s="1">
        <f>Main_Data!H18</f>
        <v>95</v>
      </c>
      <c r="I18" s="1">
        <f>Main_Data!I18</f>
        <v>8.1</v>
      </c>
      <c r="J18" s="1">
        <f>Main_Data!J18</f>
        <v>95</v>
      </c>
      <c r="K18" s="1">
        <f>Main_Data!K18</f>
        <v>76</v>
      </c>
      <c r="L18" s="1" t="str">
        <f>Main_Data!L18</f>
        <v>North America</v>
      </c>
      <c r="M18" s="1" t="str">
        <f>PROPER(TRIM(Main_Data!A18))</f>
        <v>Canada</v>
      </c>
      <c r="N18" s="1" t="str">
        <f>PROPER(TRIM(Main_Data!B18))</f>
        <v>North America</v>
      </c>
      <c r="O18" s="1" t="str" cm="1">
        <f t="array" ref="O18">_xlfn.IFS(F18&gt;=80,"Very High",F18&gt;=70,"High",F18&gt;=60,"Medium",TRUE,"Low")</f>
        <v>Medium</v>
      </c>
      <c r="P18" s="1" t="str" cm="1">
        <f t="array" ref="P18">_xlfn.IFS(D18&gt;=40000,"High Income",D18&gt;=15000,"Middle Income",TRUE,"Low Income")</f>
        <v>High Income</v>
      </c>
      <c r="Q18" s="1" t="str">
        <f t="shared" si="0"/>
        <v>Duplicate</v>
      </c>
    </row>
    <row r="19" spans="1:17" x14ac:dyDescent="0.25">
      <c r="A19" s="1" t="str">
        <f>Main_Data!A19</f>
        <v>Australia</v>
      </c>
      <c r="B19" s="1" t="str">
        <f>Main_Data!B19</f>
        <v>Oceania</v>
      </c>
      <c r="C19" s="1">
        <f>Main_Data!C19</f>
        <v>2022</v>
      </c>
      <c r="D19" s="1">
        <f>Main_Data!D19</f>
        <v>61238</v>
      </c>
      <c r="E19" s="1">
        <f>Main_Data!E19</f>
        <v>16.2</v>
      </c>
      <c r="F19" s="1">
        <f>Main_Data!F19</f>
        <v>67</v>
      </c>
      <c r="G19" s="1">
        <f>Main_Data!G19</f>
        <v>1484327543</v>
      </c>
      <c r="H19" s="1">
        <f>Main_Data!H19</f>
        <v>90</v>
      </c>
      <c r="I19" s="1">
        <f>Main_Data!I19</f>
        <v>20.6</v>
      </c>
      <c r="J19" s="1">
        <f>Main_Data!J19</f>
        <v>89</v>
      </c>
      <c r="K19" s="1">
        <f>Main_Data!K19</f>
        <v>33</v>
      </c>
      <c r="L19" s="1" t="str">
        <f>Main_Data!L19</f>
        <v>Oceania</v>
      </c>
      <c r="M19" s="1" t="str">
        <f>PROPER(TRIM(Main_Data!A19))</f>
        <v>Australia</v>
      </c>
      <c r="N19" s="1" t="str">
        <f>PROPER(TRIM(Main_Data!B19))</f>
        <v>Oceania</v>
      </c>
      <c r="O19" s="1" t="str" cm="1">
        <f t="array" ref="O19">_xlfn.IFS(F19&gt;=80,"Very High",F19&gt;=70,"High",F19&gt;=60,"Medium",TRUE,"Low")</f>
        <v>Medium</v>
      </c>
      <c r="P19" s="1" t="str" cm="1">
        <f t="array" ref="P19">_xlfn.IFS(D19&gt;=40000,"High Income",D19&gt;=15000,"Middle Income",TRUE,"Low Income")</f>
        <v>High Income</v>
      </c>
      <c r="Q19" s="1" t="str">
        <f t="shared" si="0"/>
        <v>Duplicate</v>
      </c>
    </row>
    <row r="20" spans="1:17" x14ac:dyDescent="0.25">
      <c r="A20" s="1" t="str">
        <f>Main_Data!A20</f>
        <v>Japan</v>
      </c>
      <c r="B20" s="1" t="str">
        <f>Main_Data!B20</f>
        <v>East Asia</v>
      </c>
      <c r="C20" s="1">
        <f>Main_Data!C20</f>
        <v>2020</v>
      </c>
      <c r="D20" s="1">
        <f>Main_Data!D20</f>
        <v>16498</v>
      </c>
      <c r="E20" s="1">
        <f>Main_Data!E20</f>
        <v>5.4</v>
      </c>
      <c r="F20" s="1">
        <f>Main_Data!F20</f>
        <v>85</v>
      </c>
      <c r="G20" s="1">
        <f>Main_Data!G20</f>
        <v>1397611416</v>
      </c>
      <c r="H20" s="1">
        <f>Main_Data!H20</f>
        <v>63</v>
      </c>
      <c r="I20" s="1">
        <f>Main_Data!I20</f>
        <v>6.2</v>
      </c>
      <c r="J20" s="1">
        <f>Main_Data!J20</f>
        <v>83</v>
      </c>
      <c r="K20" s="1">
        <f>Main_Data!K20</f>
        <v>90</v>
      </c>
      <c r="L20" s="1" t="str">
        <f>Main_Data!L20</f>
        <v>Asia</v>
      </c>
      <c r="M20" s="1" t="str">
        <f>PROPER(TRIM(Main_Data!A20))</f>
        <v>Japan</v>
      </c>
      <c r="N20" s="1" t="str">
        <f>PROPER(TRIM(Main_Data!B20))</f>
        <v>East Asia</v>
      </c>
      <c r="O20" s="1" t="str" cm="1">
        <f t="array" ref="O20">_xlfn.IFS(F20&gt;=80,"Very High",F20&gt;=70,"High",F20&gt;=60,"Medium",TRUE,"Low")</f>
        <v>Very High</v>
      </c>
      <c r="P20" s="1" t="str" cm="1">
        <f t="array" ref="P20">_xlfn.IFS(D20&gt;=40000,"High Income",D20&gt;=15000,"Middle Income",TRUE,"Low Income")</f>
        <v>Middle Income</v>
      </c>
      <c r="Q20" s="1" t="str">
        <f t="shared" si="0"/>
        <v>Duplicate</v>
      </c>
    </row>
    <row r="21" spans="1:17" x14ac:dyDescent="0.25">
      <c r="A21" s="1" t="str">
        <f>Main_Data!A21</f>
        <v>South Africa</v>
      </c>
      <c r="B21" s="1" t="str">
        <f>Main_Data!B21</f>
        <v>Africa</v>
      </c>
      <c r="C21" s="1">
        <f>Main_Data!C21</f>
        <v>2020</v>
      </c>
      <c r="D21" s="1">
        <f>Main_Data!D21</f>
        <v>29040</v>
      </c>
      <c r="E21" s="1">
        <f>Main_Data!E21</f>
        <v>10.199999999999999</v>
      </c>
      <c r="F21" s="1">
        <f>Main_Data!F21</f>
        <v>76</v>
      </c>
      <c r="G21" s="1">
        <f>Main_Data!G21</f>
        <v>85057374</v>
      </c>
      <c r="H21" s="1">
        <f>Main_Data!H21</f>
        <v>66</v>
      </c>
      <c r="I21" s="1">
        <f>Main_Data!I21</f>
        <v>21.5</v>
      </c>
      <c r="J21" s="1">
        <f>Main_Data!J21</f>
        <v>81</v>
      </c>
      <c r="K21" s="1">
        <f>Main_Data!K21</f>
        <v>43</v>
      </c>
      <c r="L21" s="1" t="str">
        <f>Main_Data!L21</f>
        <v>Africa</v>
      </c>
      <c r="M21" s="1" t="str">
        <f>PROPER(TRIM(Main_Data!A21))</f>
        <v>South Africa</v>
      </c>
      <c r="N21" s="1" t="str">
        <f>PROPER(TRIM(Main_Data!B21))</f>
        <v>Africa</v>
      </c>
      <c r="O21" s="1" t="str" cm="1">
        <f t="array" ref="O21">_xlfn.IFS(F21&gt;=80,"Very High",F21&gt;=70,"High",F21&gt;=60,"Medium",TRUE,"Low")</f>
        <v>High</v>
      </c>
      <c r="P21" s="1" t="str" cm="1">
        <f t="array" ref="P21">_xlfn.IFS(D21&gt;=40000,"High Income",D21&gt;=15000,"Middle Income",TRUE,"Low Income")</f>
        <v>Middle Income</v>
      </c>
      <c r="Q21" s="1" t="str">
        <f t="shared" si="0"/>
        <v>Duplicate</v>
      </c>
    </row>
    <row r="22" spans="1:17" x14ac:dyDescent="0.25">
      <c r="A22" s="1" t="str">
        <f>Main_Data!A22</f>
        <v>India</v>
      </c>
      <c r="B22" s="1" t="str">
        <f>Main_Data!B22</f>
        <v>South Asia</v>
      </c>
      <c r="C22" s="1">
        <f>Main_Data!C22</f>
        <v>2021</v>
      </c>
      <c r="D22" s="1">
        <f>Main_Data!D22</f>
        <v>33803</v>
      </c>
      <c r="E22" s="1">
        <f>Main_Data!E22</f>
        <v>13.1</v>
      </c>
      <c r="F22" s="1">
        <f>Main_Data!F22</f>
        <v>61</v>
      </c>
      <c r="G22" s="1">
        <f>Main_Data!G22</f>
        <v>1373510320</v>
      </c>
      <c r="H22" s="1">
        <f>Main_Data!H22</f>
        <v>76</v>
      </c>
      <c r="I22" s="1">
        <f>Main_Data!I22</f>
        <v>12.2</v>
      </c>
      <c r="J22" s="1">
        <f>Main_Data!J22</f>
        <v>88</v>
      </c>
      <c r="K22" s="1">
        <f>Main_Data!K22</f>
        <v>37</v>
      </c>
      <c r="L22" s="1" t="str">
        <f>Main_Data!L22</f>
        <v>Asia</v>
      </c>
      <c r="M22" s="1" t="str">
        <f>PROPER(TRIM(Main_Data!A22))</f>
        <v>India</v>
      </c>
      <c r="N22" s="1" t="str">
        <f>PROPER(TRIM(Main_Data!B22))</f>
        <v>South Asia</v>
      </c>
      <c r="O22" s="1" t="str" cm="1">
        <f t="array" ref="O22">_xlfn.IFS(F22&gt;=80,"Very High",F22&gt;=70,"High",F22&gt;=60,"Medium",TRUE,"Low")</f>
        <v>Medium</v>
      </c>
      <c r="P22" s="1" t="str" cm="1">
        <f t="array" ref="P22">_xlfn.IFS(D22&gt;=40000,"High Income",D22&gt;=15000,"Middle Income",TRUE,"Low Income")</f>
        <v>Middle Income</v>
      </c>
      <c r="Q22" s="1" t="str">
        <f t="shared" si="0"/>
        <v>Duplicate</v>
      </c>
    </row>
    <row r="23" spans="1:17" x14ac:dyDescent="0.25">
      <c r="A23" s="1" t="str">
        <f>Main_Data!A23</f>
        <v>USA</v>
      </c>
      <c r="B23" s="1" t="str">
        <f>Main_Data!B23</f>
        <v>North America</v>
      </c>
      <c r="C23" s="1">
        <f>Main_Data!C23</f>
        <v>2022</v>
      </c>
      <c r="D23" s="1">
        <f>Main_Data!D23</f>
        <v>43633</v>
      </c>
      <c r="E23" s="1">
        <f>Main_Data!E23</f>
        <v>9.6999999999999993</v>
      </c>
      <c r="F23" s="1">
        <f>Main_Data!F23</f>
        <v>71</v>
      </c>
      <c r="G23" s="1">
        <f>Main_Data!G23</f>
        <v>971847595</v>
      </c>
      <c r="H23" s="1">
        <f>Main_Data!H23</f>
        <v>64</v>
      </c>
      <c r="I23" s="1">
        <f>Main_Data!I23</f>
        <v>21.3</v>
      </c>
      <c r="J23" s="1">
        <f>Main_Data!J23</f>
        <v>78</v>
      </c>
      <c r="K23" s="1">
        <f>Main_Data!K23</f>
        <v>38</v>
      </c>
      <c r="L23" s="1" t="str">
        <f>Main_Data!L23</f>
        <v>North America</v>
      </c>
      <c r="M23" s="1" t="str">
        <f>PROPER(TRIM(Main_Data!A23))</f>
        <v>Usa</v>
      </c>
      <c r="N23" s="1" t="str">
        <f>PROPER(TRIM(Main_Data!B23))</f>
        <v>North America</v>
      </c>
      <c r="O23" s="1" t="str" cm="1">
        <f t="array" ref="O23">_xlfn.IFS(F23&gt;=80,"Very High",F23&gt;=70,"High",F23&gt;=60,"Medium",TRUE,"Low")</f>
        <v>High</v>
      </c>
      <c r="P23" s="1" t="str" cm="1">
        <f t="array" ref="P23">_xlfn.IFS(D23&gt;=40000,"High Income",D23&gt;=15000,"Middle Income",TRUE,"Low Income")</f>
        <v>High Income</v>
      </c>
      <c r="Q23" s="1" t="str">
        <f t="shared" si="0"/>
        <v>Duplicate</v>
      </c>
    </row>
    <row r="24" spans="1:17" x14ac:dyDescent="0.25">
      <c r="A24" s="1" t="str">
        <f>Main_Data!A24</f>
        <v>Germany</v>
      </c>
      <c r="B24" s="1" t="str">
        <f>Main_Data!B24</f>
        <v>Europe</v>
      </c>
      <c r="C24" s="1">
        <f>Main_Data!C24</f>
        <v>2021</v>
      </c>
      <c r="D24" s="1">
        <f>Main_Data!D24</f>
        <v>47258</v>
      </c>
      <c r="E24" s="1">
        <f>Main_Data!E24</f>
        <v>5.3</v>
      </c>
      <c r="F24" s="1">
        <f>Main_Data!F24</f>
        <v>73</v>
      </c>
      <c r="G24" s="1">
        <f>Main_Data!G24</f>
        <v>415702244</v>
      </c>
      <c r="H24" s="1">
        <f>Main_Data!H24</f>
        <v>89</v>
      </c>
      <c r="I24" s="1">
        <f>Main_Data!I24</f>
        <v>15.2</v>
      </c>
      <c r="J24" s="1">
        <f>Main_Data!J24</f>
        <v>70</v>
      </c>
      <c r="K24" s="1">
        <f>Main_Data!K24</f>
        <v>74</v>
      </c>
      <c r="L24" s="1" t="str">
        <f>Main_Data!L24</f>
        <v>Europe</v>
      </c>
      <c r="M24" s="1" t="str">
        <f>PROPER(TRIM(Main_Data!A24))</f>
        <v>Germany</v>
      </c>
      <c r="N24" s="1" t="str">
        <f>PROPER(TRIM(Main_Data!B24))</f>
        <v>Europe</v>
      </c>
      <c r="O24" s="1" t="str" cm="1">
        <f t="array" ref="O24">_xlfn.IFS(F24&gt;=80,"Very High",F24&gt;=70,"High",F24&gt;=60,"Medium",TRUE,"Low")</f>
        <v>High</v>
      </c>
      <c r="P24" s="1" t="str" cm="1">
        <f t="array" ref="P24">_xlfn.IFS(D24&gt;=40000,"High Income",D24&gt;=15000,"Middle Income",TRUE,"Low Income")</f>
        <v>High Income</v>
      </c>
      <c r="Q24" s="1" t="str">
        <f t="shared" si="0"/>
        <v>Duplicate</v>
      </c>
    </row>
    <row r="25" spans="1:17" x14ac:dyDescent="0.25">
      <c r="A25" s="1" t="str">
        <f>Main_Data!A25</f>
        <v>Brazil</v>
      </c>
      <c r="B25" s="1" t="str">
        <f>Main_Data!B25</f>
        <v>South America</v>
      </c>
      <c r="C25" s="1">
        <f>Main_Data!C25</f>
        <v>2021</v>
      </c>
      <c r="D25" s="1">
        <f>Main_Data!D25</f>
        <v>16371</v>
      </c>
      <c r="E25" s="1">
        <f>Main_Data!E25</f>
        <v>13</v>
      </c>
      <c r="F25" s="1">
        <f>Main_Data!F25</f>
        <v>80</v>
      </c>
      <c r="G25" s="1">
        <f>Main_Data!G25</f>
        <v>781853496</v>
      </c>
      <c r="H25" s="1">
        <f>Main_Data!H25</f>
        <v>90</v>
      </c>
      <c r="I25" s="1">
        <f>Main_Data!I25</f>
        <v>14.3</v>
      </c>
      <c r="J25" s="1">
        <f>Main_Data!J25</f>
        <v>92</v>
      </c>
      <c r="K25" s="1">
        <f>Main_Data!K25</f>
        <v>89</v>
      </c>
      <c r="L25" s="1" t="str">
        <f>Main_Data!L25</f>
        <v>South America</v>
      </c>
      <c r="M25" s="1" t="str">
        <f>PROPER(TRIM(Main_Data!A25))</f>
        <v>Brazil</v>
      </c>
      <c r="N25" s="1" t="str">
        <f>PROPER(TRIM(Main_Data!B25))</f>
        <v>South America</v>
      </c>
      <c r="O25" s="1" t="str" cm="1">
        <f t="array" ref="O25">_xlfn.IFS(F25&gt;=80,"Very High",F25&gt;=70,"High",F25&gt;=60,"Medium",TRUE,"Low")</f>
        <v>Very High</v>
      </c>
      <c r="P25" s="1" t="str" cm="1">
        <f t="array" ref="P25">_xlfn.IFS(D25&gt;=40000,"High Income",D25&gt;=15000,"Middle Income",TRUE,"Low Income")</f>
        <v>Middle Income</v>
      </c>
      <c r="Q25" s="1" t="str">
        <f t="shared" si="0"/>
        <v>Duplicate</v>
      </c>
    </row>
    <row r="26" spans="1:17" x14ac:dyDescent="0.25">
      <c r="A26" s="1" t="str">
        <f>Main_Data!A26</f>
        <v>China</v>
      </c>
      <c r="B26" s="1" t="str">
        <f>Main_Data!B26</f>
        <v>East Asia</v>
      </c>
      <c r="C26" s="1">
        <f>Main_Data!C26</f>
        <v>2020</v>
      </c>
      <c r="D26" s="1">
        <f>Main_Data!D26</f>
        <v>63215</v>
      </c>
      <c r="E26" s="1">
        <f>Main_Data!E26</f>
        <v>7.4</v>
      </c>
      <c r="F26" s="1">
        <f>Main_Data!F26</f>
        <v>72</v>
      </c>
      <c r="G26" s="1">
        <f>Main_Data!G26</f>
        <v>558355032</v>
      </c>
      <c r="H26" s="1">
        <f>Main_Data!H26</f>
        <v>67</v>
      </c>
      <c r="I26" s="1">
        <f>Main_Data!I26</f>
        <v>15.8</v>
      </c>
      <c r="J26" s="1">
        <f>Main_Data!J26</f>
        <v>86</v>
      </c>
      <c r="K26" s="1">
        <f>Main_Data!K26</f>
        <v>87</v>
      </c>
      <c r="L26" s="1" t="str">
        <f>Main_Data!L26</f>
        <v>Asia</v>
      </c>
      <c r="M26" s="1" t="str">
        <f>PROPER(TRIM(Main_Data!A26))</f>
        <v>China</v>
      </c>
      <c r="N26" s="1" t="str">
        <f>PROPER(TRIM(Main_Data!B26))</f>
        <v>East Asia</v>
      </c>
      <c r="O26" s="1" t="str" cm="1">
        <f t="array" ref="O26">_xlfn.IFS(F26&gt;=80,"Very High",F26&gt;=70,"High",F26&gt;=60,"Medium",TRUE,"Low")</f>
        <v>High</v>
      </c>
      <c r="P26" s="1" t="str" cm="1">
        <f t="array" ref="P26">_xlfn.IFS(D26&gt;=40000,"High Income",D26&gt;=15000,"Middle Income",TRUE,"Low Income")</f>
        <v>High Income</v>
      </c>
      <c r="Q26" s="1" t="str">
        <f t="shared" si="0"/>
        <v>Duplicate</v>
      </c>
    </row>
    <row r="27" spans="1:17" x14ac:dyDescent="0.25">
      <c r="A27" s="1" t="str">
        <f>Main_Data!A27</f>
        <v>UK</v>
      </c>
      <c r="B27" s="1" t="str">
        <f>Main_Data!B27</f>
        <v>Europe</v>
      </c>
      <c r="C27" s="1">
        <f>Main_Data!C27</f>
        <v>2021</v>
      </c>
      <c r="D27" s="1">
        <f>Main_Data!D27</f>
        <v>42849</v>
      </c>
      <c r="E27" s="1">
        <f>Main_Data!E27</f>
        <v>14.3</v>
      </c>
      <c r="F27" s="1">
        <f>Main_Data!F27</f>
        <v>73</v>
      </c>
      <c r="G27" s="1">
        <f>Main_Data!G27</f>
        <v>793703952</v>
      </c>
      <c r="H27" s="1">
        <f>Main_Data!H27</f>
        <v>61</v>
      </c>
      <c r="I27" s="1">
        <f>Main_Data!I27</f>
        <v>16.600000000000001</v>
      </c>
      <c r="J27" s="1">
        <f>Main_Data!J27</f>
        <v>78</v>
      </c>
      <c r="K27" s="1">
        <f>Main_Data!K27</f>
        <v>55</v>
      </c>
      <c r="L27" s="1" t="str">
        <f>Main_Data!L27</f>
        <v>Europe</v>
      </c>
      <c r="M27" s="1" t="str">
        <f>PROPER(TRIM(Main_Data!A27))</f>
        <v>Uk</v>
      </c>
      <c r="N27" s="1" t="str">
        <f>PROPER(TRIM(Main_Data!B27))</f>
        <v>Europe</v>
      </c>
      <c r="O27" s="1" t="str" cm="1">
        <f t="array" ref="O27">_xlfn.IFS(F27&gt;=80,"Very High",F27&gt;=70,"High",F27&gt;=60,"Medium",TRUE,"Low")</f>
        <v>High</v>
      </c>
      <c r="P27" s="1" t="str" cm="1">
        <f t="array" ref="P27">_xlfn.IFS(D27&gt;=40000,"High Income",D27&gt;=15000,"Middle Income",TRUE,"Low Income")</f>
        <v>High Income</v>
      </c>
      <c r="Q27" s="1" t="str">
        <f t="shared" si="0"/>
        <v>Duplicate</v>
      </c>
    </row>
    <row r="28" spans="1:17" x14ac:dyDescent="0.25">
      <c r="A28" s="1" t="str">
        <f>Main_Data!A28</f>
        <v>Canada</v>
      </c>
      <c r="B28" s="1" t="str">
        <f>Main_Data!B28</f>
        <v>North America</v>
      </c>
      <c r="C28" s="1">
        <f>Main_Data!C28</f>
        <v>2022</v>
      </c>
      <c r="D28" s="1">
        <f>Main_Data!D28</f>
        <v>43484</v>
      </c>
      <c r="E28" s="1">
        <f>Main_Data!E28</f>
        <v>4.0999999999999996</v>
      </c>
      <c r="F28" s="1">
        <f>Main_Data!F28</f>
        <v>84</v>
      </c>
      <c r="G28" s="1">
        <f>Main_Data!G28</f>
        <v>987668740</v>
      </c>
      <c r="H28" s="1">
        <f>Main_Data!H28</f>
        <v>89</v>
      </c>
      <c r="I28" s="1">
        <f>Main_Data!I28</f>
        <v>12</v>
      </c>
      <c r="J28" s="1">
        <f>Main_Data!J28</f>
        <v>84</v>
      </c>
      <c r="K28" s="1">
        <f>Main_Data!K28</f>
        <v>63</v>
      </c>
      <c r="L28" s="1" t="str">
        <f>Main_Data!L28</f>
        <v>North America</v>
      </c>
      <c r="M28" s="1" t="str">
        <f>PROPER(TRIM(Main_Data!A28))</f>
        <v>Canada</v>
      </c>
      <c r="N28" s="1" t="str">
        <f>PROPER(TRIM(Main_Data!B28))</f>
        <v>North America</v>
      </c>
      <c r="O28" s="1" t="str" cm="1">
        <f t="array" ref="O28">_xlfn.IFS(F28&gt;=80,"Very High",F28&gt;=70,"High",F28&gt;=60,"Medium",TRUE,"Low")</f>
        <v>Very High</v>
      </c>
      <c r="P28" s="1" t="str" cm="1">
        <f t="array" ref="P28">_xlfn.IFS(D28&gt;=40000,"High Income",D28&gt;=15000,"Middle Income",TRUE,"Low Income")</f>
        <v>High Income</v>
      </c>
      <c r="Q28" s="1" t="str">
        <f t="shared" si="0"/>
        <v>Duplicate</v>
      </c>
    </row>
    <row r="29" spans="1:17" x14ac:dyDescent="0.25">
      <c r="A29" s="1" t="str">
        <f>Main_Data!A29</f>
        <v>Australia</v>
      </c>
      <c r="B29" s="1" t="str">
        <f>Main_Data!B29</f>
        <v>Oceania</v>
      </c>
      <c r="C29" s="1">
        <f>Main_Data!C29</f>
        <v>2021</v>
      </c>
      <c r="D29" s="1">
        <f>Main_Data!D29</f>
        <v>59114</v>
      </c>
      <c r="E29" s="1">
        <f>Main_Data!E29</f>
        <v>14.2</v>
      </c>
      <c r="F29" s="1">
        <f>Main_Data!F29</f>
        <v>70</v>
      </c>
      <c r="G29" s="1">
        <f>Main_Data!G29</f>
        <v>1006359670</v>
      </c>
      <c r="H29" s="1">
        <f>Main_Data!H29</f>
        <v>92</v>
      </c>
      <c r="I29" s="1">
        <f>Main_Data!I29</f>
        <v>5.6</v>
      </c>
      <c r="J29" s="1">
        <f>Main_Data!J29</f>
        <v>84</v>
      </c>
      <c r="K29" s="1">
        <f>Main_Data!K29</f>
        <v>71</v>
      </c>
      <c r="L29" s="1" t="str">
        <f>Main_Data!L29</f>
        <v>Oceania</v>
      </c>
      <c r="M29" s="1" t="str">
        <f>PROPER(TRIM(Main_Data!A29))</f>
        <v>Australia</v>
      </c>
      <c r="N29" s="1" t="str">
        <f>PROPER(TRIM(Main_Data!B29))</f>
        <v>Oceania</v>
      </c>
      <c r="O29" s="1" t="str" cm="1">
        <f t="array" ref="O29">_xlfn.IFS(F29&gt;=80,"Very High",F29&gt;=70,"High",F29&gt;=60,"Medium",TRUE,"Low")</f>
        <v>High</v>
      </c>
      <c r="P29" s="1" t="str" cm="1">
        <f t="array" ref="P29">_xlfn.IFS(D29&gt;=40000,"High Income",D29&gt;=15000,"Middle Income",TRUE,"Low Income")</f>
        <v>High Income</v>
      </c>
      <c r="Q29" s="1" t="str">
        <f t="shared" si="0"/>
        <v>Duplicate</v>
      </c>
    </row>
    <row r="30" spans="1:17" x14ac:dyDescent="0.25">
      <c r="A30" s="1" t="str">
        <f>Main_Data!A30</f>
        <v>Japan</v>
      </c>
      <c r="B30" s="1" t="str">
        <f>Main_Data!B30</f>
        <v>East Asia</v>
      </c>
      <c r="C30" s="1">
        <f>Main_Data!C30</f>
        <v>2020</v>
      </c>
      <c r="D30" s="1">
        <f>Main_Data!D30</f>
        <v>44194</v>
      </c>
      <c r="E30" s="1">
        <f>Main_Data!E30</f>
        <v>4.4000000000000004</v>
      </c>
      <c r="F30" s="1">
        <f>Main_Data!F30</f>
        <v>78</v>
      </c>
      <c r="G30" s="1">
        <f>Main_Data!G30</f>
        <v>1361478031</v>
      </c>
      <c r="H30" s="1">
        <f>Main_Data!H30</f>
        <v>71</v>
      </c>
      <c r="I30" s="1">
        <f>Main_Data!I30</f>
        <v>3.3</v>
      </c>
      <c r="J30" s="1">
        <f>Main_Data!J30</f>
        <v>94</v>
      </c>
      <c r="K30" s="1">
        <f>Main_Data!K30</f>
        <v>50</v>
      </c>
      <c r="L30" s="1" t="str">
        <f>Main_Data!L30</f>
        <v>Asia</v>
      </c>
      <c r="M30" s="1" t="str">
        <f>PROPER(TRIM(Main_Data!A30))</f>
        <v>Japan</v>
      </c>
      <c r="N30" s="1" t="str">
        <f>PROPER(TRIM(Main_Data!B30))</f>
        <v>East Asia</v>
      </c>
      <c r="O30" s="1" t="str" cm="1">
        <f t="array" ref="O30">_xlfn.IFS(F30&gt;=80,"Very High",F30&gt;=70,"High",F30&gt;=60,"Medium",TRUE,"Low")</f>
        <v>High</v>
      </c>
      <c r="P30" s="1" t="str" cm="1">
        <f t="array" ref="P30">_xlfn.IFS(D30&gt;=40000,"High Income",D30&gt;=15000,"Middle Income",TRUE,"Low Income")</f>
        <v>High Income</v>
      </c>
      <c r="Q30" s="1" t="str">
        <f t="shared" si="0"/>
        <v>Duplicate</v>
      </c>
    </row>
    <row r="31" spans="1:17" x14ac:dyDescent="0.25">
      <c r="A31" s="1" t="str">
        <f>Main_Data!A31</f>
        <v>South Africa</v>
      </c>
      <c r="B31" s="1" t="str">
        <f>Main_Data!B31</f>
        <v>Africa</v>
      </c>
      <c r="C31" s="1">
        <f>Main_Data!C31</f>
        <v>2020</v>
      </c>
      <c r="D31" s="1">
        <f>Main_Data!D31</f>
        <v>56144</v>
      </c>
      <c r="E31" s="1">
        <f>Main_Data!E31</f>
        <v>7.1</v>
      </c>
      <c r="F31" s="1">
        <f>Main_Data!F31</f>
        <v>70</v>
      </c>
      <c r="G31" s="1">
        <f>Main_Data!G31</f>
        <v>1136140974</v>
      </c>
      <c r="H31" s="1">
        <f>Main_Data!H31</f>
        <v>60</v>
      </c>
      <c r="I31" s="1">
        <f>Main_Data!I31</f>
        <v>8</v>
      </c>
      <c r="J31" s="1">
        <f>Main_Data!J31</f>
        <v>88</v>
      </c>
      <c r="K31" s="1">
        <f>Main_Data!K31</f>
        <v>61</v>
      </c>
      <c r="L31" s="1" t="str">
        <f>Main_Data!L31</f>
        <v>Africa</v>
      </c>
      <c r="M31" s="1" t="str">
        <f>PROPER(TRIM(Main_Data!A31))</f>
        <v>South Africa</v>
      </c>
      <c r="N31" s="1" t="str">
        <f>PROPER(TRIM(Main_Data!B31))</f>
        <v>Africa</v>
      </c>
      <c r="O31" s="1" t="str" cm="1">
        <f t="array" ref="O31">_xlfn.IFS(F31&gt;=80,"Very High",F31&gt;=70,"High",F31&gt;=60,"Medium",TRUE,"Low")</f>
        <v>High</v>
      </c>
      <c r="P31" s="1" t="str" cm="1">
        <f t="array" ref="P31">_xlfn.IFS(D31&gt;=40000,"High Income",D31&gt;=15000,"Middle Income",TRUE,"Low Income")</f>
        <v>High Income</v>
      </c>
      <c r="Q31" s="1" t="str">
        <f t="shared" si="0"/>
        <v>Duplicate</v>
      </c>
    </row>
    <row r="32" spans="1:17" x14ac:dyDescent="0.25">
      <c r="A32" s="1" t="str">
        <f>Main_Data!A32</f>
        <v>India</v>
      </c>
      <c r="B32" s="1" t="str">
        <f>Main_Data!B32</f>
        <v>South Asia</v>
      </c>
      <c r="C32" s="1">
        <f>Main_Data!C32</f>
        <v>2021</v>
      </c>
      <c r="D32" s="1">
        <f>Main_Data!D32</f>
        <v>35240</v>
      </c>
      <c r="E32" s="1">
        <f>Main_Data!E32</f>
        <v>4.7</v>
      </c>
      <c r="F32" s="1">
        <f>Main_Data!F32</f>
        <v>67</v>
      </c>
      <c r="G32" s="1">
        <f>Main_Data!G32</f>
        <v>347279427</v>
      </c>
      <c r="H32" s="1">
        <f>Main_Data!H32</f>
        <v>84</v>
      </c>
      <c r="I32" s="1">
        <f>Main_Data!I32</f>
        <v>22.9</v>
      </c>
      <c r="J32" s="1">
        <f>Main_Data!J32</f>
        <v>97</v>
      </c>
      <c r="K32" s="1">
        <f>Main_Data!K32</f>
        <v>54</v>
      </c>
      <c r="L32" s="1" t="str">
        <f>Main_Data!L32</f>
        <v>Asia</v>
      </c>
      <c r="M32" s="1" t="str">
        <f>PROPER(TRIM(Main_Data!A32))</f>
        <v>India</v>
      </c>
      <c r="N32" s="1" t="str">
        <f>PROPER(TRIM(Main_Data!B32))</f>
        <v>South Asia</v>
      </c>
      <c r="O32" s="1" t="str" cm="1">
        <f t="array" ref="O32">_xlfn.IFS(F32&gt;=80,"Very High",F32&gt;=70,"High",F32&gt;=60,"Medium",TRUE,"Low")</f>
        <v>Medium</v>
      </c>
      <c r="P32" s="1" t="str" cm="1">
        <f t="array" ref="P32">_xlfn.IFS(D32&gt;=40000,"High Income",D32&gt;=15000,"Middle Income",TRUE,"Low Income")</f>
        <v>Middle Income</v>
      </c>
      <c r="Q32" s="1" t="str">
        <f t="shared" si="0"/>
        <v>Duplicate</v>
      </c>
    </row>
    <row r="33" spans="1:17" x14ac:dyDescent="0.25">
      <c r="A33" s="1" t="str">
        <f>Main_Data!A33</f>
        <v>USA</v>
      </c>
      <c r="B33" s="1" t="str">
        <f>Main_Data!B33</f>
        <v>North America</v>
      </c>
      <c r="C33" s="1">
        <f>Main_Data!C33</f>
        <v>2020</v>
      </c>
      <c r="D33" s="1">
        <f>Main_Data!D33</f>
        <v>65393</v>
      </c>
      <c r="E33" s="1">
        <f>Main_Data!E33</f>
        <v>13.9</v>
      </c>
      <c r="F33" s="1">
        <f>Main_Data!F33</f>
        <v>66</v>
      </c>
      <c r="G33" s="1">
        <f>Main_Data!G33</f>
        <v>1311001448</v>
      </c>
      <c r="H33" s="1">
        <f>Main_Data!H33</f>
        <v>50</v>
      </c>
      <c r="I33" s="1">
        <f>Main_Data!I33</f>
        <v>6.7</v>
      </c>
      <c r="J33" s="1">
        <f>Main_Data!J33</f>
        <v>78</v>
      </c>
      <c r="K33" s="1">
        <f>Main_Data!K33</f>
        <v>87</v>
      </c>
      <c r="L33" s="1" t="str">
        <f>Main_Data!L33</f>
        <v>North America</v>
      </c>
      <c r="M33" s="1" t="str">
        <f>PROPER(TRIM(Main_Data!A33))</f>
        <v>Usa</v>
      </c>
      <c r="N33" s="1" t="str">
        <f>PROPER(TRIM(Main_Data!B33))</f>
        <v>North America</v>
      </c>
      <c r="O33" s="1" t="str" cm="1">
        <f t="array" ref="O33">_xlfn.IFS(F33&gt;=80,"Very High",F33&gt;=70,"High",F33&gt;=60,"Medium",TRUE,"Low")</f>
        <v>Medium</v>
      </c>
      <c r="P33" s="1" t="str" cm="1">
        <f t="array" ref="P33">_xlfn.IFS(D33&gt;=40000,"High Income",D33&gt;=15000,"Middle Income",TRUE,"Low Income")</f>
        <v>High Income</v>
      </c>
      <c r="Q33" s="1" t="str">
        <f t="shared" si="0"/>
        <v>Duplicate</v>
      </c>
    </row>
    <row r="34" spans="1:17" x14ac:dyDescent="0.25">
      <c r="A34" s="1" t="str">
        <f>Main_Data!A34</f>
        <v>Germany</v>
      </c>
      <c r="B34" s="1" t="str">
        <f>Main_Data!B34</f>
        <v>Europe</v>
      </c>
      <c r="C34" s="1">
        <f>Main_Data!C34</f>
        <v>2022</v>
      </c>
      <c r="D34" s="1">
        <f>Main_Data!D34</f>
        <v>11497</v>
      </c>
      <c r="E34" s="1">
        <f>Main_Data!E34</f>
        <v>7.4</v>
      </c>
      <c r="F34" s="1">
        <f>Main_Data!F34</f>
        <v>68</v>
      </c>
      <c r="G34" s="1">
        <f>Main_Data!G34</f>
        <v>518591098</v>
      </c>
      <c r="H34" s="1">
        <f>Main_Data!H34</f>
        <v>75</v>
      </c>
      <c r="I34" s="1">
        <f>Main_Data!I34</f>
        <v>22.9</v>
      </c>
      <c r="J34" s="1">
        <f>Main_Data!J34</f>
        <v>97</v>
      </c>
      <c r="K34" s="1">
        <f>Main_Data!K34</f>
        <v>76</v>
      </c>
      <c r="L34" s="1" t="str">
        <f>Main_Data!L34</f>
        <v>Europe</v>
      </c>
      <c r="M34" s="1" t="str">
        <f>PROPER(TRIM(Main_Data!A34))</f>
        <v>Germany</v>
      </c>
      <c r="N34" s="1" t="str">
        <f>PROPER(TRIM(Main_Data!B34))</f>
        <v>Europe</v>
      </c>
      <c r="O34" s="1" t="str" cm="1">
        <f t="array" ref="O34">_xlfn.IFS(F34&gt;=80,"Very High",F34&gt;=70,"High",F34&gt;=60,"Medium",TRUE,"Low")</f>
        <v>Medium</v>
      </c>
      <c r="P34" s="1" t="str" cm="1">
        <f t="array" ref="P34">_xlfn.IFS(D34&gt;=40000,"High Income",D34&gt;=15000,"Middle Income",TRUE,"Low Income")</f>
        <v>Low Income</v>
      </c>
      <c r="Q34" s="1" t="str">
        <f t="shared" si="0"/>
        <v>Duplicate</v>
      </c>
    </row>
    <row r="35" spans="1:17" x14ac:dyDescent="0.25">
      <c r="A35" s="1" t="str">
        <f>Main_Data!A35</f>
        <v>Brazil</v>
      </c>
      <c r="B35" s="1" t="str">
        <f>Main_Data!B35</f>
        <v>South America</v>
      </c>
      <c r="C35" s="1">
        <f>Main_Data!C35</f>
        <v>2022</v>
      </c>
      <c r="D35" s="1">
        <f>Main_Data!D35</f>
        <v>60984</v>
      </c>
      <c r="E35" s="1">
        <f>Main_Data!E35</f>
        <v>8.4</v>
      </c>
      <c r="F35" s="1">
        <f>Main_Data!F35</f>
        <v>63</v>
      </c>
      <c r="G35" s="1">
        <f>Main_Data!G35</f>
        <v>318736337</v>
      </c>
      <c r="H35" s="1">
        <f>Main_Data!H35</f>
        <v>67</v>
      </c>
      <c r="I35" s="1">
        <f>Main_Data!I35</f>
        <v>4.2</v>
      </c>
      <c r="J35" s="1">
        <f>Main_Data!J35</f>
        <v>82</v>
      </c>
      <c r="K35" s="1">
        <f>Main_Data!K35</f>
        <v>62</v>
      </c>
      <c r="L35" s="1" t="str">
        <f>Main_Data!L35</f>
        <v>South America</v>
      </c>
      <c r="M35" s="1" t="str">
        <f>PROPER(TRIM(Main_Data!A35))</f>
        <v>Brazil</v>
      </c>
      <c r="N35" s="1" t="str">
        <f>PROPER(TRIM(Main_Data!B35))</f>
        <v>South America</v>
      </c>
      <c r="O35" s="1" t="str" cm="1">
        <f t="array" ref="O35">_xlfn.IFS(F35&gt;=80,"Very High",F35&gt;=70,"High",F35&gt;=60,"Medium",TRUE,"Low")</f>
        <v>Medium</v>
      </c>
      <c r="P35" s="1" t="str" cm="1">
        <f t="array" ref="P35">_xlfn.IFS(D35&gt;=40000,"High Income",D35&gt;=15000,"Middle Income",TRUE,"Low Income")</f>
        <v>High Income</v>
      </c>
      <c r="Q35" s="1" t="str">
        <f t="shared" si="0"/>
        <v>Duplicate</v>
      </c>
    </row>
    <row r="36" spans="1:17" x14ac:dyDescent="0.25">
      <c r="A36" s="1" t="str">
        <f>Main_Data!A36</f>
        <v>China</v>
      </c>
      <c r="B36" s="1" t="str">
        <f>Main_Data!B36</f>
        <v>East Asia</v>
      </c>
      <c r="C36" s="1">
        <f>Main_Data!C36</f>
        <v>2021</v>
      </c>
      <c r="D36" s="1">
        <f>Main_Data!D36</f>
        <v>34214</v>
      </c>
      <c r="E36" s="1">
        <f>Main_Data!E36</f>
        <v>13.2</v>
      </c>
      <c r="F36" s="1">
        <f>Main_Data!F36</f>
        <v>73</v>
      </c>
      <c r="G36" s="1">
        <f>Main_Data!G36</f>
        <v>1162132779</v>
      </c>
      <c r="H36" s="1">
        <f>Main_Data!H36</f>
        <v>85</v>
      </c>
      <c r="I36" s="1">
        <f>Main_Data!I36</f>
        <v>12.4</v>
      </c>
      <c r="J36" s="1">
        <f>Main_Data!J36</f>
        <v>74</v>
      </c>
      <c r="K36" s="1">
        <f>Main_Data!K36</f>
        <v>58</v>
      </c>
      <c r="L36" s="1" t="str">
        <f>Main_Data!L36</f>
        <v>Asia</v>
      </c>
      <c r="M36" s="1" t="str">
        <f>PROPER(TRIM(Main_Data!A36))</f>
        <v>China</v>
      </c>
      <c r="N36" s="1" t="str">
        <f>PROPER(TRIM(Main_Data!B36))</f>
        <v>East Asia</v>
      </c>
      <c r="O36" s="1" t="str" cm="1">
        <f t="array" ref="O36">_xlfn.IFS(F36&gt;=80,"Very High",F36&gt;=70,"High",F36&gt;=60,"Medium",TRUE,"Low")</f>
        <v>High</v>
      </c>
      <c r="P36" s="1" t="str" cm="1">
        <f t="array" ref="P36">_xlfn.IFS(D36&gt;=40000,"High Income",D36&gt;=15000,"Middle Income",TRUE,"Low Income")</f>
        <v>Middle Income</v>
      </c>
      <c r="Q36" s="1" t="str">
        <f t="shared" si="0"/>
        <v>Duplicate</v>
      </c>
    </row>
    <row r="37" spans="1:17" x14ac:dyDescent="0.25">
      <c r="A37" s="1" t="str">
        <f>Main_Data!A37</f>
        <v>UK</v>
      </c>
      <c r="B37" s="1" t="str">
        <f>Main_Data!B37</f>
        <v>Europe</v>
      </c>
      <c r="C37" s="1">
        <f>Main_Data!C37</f>
        <v>2022</v>
      </c>
      <c r="D37" s="1">
        <f>Main_Data!D37</f>
        <v>67823</v>
      </c>
      <c r="E37" s="1">
        <f>Main_Data!E37</f>
        <v>5.3</v>
      </c>
      <c r="F37" s="1">
        <f>Main_Data!F37</f>
        <v>76</v>
      </c>
      <c r="G37" s="1">
        <f>Main_Data!G37</f>
        <v>607447700</v>
      </c>
      <c r="H37" s="1">
        <f>Main_Data!H37</f>
        <v>55</v>
      </c>
      <c r="I37" s="1">
        <f>Main_Data!I37</f>
        <v>4.5</v>
      </c>
      <c r="J37" s="1">
        <f>Main_Data!J37</f>
        <v>88</v>
      </c>
      <c r="K37" s="1">
        <f>Main_Data!K37</f>
        <v>58</v>
      </c>
      <c r="L37" s="1" t="str">
        <f>Main_Data!L37</f>
        <v>Europe</v>
      </c>
      <c r="M37" s="1" t="str">
        <f>PROPER(TRIM(Main_Data!A37))</f>
        <v>Uk</v>
      </c>
      <c r="N37" s="1" t="str">
        <f>PROPER(TRIM(Main_Data!B37))</f>
        <v>Europe</v>
      </c>
      <c r="O37" s="1" t="str" cm="1">
        <f t="array" ref="O37">_xlfn.IFS(F37&gt;=80,"Very High",F37&gt;=70,"High",F37&gt;=60,"Medium",TRUE,"Low")</f>
        <v>High</v>
      </c>
      <c r="P37" s="1" t="str" cm="1">
        <f t="array" ref="P37">_xlfn.IFS(D37&gt;=40000,"High Income",D37&gt;=15000,"Middle Income",TRUE,"Low Income")</f>
        <v>High Income</v>
      </c>
      <c r="Q37" s="1" t="str">
        <f t="shared" si="0"/>
        <v>Duplicate</v>
      </c>
    </row>
    <row r="38" spans="1:17" x14ac:dyDescent="0.25">
      <c r="A38" s="1" t="str">
        <f>Main_Data!A38</f>
        <v>Canada</v>
      </c>
      <c r="B38" s="1" t="str">
        <f>Main_Data!B38</f>
        <v>North America</v>
      </c>
      <c r="C38" s="1">
        <f>Main_Data!C38</f>
        <v>2022</v>
      </c>
      <c r="D38" s="1">
        <f>Main_Data!D38</f>
        <v>51976</v>
      </c>
      <c r="E38" s="1">
        <f>Main_Data!E38</f>
        <v>5.4</v>
      </c>
      <c r="F38" s="1">
        <f>Main_Data!F38</f>
        <v>73</v>
      </c>
      <c r="G38" s="1">
        <f>Main_Data!G38</f>
        <v>661569142</v>
      </c>
      <c r="H38" s="1">
        <f>Main_Data!H38</f>
        <v>63</v>
      </c>
      <c r="I38" s="1">
        <f>Main_Data!I38</f>
        <v>10.199999999999999</v>
      </c>
      <c r="J38" s="1">
        <f>Main_Data!J38</f>
        <v>99</v>
      </c>
      <c r="K38" s="1">
        <f>Main_Data!K38</f>
        <v>87</v>
      </c>
      <c r="L38" s="1" t="str">
        <f>Main_Data!L38</f>
        <v>North America</v>
      </c>
      <c r="M38" s="1" t="str">
        <f>PROPER(TRIM(Main_Data!A38))</f>
        <v>Canada</v>
      </c>
      <c r="N38" s="1" t="str">
        <f>PROPER(TRIM(Main_Data!B38))</f>
        <v>North America</v>
      </c>
      <c r="O38" s="1" t="str" cm="1">
        <f t="array" ref="O38">_xlfn.IFS(F38&gt;=80,"Very High",F38&gt;=70,"High",F38&gt;=60,"Medium",TRUE,"Low")</f>
        <v>High</v>
      </c>
      <c r="P38" s="1" t="str" cm="1">
        <f t="array" ref="P38">_xlfn.IFS(D38&gt;=40000,"High Income",D38&gt;=15000,"Middle Income",TRUE,"Low Income")</f>
        <v>High Income</v>
      </c>
      <c r="Q38" s="1" t="str">
        <f t="shared" si="0"/>
        <v>Duplicate</v>
      </c>
    </row>
    <row r="39" spans="1:17" x14ac:dyDescent="0.25">
      <c r="A39" s="1" t="str">
        <f>Main_Data!A39</f>
        <v>Australia</v>
      </c>
      <c r="B39" s="1" t="str">
        <f>Main_Data!B39</f>
        <v>Oceania</v>
      </c>
      <c r="C39" s="1">
        <f>Main_Data!C39</f>
        <v>2020</v>
      </c>
      <c r="D39" s="1">
        <f>Main_Data!D39</f>
        <v>61612</v>
      </c>
      <c r="E39" s="1">
        <f>Main_Data!E39</f>
        <v>6.8</v>
      </c>
      <c r="F39" s="1">
        <f>Main_Data!F39</f>
        <v>84</v>
      </c>
      <c r="G39" s="1">
        <f>Main_Data!G39</f>
        <v>1335176541</v>
      </c>
      <c r="H39" s="1">
        <f>Main_Data!H39</f>
        <v>63</v>
      </c>
      <c r="I39" s="1">
        <f>Main_Data!I39</f>
        <v>14.9</v>
      </c>
      <c r="J39" s="1">
        <f>Main_Data!J39</f>
        <v>73</v>
      </c>
      <c r="K39" s="1">
        <f>Main_Data!K39</f>
        <v>69</v>
      </c>
      <c r="L39" s="1" t="str">
        <f>Main_Data!L39</f>
        <v>Oceania</v>
      </c>
      <c r="M39" s="1" t="str">
        <f>PROPER(TRIM(Main_Data!A39))</f>
        <v>Australia</v>
      </c>
      <c r="N39" s="1" t="str">
        <f>PROPER(TRIM(Main_Data!B39))</f>
        <v>Oceania</v>
      </c>
      <c r="O39" s="1" t="str" cm="1">
        <f t="array" ref="O39">_xlfn.IFS(F39&gt;=80,"Very High",F39&gt;=70,"High",F39&gt;=60,"Medium",TRUE,"Low")</f>
        <v>Very High</v>
      </c>
      <c r="P39" s="1" t="str" cm="1">
        <f t="array" ref="P39">_xlfn.IFS(D39&gt;=40000,"High Income",D39&gt;=15000,"Middle Income",TRUE,"Low Income")</f>
        <v>High Income</v>
      </c>
      <c r="Q39" s="1" t="str">
        <f t="shared" si="0"/>
        <v>Duplicate</v>
      </c>
    </row>
    <row r="40" spans="1:17" x14ac:dyDescent="0.25">
      <c r="A40" s="1" t="str">
        <f>Main_Data!A40</f>
        <v>Japan</v>
      </c>
      <c r="B40" s="1" t="str">
        <f>Main_Data!B40</f>
        <v>East Asia</v>
      </c>
      <c r="C40" s="1">
        <f>Main_Data!C40</f>
        <v>2020</v>
      </c>
      <c r="D40" s="1">
        <f>Main_Data!D40</f>
        <v>13090</v>
      </c>
      <c r="E40" s="1">
        <f>Main_Data!E40</f>
        <v>12.9</v>
      </c>
      <c r="F40" s="1">
        <f>Main_Data!F40</f>
        <v>62</v>
      </c>
      <c r="G40" s="1">
        <f>Main_Data!G40</f>
        <v>805568777</v>
      </c>
      <c r="H40" s="1">
        <f>Main_Data!H40</f>
        <v>69</v>
      </c>
      <c r="I40" s="1">
        <f>Main_Data!I40</f>
        <v>13</v>
      </c>
      <c r="J40" s="1">
        <f>Main_Data!J40</f>
        <v>70</v>
      </c>
      <c r="K40" s="1">
        <f>Main_Data!K40</f>
        <v>33</v>
      </c>
      <c r="L40" s="1" t="str">
        <f>Main_Data!L40</f>
        <v>Asia</v>
      </c>
      <c r="M40" s="1" t="str">
        <f>PROPER(TRIM(Main_Data!A40))</f>
        <v>Japan</v>
      </c>
      <c r="N40" s="1" t="str">
        <f>PROPER(TRIM(Main_Data!B40))</f>
        <v>East Asia</v>
      </c>
      <c r="O40" s="1" t="str" cm="1">
        <f t="array" ref="O40">_xlfn.IFS(F40&gt;=80,"Very High",F40&gt;=70,"High",F40&gt;=60,"Medium",TRUE,"Low")</f>
        <v>Medium</v>
      </c>
      <c r="P40" s="1" t="str" cm="1">
        <f t="array" ref="P40">_xlfn.IFS(D40&gt;=40000,"High Income",D40&gt;=15000,"Middle Income",TRUE,"Low Income")</f>
        <v>Low Income</v>
      </c>
      <c r="Q40" s="1" t="str">
        <f t="shared" si="0"/>
        <v>Duplicate</v>
      </c>
    </row>
    <row r="41" spans="1:17" x14ac:dyDescent="0.25">
      <c r="A41" s="1" t="str">
        <f>Main_Data!A41</f>
        <v>South Africa</v>
      </c>
      <c r="B41" s="1" t="str">
        <f>Main_Data!B41</f>
        <v>Africa</v>
      </c>
      <c r="C41" s="1">
        <f>Main_Data!C41</f>
        <v>2021</v>
      </c>
      <c r="D41" s="1">
        <f>Main_Data!D41</f>
        <v>50374</v>
      </c>
      <c r="E41" s="1">
        <f>Main_Data!E41</f>
        <v>14.6</v>
      </c>
      <c r="F41" s="1">
        <f>Main_Data!F41</f>
        <v>84</v>
      </c>
      <c r="G41" s="1">
        <f>Main_Data!G41</f>
        <v>325233161</v>
      </c>
      <c r="H41" s="1">
        <f>Main_Data!H41</f>
        <v>64</v>
      </c>
      <c r="I41" s="1">
        <f>Main_Data!I41</f>
        <v>13</v>
      </c>
      <c r="J41" s="1">
        <f>Main_Data!J41</f>
        <v>86</v>
      </c>
      <c r="K41" s="1">
        <f>Main_Data!K41</f>
        <v>50</v>
      </c>
      <c r="L41" s="1" t="str">
        <f>Main_Data!L41</f>
        <v>Africa</v>
      </c>
      <c r="M41" s="1" t="str">
        <f>PROPER(TRIM(Main_Data!A41))</f>
        <v>South Africa</v>
      </c>
      <c r="N41" s="1" t="str">
        <f>PROPER(TRIM(Main_Data!B41))</f>
        <v>Africa</v>
      </c>
      <c r="O41" s="1" t="str" cm="1">
        <f t="array" ref="O41">_xlfn.IFS(F41&gt;=80,"Very High",F41&gt;=70,"High",F41&gt;=60,"Medium",TRUE,"Low")</f>
        <v>Very High</v>
      </c>
      <c r="P41" s="1" t="str" cm="1">
        <f t="array" ref="P41">_xlfn.IFS(D41&gt;=40000,"High Income",D41&gt;=15000,"Middle Income",TRUE,"Low Income")</f>
        <v>High Income</v>
      </c>
      <c r="Q41" s="1" t="str">
        <f t="shared" si="0"/>
        <v>Duplicate</v>
      </c>
    </row>
    <row r="42" spans="1:17" x14ac:dyDescent="0.25">
      <c r="A42" s="1" t="str">
        <f>Main_Data!A42</f>
        <v>India</v>
      </c>
      <c r="B42" s="1" t="str">
        <f>Main_Data!B42</f>
        <v>South Asia</v>
      </c>
      <c r="C42" s="1">
        <f>Main_Data!C42</f>
        <v>2022</v>
      </c>
      <c r="D42" s="1">
        <f>Main_Data!D42</f>
        <v>14668</v>
      </c>
      <c r="E42" s="1">
        <f>Main_Data!E42</f>
        <v>7.5</v>
      </c>
      <c r="F42" s="1">
        <f>Main_Data!F42</f>
        <v>82</v>
      </c>
      <c r="G42" s="1">
        <f>Main_Data!G42</f>
        <v>1036423983</v>
      </c>
      <c r="H42" s="1">
        <f>Main_Data!H42</f>
        <v>52</v>
      </c>
      <c r="I42" s="1">
        <f>Main_Data!I42</f>
        <v>17.3</v>
      </c>
      <c r="J42" s="1">
        <f>Main_Data!J42</f>
        <v>78</v>
      </c>
      <c r="K42" s="1">
        <f>Main_Data!K42</f>
        <v>52</v>
      </c>
      <c r="L42" s="1" t="str">
        <f>Main_Data!L42</f>
        <v>Asia</v>
      </c>
      <c r="M42" s="1" t="str">
        <f>PROPER(TRIM(Main_Data!A42))</f>
        <v>India</v>
      </c>
      <c r="N42" s="1" t="str">
        <f>PROPER(TRIM(Main_Data!B42))</f>
        <v>South Asia</v>
      </c>
      <c r="O42" s="1" t="str" cm="1">
        <f t="array" ref="O42">_xlfn.IFS(F42&gt;=80,"Very High",F42&gt;=70,"High",F42&gt;=60,"Medium",TRUE,"Low")</f>
        <v>Very High</v>
      </c>
      <c r="P42" s="1" t="str" cm="1">
        <f t="array" ref="P42">_xlfn.IFS(D42&gt;=40000,"High Income",D42&gt;=15000,"Middle Income",TRUE,"Low Income")</f>
        <v>Low Income</v>
      </c>
      <c r="Q42" s="1" t="str">
        <f t="shared" si="0"/>
        <v>Duplicate</v>
      </c>
    </row>
    <row r="43" spans="1:17" x14ac:dyDescent="0.25">
      <c r="A43" s="1" t="str">
        <f>Main_Data!A43</f>
        <v>USA</v>
      </c>
      <c r="B43" s="1" t="str">
        <f>Main_Data!B43</f>
        <v>North America</v>
      </c>
      <c r="C43" s="1">
        <f>Main_Data!C43</f>
        <v>2021</v>
      </c>
      <c r="D43" s="1">
        <f>Main_Data!D43</f>
        <v>59007</v>
      </c>
      <c r="E43" s="1">
        <f>Main_Data!E43</f>
        <v>3.5</v>
      </c>
      <c r="F43" s="1">
        <f>Main_Data!F43</f>
        <v>65</v>
      </c>
      <c r="G43" s="1">
        <f>Main_Data!G43</f>
        <v>502614406</v>
      </c>
      <c r="H43" s="1">
        <f>Main_Data!H43</f>
        <v>89</v>
      </c>
      <c r="I43" s="1">
        <f>Main_Data!I43</f>
        <v>17.899999999999999</v>
      </c>
      <c r="J43" s="1">
        <f>Main_Data!J43</f>
        <v>77</v>
      </c>
      <c r="K43" s="1">
        <f>Main_Data!K43</f>
        <v>55</v>
      </c>
      <c r="L43" s="1" t="str">
        <f>Main_Data!L43</f>
        <v>North America</v>
      </c>
      <c r="M43" s="1" t="str">
        <f>PROPER(TRIM(Main_Data!A43))</f>
        <v>Usa</v>
      </c>
      <c r="N43" s="1" t="str">
        <f>PROPER(TRIM(Main_Data!B43))</f>
        <v>North America</v>
      </c>
      <c r="O43" s="1" t="str" cm="1">
        <f t="array" ref="O43">_xlfn.IFS(F43&gt;=80,"Very High",F43&gt;=70,"High",F43&gt;=60,"Medium",TRUE,"Low")</f>
        <v>Medium</v>
      </c>
      <c r="P43" s="1" t="str" cm="1">
        <f t="array" ref="P43">_xlfn.IFS(D43&gt;=40000,"High Income",D43&gt;=15000,"Middle Income",TRUE,"Low Income")</f>
        <v>High Income</v>
      </c>
      <c r="Q43" s="1" t="str">
        <f t="shared" si="0"/>
        <v>Duplicate</v>
      </c>
    </row>
    <row r="44" spans="1:17" x14ac:dyDescent="0.25">
      <c r="A44" s="1" t="str">
        <f>Main_Data!A44</f>
        <v>Germany</v>
      </c>
      <c r="B44" s="1" t="str">
        <f>Main_Data!B44</f>
        <v>Europe</v>
      </c>
      <c r="C44" s="1">
        <f>Main_Data!C44</f>
        <v>2022</v>
      </c>
      <c r="D44" s="1">
        <f>Main_Data!D44</f>
        <v>40567</v>
      </c>
      <c r="E44" s="1">
        <f>Main_Data!E44</f>
        <v>13</v>
      </c>
      <c r="F44" s="1">
        <f>Main_Data!F44</f>
        <v>60</v>
      </c>
      <c r="G44" s="1">
        <f>Main_Data!G44</f>
        <v>1073893367</v>
      </c>
      <c r="H44" s="1">
        <f>Main_Data!H44</f>
        <v>62</v>
      </c>
      <c r="I44" s="1">
        <f>Main_Data!I44</f>
        <v>13.7</v>
      </c>
      <c r="J44" s="1">
        <f>Main_Data!J44</f>
        <v>89</v>
      </c>
      <c r="K44" s="1">
        <f>Main_Data!K44</f>
        <v>40</v>
      </c>
      <c r="L44" s="1" t="str">
        <f>Main_Data!L44</f>
        <v>Europe</v>
      </c>
      <c r="M44" s="1" t="str">
        <f>PROPER(TRIM(Main_Data!A44))</f>
        <v>Germany</v>
      </c>
      <c r="N44" s="1" t="str">
        <f>PROPER(TRIM(Main_Data!B44))</f>
        <v>Europe</v>
      </c>
      <c r="O44" s="1" t="str" cm="1">
        <f t="array" ref="O44">_xlfn.IFS(F44&gt;=80,"Very High",F44&gt;=70,"High",F44&gt;=60,"Medium",TRUE,"Low")</f>
        <v>Medium</v>
      </c>
      <c r="P44" s="1" t="str" cm="1">
        <f t="array" ref="P44">_xlfn.IFS(D44&gt;=40000,"High Income",D44&gt;=15000,"Middle Income",TRUE,"Low Income")</f>
        <v>High Income</v>
      </c>
      <c r="Q44" s="1" t="str">
        <f t="shared" si="0"/>
        <v>Duplicate</v>
      </c>
    </row>
    <row r="45" spans="1:17" x14ac:dyDescent="0.25">
      <c r="A45" s="1" t="str">
        <f>Main_Data!A45</f>
        <v>Brazil</v>
      </c>
      <c r="B45" s="1" t="str">
        <f>Main_Data!B45</f>
        <v>South America</v>
      </c>
      <c r="C45" s="1">
        <f>Main_Data!C45</f>
        <v>2021</v>
      </c>
      <c r="D45" s="1">
        <f>Main_Data!D45</f>
        <v>58923</v>
      </c>
      <c r="E45" s="1">
        <f>Main_Data!E45</f>
        <v>11.9</v>
      </c>
      <c r="F45" s="1">
        <f>Main_Data!F45</f>
        <v>85</v>
      </c>
      <c r="G45" s="1">
        <f>Main_Data!G45</f>
        <v>422096839</v>
      </c>
      <c r="H45" s="1">
        <f>Main_Data!H45</f>
        <v>65</v>
      </c>
      <c r="I45" s="1">
        <f>Main_Data!I45</f>
        <v>10.1</v>
      </c>
      <c r="J45" s="1">
        <f>Main_Data!J45</f>
        <v>87</v>
      </c>
      <c r="K45" s="1">
        <f>Main_Data!K45</f>
        <v>81</v>
      </c>
      <c r="L45" s="1" t="str">
        <f>Main_Data!L45</f>
        <v>South America</v>
      </c>
      <c r="M45" s="1" t="str">
        <f>PROPER(TRIM(Main_Data!A45))</f>
        <v>Brazil</v>
      </c>
      <c r="N45" s="1" t="str">
        <f>PROPER(TRIM(Main_Data!B45))</f>
        <v>South America</v>
      </c>
      <c r="O45" s="1" t="str" cm="1">
        <f t="array" ref="O45">_xlfn.IFS(F45&gt;=80,"Very High",F45&gt;=70,"High",F45&gt;=60,"Medium",TRUE,"Low")</f>
        <v>Very High</v>
      </c>
      <c r="P45" s="1" t="str" cm="1">
        <f t="array" ref="P45">_xlfn.IFS(D45&gt;=40000,"High Income",D45&gt;=15000,"Middle Income",TRUE,"Low Income")</f>
        <v>High Income</v>
      </c>
      <c r="Q45" s="1" t="str">
        <f t="shared" si="0"/>
        <v>Duplicate</v>
      </c>
    </row>
    <row r="46" spans="1:17" x14ac:dyDescent="0.25">
      <c r="A46" s="1" t="str">
        <f>Main_Data!A46</f>
        <v>China</v>
      </c>
      <c r="B46" s="1" t="str">
        <f>Main_Data!B46</f>
        <v>East Asia</v>
      </c>
      <c r="C46" s="1">
        <f>Main_Data!C46</f>
        <v>2020</v>
      </c>
      <c r="D46" s="1">
        <f>Main_Data!D46</f>
        <v>49810</v>
      </c>
      <c r="E46" s="1">
        <f>Main_Data!E46</f>
        <v>10.4</v>
      </c>
      <c r="F46" s="1">
        <f>Main_Data!F46</f>
        <v>73</v>
      </c>
      <c r="G46" s="1">
        <f>Main_Data!G46</f>
        <v>1099672665</v>
      </c>
      <c r="H46" s="1">
        <f>Main_Data!H46</f>
        <v>78</v>
      </c>
      <c r="I46" s="1">
        <f>Main_Data!I46</f>
        <v>9.8000000000000007</v>
      </c>
      <c r="J46" s="1">
        <f>Main_Data!J46</f>
        <v>71</v>
      </c>
      <c r="K46" s="1">
        <f>Main_Data!K46</f>
        <v>58</v>
      </c>
      <c r="L46" s="1" t="str">
        <f>Main_Data!L46</f>
        <v>Asia</v>
      </c>
      <c r="M46" s="1" t="str">
        <f>PROPER(TRIM(Main_Data!A46))</f>
        <v>China</v>
      </c>
      <c r="N46" s="1" t="str">
        <f>PROPER(TRIM(Main_Data!B46))</f>
        <v>East Asia</v>
      </c>
      <c r="O46" s="1" t="str" cm="1">
        <f t="array" ref="O46">_xlfn.IFS(F46&gt;=80,"Very High",F46&gt;=70,"High",F46&gt;=60,"Medium",TRUE,"Low")</f>
        <v>High</v>
      </c>
      <c r="P46" s="1" t="str" cm="1">
        <f t="array" ref="P46">_xlfn.IFS(D46&gt;=40000,"High Income",D46&gt;=15000,"Middle Income",TRUE,"Low Income")</f>
        <v>High Income</v>
      </c>
      <c r="Q46" s="1" t="str">
        <f t="shared" si="0"/>
        <v>Duplicate</v>
      </c>
    </row>
    <row r="47" spans="1:17" x14ac:dyDescent="0.25">
      <c r="A47" s="1" t="str">
        <f>Main_Data!A47</f>
        <v>UK</v>
      </c>
      <c r="B47" s="1" t="str">
        <f>Main_Data!B47</f>
        <v>Europe</v>
      </c>
      <c r="C47" s="1">
        <f>Main_Data!C47</f>
        <v>2021</v>
      </c>
      <c r="D47" s="1">
        <f>Main_Data!D47</f>
        <v>41139</v>
      </c>
      <c r="E47" s="1">
        <f>Main_Data!E47</f>
        <v>9.6</v>
      </c>
      <c r="F47" s="1">
        <f>Main_Data!F47</f>
        <v>66</v>
      </c>
      <c r="G47" s="1">
        <f>Main_Data!G47</f>
        <v>592002155</v>
      </c>
      <c r="H47" s="1">
        <f>Main_Data!H47</f>
        <v>68</v>
      </c>
      <c r="I47" s="1">
        <f>Main_Data!I47</f>
        <v>15.4</v>
      </c>
      <c r="J47" s="1">
        <f>Main_Data!J47</f>
        <v>93</v>
      </c>
      <c r="K47" s="1">
        <f>Main_Data!K47</f>
        <v>60</v>
      </c>
      <c r="L47" s="1" t="str">
        <f>Main_Data!L47</f>
        <v>Europe</v>
      </c>
      <c r="M47" s="1" t="str">
        <f>PROPER(TRIM(Main_Data!A47))</f>
        <v>Uk</v>
      </c>
      <c r="N47" s="1" t="str">
        <f>PROPER(TRIM(Main_Data!B47))</f>
        <v>Europe</v>
      </c>
      <c r="O47" s="1" t="str" cm="1">
        <f t="array" ref="O47">_xlfn.IFS(F47&gt;=80,"Very High",F47&gt;=70,"High",F47&gt;=60,"Medium",TRUE,"Low")</f>
        <v>Medium</v>
      </c>
      <c r="P47" s="1" t="str" cm="1">
        <f t="array" ref="P47">_xlfn.IFS(D47&gt;=40000,"High Income",D47&gt;=15000,"Middle Income",TRUE,"Low Income")</f>
        <v>High Income</v>
      </c>
      <c r="Q47" s="1" t="str">
        <f t="shared" si="0"/>
        <v>Duplicate</v>
      </c>
    </row>
    <row r="48" spans="1:17" x14ac:dyDescent="0.25">
      <c r="A48" s="1" t="str">
        <f>Main_Data!A48</f>
        <v>Canada</v>
      </c>
      <c r="B48" s="1" t="str">
        <f>Main_Data!B48</f>
        <v>North America</v>
      </c>
      <c r="C48" s="1">
        <f>Main_Data!C48</f>
        <v>2020</v>
      </c>
      <c r="D48" s="1">
        <f>Main_Data!D48</f>
        <v>33558</v>
      </c>
      <c r="E48" s="1">
        <f>Main_Data!E48</f>
        <v>8.6999999999999993</v>
      </c>
      <c r="F48" s="1">
        <f>Main_Data!F48</f>
        <v>74</v>
      </c>
      <c r="G48" s="1">
        <f>Main_Data!G48</f>
        <v>1014884760</v>
      </c>
      <c r="H48" s="1">
        <f>Main_Data!H48</f>
        <v>58</v>
      </c>
      <c r="I48" s="1">
        <f>Main_Data!I48</f>
        <v>21.6</v>
      </c>
      <c r="J48" s="1">
        <f>Main_Data!J48</f>
        <v>74</v>
      </c>
      <c r="K48" s="1">
        <f>Main_Data!K48</f>
        <v>62</v>
      </c>
      <c r="L48" s="1" t="str">
        <f>Main_Data!L48</f>
        <v>North America</v>
      </c>
      <c r="M48" s="1" t="str">
        <f>PROPER(TRIM(Main_Data!A48))</f>
        <v>Canada</v>
      </c>
      <c r="N48" s="1" t="str">
        <f>PROPER(TRIM(Main_Data!B48))</f>
        <v>North America</v>
      </c>
      <c r="O48" s="1" t="str" cm="1">
        <f t="array" ref="O48">_xlfn.IFS(F48&gt;=80,"Very High",F48&gt;=70,"High",F48&gt;=60,"Medium",TRUE,"Low")</f>
        <v>High</v>
      </c>
      <c r="P48" s="1" t="str" cm="1">
        <f t="array" ref="P48">_xlfn.IFS(D48&gt;=40000,"High Income",D48&gt;=15000,"Middle Income",TRUE,"Low Income")</f>
        <v>Middle Income</v>
      </c>
      <c r="Q48" s="1" t="str">
        <f t="shared" si="0"/>
        <v>Duplicate</v>
      </c>
    </row>
    <row r="49" spans="1:17" x14ac:dyDescent="0.25">
      <c r="A49" s="1" t="str">
        <f>Main_Data!A49</f>
        <v>Australia</v>
      </c>
      <c r="B49" s="1" t="str">
        <f>Main_Data!B49</f>
        <v>Oceania</v>
      </c>
      <c r="C49" s="1">
        <f>Main_Data!C49</f>
        <v>2020</v>
      </c>
      <c r="D49" s="1">
        <f>Main_Data!D49</f>
        <v>54191</v>
      </c>
      <c r="E49" s="1">
        <f>Main_Data!E49</f>
        <v>10.1</v>
      </c>
      <c r="F49" s="1">
        <f>Main_Data!F49</f>
        <v>60</v>
      </c>
      <c r="G49" s="1">
        <f>Main_Data!G49</f>
        <v>53256055</v>
      </c>
      <c r="H49" s="1">
        <f>Main_Data!H49</f>
        <v>61</v>
      </c>
      <c r="I49" s="1">
        <f>Main_Data!I49</f>
        <v>6.1</v>
      </c>
      <c r="J49" s="1">
        <f>Main_Data!J49</f>
        <v>73</v>
      </c>
      <c r="K49" s="1">
        <f>Main_Data!K49</f>
        <v>89</v>
      </c>
      <c r="L49" s="1" t="str">
        <f>Main_Data!L49</f>
        <v>Oceania</v>
      </c>
      <c r="M49" s="1" t="str">
        <f>PROPER(TRIM(Main_Data!A49))</f>
        <v>Australia</v>
      </c>
      <c r="N49" s="1" t="str">
        <f>PROPER(TRIM(Main_Data!B49))</f>
        <v>Oceania</v>
      </c>
      <c r="O49" s="1" t="str" cm="1">
        <f t="array" ref="O49">_xlfn.IFS(F49&gt;=80,"Very High",F49&gt;=70,"High",F49&gt;=60,"Medium",TRUE,"Low")</f>
        <v>Medium</v>
      </c>
      <c r="P49" s="1" t="str" cm="1">
        <f t="array" ref="P49">_xlfn.IFS(D49&gt;=40000,"High Income",D49&gt;=15000,"Middle Income",TRUE,"Low Income")</f>
        <v>High Income</v>
      </c>
      <c r="Q49" s="1" t="str">
        <f t="shared" si="0"/>
        <v>Duplicate</v>
      </c>
    </row>
    <row r="50" spans="1:17" x14ac:dyDescent="0.25">
      <c r="A50" s="1" t="str">
        <f>Main_Data!A50</f>
        <v>Japan</v>
      </c>
      <c r="B50" s="1" t="str">
        <f>Main_Data!B50</f>
        <v>East Asia</v>
      </c>
      <c r="C50" s="1">
        <f>Main_Data!C50</f>
        <v>2021</v>
      </c>
      <c r="D50" s="1">
        <f>Main_Data!D50</f>
        <v>3025</v>
      </c>
      <c r="E50" s="1">
        <f>Main_Data!E50</f>
        <v>16.600000000000001</v>
      </c>
      <c r="F50" s="1">
        <f>Main_Data!F50</f>
        <v>81</v>
      </c>
      <c r="G50" s="1">
        <f>Main_Data!G50</f>
        <v>852373935</v>
      </c>
      <c r="H50" s="1">
        <f>Main_Data!H50</f>
        <v>63</v>
      </c>
      <c r="I50" s="1">
        <f>Main_Data!I50</f>
        <v>8.3000000000000007</v>
      </c>
      <c r="J50" s="1">
        <f>Main_Data!J50</f>
        <v>96</v>
      </c>
      <c r="K50" s="1">
        <f>Main_Data!K50</f>
        <v>44</v>
      </c>
      <c r="L50" s="1" t="str">
        <f>Main_Data!L50</f>
        <v>Asia</v>
      </c>
      <c r="M50" s="1" t="str">
        <f>PROPER(TRIM(Main_Data!A50))</f>
        <v>Japan</v>
      </c>
      <c r="N50" s="1" t="str">
        <f>PROPER(TRIM(Main_Data!B50))</f>
        <v>East Asia</v>
      </c>
      <c r="O50" s="1" t="str" cm="1">
        <f t="array" ref="O50">_xlfn.IFS(F50&gt;=80,"Very High",F50&gt;=70,"High",F50&gt;=60,"Medium",TRUE,"Low")</f>
        <v>Very High</v>
      </c>
      <c r="P50" s="1" t="str" cm="1">
        <f t="array" ref="P50">_xlfn.IFS(D50&gt;=40000,"High Income",D50&gt;=15000,"Middle Income",TRUE,"Low Income")</f>
        <v>Low Income</v>
      </c>
      <c r="Q50" s="1" t="str">
        <f t="shared" si="0"/>
        <v>Duplicate</v>
      </c>
    </row>
    <row r="51" spans="1:17" x14ac:dyDescent="0.25">
      <c r="A51" s="1" t="str">
        <f>Main_Data!A51</f>
        <v>South Africa</v>
      </c>
      <c r="B51" s="1" t="str">
        <f>Main_Data!B51</f>
        <v>Africa</v>
      </c>
      <c r="C51" s="1">
        <f>Main_Data!C51</f>
        <v>2022</v>
      </c>
      <c r="D51" s="1">
        <f>Main_Data!D51</f>
        <v>11842</v>
      </c>
      <c r="E51" s="1">
        <f>Main_Data!E51</f>
        <v>14.8</v>
      </c>
      <c r="F51" s="1">
        <f>Main_Data!F51</f>
        <v>61</v>
      </c>
      <c r="G51" s="1">
        <f>Main_Data!G51</f>
        <v>103435563</v>
      </c>
      <c r="H51" s="1">
        <f>Main_Data!H51</f>
        <v>79</v>
      </c>
      <c r="I51" s="1">
        <f>Main_Data!I51</f>
        <v>5</v>
      </c>
      <c r="J51" s="1">
        <f>Main_Data!J51</f>
        <v>81</v>
      </c>
      <c r="K51" s="1">
        <f>Main_Data!K51</f>
        <v>59</v>
      </c>
      <c r="L51" s="1" t="str">
        <f>Main_Data!L51</f>
        <v>Africa</v>
      </c>
      <c r="M51" s="1" t="str">
        <f>PROPER(TRIM(Main_Data!A51))</f>
        <v>South Africa</v>
      </c>
      <c r="N51" s="1" t="str">
        <f>PROPER(TRIM(Main_Data!B51))</f>
        <v>Africa</v>
      </c>
      <c r="O51" s="1" t="str" cm="1">
        <f t="array" ref="O51">_xlfn.IFS(F51&gt;=80,"Very High",F51&gt;=70,"High",F51&gt;=60,"Medium",TRUE,"Low")</f>
        <v>Medium</v>
      </c>
      <c r="P51" s="1" t="str" cm="1">
        <f t="array" ref="P51">_xlfn.IFS(D51&gt;=40000,"High Income",D51&gt;=15000,"Middle Income",TRUE,"Low Income")</f>
        <v>Low Income</v>
      </c>
      <c r="Q51" s="1" t="str">
        <f t="shared" si="0"/>
        <v>Duplicate</v>
      </c>
    </row>
    <row r="52" spans="1:17" x14ac:dyDescent="0.25">
      <c r="A52" s="1" t="str">
        <f>Main_Data!A52</f>
        <v>India</v>
      </c>
      <c r="B52" s="1" t="str">
        <f>Main_Data!B52</f>
        <v>South Asia</v>
      </c>
      <c r="C52" s="1">
        <f>Main_Data!C52</f>
        <v>2022</v>
      </c>
      <c r="D52" s="1">
        <f>Main_Data!D52</f>
        <v>57086</v>
      </c>
      <c r="E52" s="1">
        <f>Main_Data!E52</f>
        <v>3.7</v>
      </c>
      <c r="F52" s="1">
        <f>Main_Data!F52</f>
        <v>70</v>
      </c>
      <c r="G52" s="1">
        <f>Main_Data!G52</f>
        <v>407781416</v>
      </c>
      <c r="H52" s="1">
        <f>Main_Data!H52</f>
        <v>86</v>
      </c>
      <c r="I52" s="1">
        <f>Main_Data!I52</f>
        <v>12.4</v>
      </c>
      <c r="J52" s="1">
        <f>Main_Data!J52</f>
        <v>80</v>
      </c>
      <c r="K52" s="1">
        <f>Main_Data!K52</f>
        <v>67</v>
      </c>
      <c r="L52" s="1" t="str">
        <f>Main_Data!L52</f>
        <v>Asia</v>
      </c>
      <c r="M52" s="1" t="str">
        <f>PROPER(TRIM(Main_Data!A52))</f>
        <v>India</v>
      </c>
      <c r="N52" s="1" t="str">
        <f>PROPER(TRIM(Main_Data!B52))</f>
        <v>South Asia</v>
      </c>
      <c r="O52" s="1" t="str" cm="1">
        <f t="array" ref="O52">_xlfn.IFS(F52&gt;=80,"Very High",F52&gt;=70,"High",F52&gt;=60,"Medium",TRUE,"Low")</f>
        <v>High</v>
      </c>
      <c r="P52" s="1" t="str" cm="1">
        <f t="array" ref="P52">_xlfn.IFS(D52&gt;=40000,"High Income",D52&gt;=15000,"Middle Income",TRUE,"Low Income")</f>
        <v>High Income</v>
      </c>
      <c r="Q52" s="1" t="str">
        <f t="shared" si="0"/>
        <v>Duplicate</v>
      </c>
    </row>
    <row r="53" spans="1:17" x14ac:dyDescent="0.25">
      <c r="A53" s="1" t="str">
        <f>Main_Data!A53</f>
        <v>USA</v>
      </c>
      <c r="B53" s="1" t="str">
        <f>Main_Data!B53</f>
        <v>North America</v>
      </c>
      <c r="C53" s="1">
        <f>Main_Data!C53</f>
        <v>2020</v>
      </c>
      <c r="D53" s="1">
        <f>Main_Data!D53</f>
        <v>58516</v>
      </c>
      <c r="E53" s="1">
        <f>Main_Data!E53</f>
        <v>7.2</v>
      </c>
      <c r="F53" s="1">
        <f>Main_Data!F53</f>
        <v>76</v>
      </c>
      <c r="G53" s="1">
        <f>Main_Data!G53</f>
        <v>982998397</v>
      </c>
      <c r="H53" s="1">
        <f>Main_Data!H53</f>
        <v>54</v>
      </c>
      <c r="I53" s="1">
        <f>Main_Data!I53</f>
        <v>17.899999999999999</v>
      </c>
      <c r="J53" s="1">
        <f>Main_Data!J53</f>
        <v>100</v>
      </c>
      <c r="K53" s="1">
        <f>Main_Data!K53</f>
        <v>78</v>
      </c>
      <c r="L53" s="1" t="str">
        <f>Main_Data!L53</f>
        <v>North America</v>
      </c>
      <c r="M53" s="1" t="str">
        <f>PROPER(TRIM(Main_Data!A53))</f>
        <v>Usa</v>
      </c>
      <c r="N53" s="1" t="str">
        <f>PROPER(TRIM(Main_Data!B53))</f>
        <v>North America</v>
      </c>
      <c r="O53" s="1" t="str" cm="1">
        <f t="array" ref="O53">_xlfn.IFS(F53&gt;=80,"Very High",F53&gt;=70,"High",F53&gt;=60,"Medium",TRUE,"Low")</f>
        <v>High</v>
      </c>
      <c r="P53" s="1" t="str" cm="1">
        <f t="array" ref="P53">_xlfn.IFS(D53&gt;=40000,"High Income",D53&gt;=15000,"Middle Income",TRUE,"Low Income")</f>
        <v>High Income</v>
      </c>
      <c r="Q53" s="1" t="str">
        <f t="shared" si="0"/>
        <v>Duplicate</v>
      </c>
    </row>
    <row r="54" spans="1:17" x14ac:dyDescent="0.25">
      <c r="A54" s="1" t="str">
        <f>Main_Data!A54</f>
        <v>Germany</v>
      </c>
      <c r="B54" s="1" t="str">
        <f>Main_Data!B54</f>
        <v>Europe</v>
      </c>
      <c r="C54" s="1">
        <f>Main_Data!C54</f>
        <v>2021</v>
      </c>
      <c r="D54" s="1">
        <f>Main_Data!D54</f>
        <v>29296</v>
      </c>
      <c r="E54" s="1">
        <f>Main_Data!E54</f>
        <v>16.100000000000001</v>
      </c>
      <c r="F54" s="1">
        <f>Main_Data!F54</f>
        <v>65</v>
      </c>
      <c r="G54" s="1">
        <f>Main_Data!G54</f>
        <v>1484677109</v>
      </c>
      <c r="H54" s="1">
        <f>Main_Data!H54</f>
        <v>64</v>
      </c>
      <c r="I54" s="1">
        <f>Main_Data!I54</f>
        <v>11.6</v>
      </c>
      <c r="J54" s="1">
        <f>Main_Data!J54</f>
        <v>87</v>
      </c>
      <c r="K54" s="1">
        <f>Main_Data!K54</f>
        <v>37</v>
      </c>
      <c r="L54" s="1" t="str">
        <f>Main_Data!L54</f>
        <v>Europe</v>
      </c>
      <c r="M54" s="1" t="str">
        <f>PROPER(TRIM(Main_Data!A54))</f>
        <v>Germany</v>
      </c>
      <c r="N54" s="1" t="str">
        <f>PROPER(TRIM(Main_Data!B54))</f>
        <v>Europe</v>
      </c>
      <c r="O54" s="1" t="str" cm="1">
        <f t="array" ref="O54">_xlfn.IFS(F54&gt;=80,"Very High",F54&gt;=70,"High",F54&gt;=60,"Medium",TRUE,"Low")</f>
        <v>Medium</v>
      </c>
      <c r="P54" s="1" t="str" cm="1">
        <f t="array" ref="P54">_xlfn.IFS(D54&gt;=40000,"High Income",D54&gt;=15000,"Middle Income",TRUE,"Low Income")</f>
        <v>Middle Income</v>
      </c>
      <c r="Q54" s="1" t="str">
        <f t="shared" si="0"/>
        <v>Duplicate</v>
      </c>
    </row>
    <row r="55" spans="1:17" x14ac:dyDescent="0.25">
      <c r="A55" s="1" t="str">
        <f>Main_Data!A55</f>
        <v>Brazil</v>
      </c>
      <c r="B55" s="1" t="str">
        <f>Main_Data!B55</f>
        <v>South America</v>
      </c>
      <c r="C55" s="1">
        <f>Main_Data!C55</f>
        <v>2022</v>
      </c>
      <c r="D55" s="1">
        <f>Main_Data!D55</f>
        <v>20608</v>
      </c>
      <c r="E55" s="1">
        <f>Main_Data!E55</f>
        <v>5.6</v>
      </c>
      <c r="F55" s="1">
        <f>Main_Data!F55</f>
        <v>77</v>
      </c>
      <c r="G55" s="1">
        <f>Main_Data!G55</f>
        <v>1036525703</v>
      </c>
      <c r="H55" s="1">
        <f>Main_Data!H55</f>
        <v>83</v>
      </c>
      <c r="I55" s="1">
        <f>Main_Data!I55</f>
        <v>24.6</v>
      </c>
      <c r="J55" s="1">
        <f>Main_Data!J55</f>
        <v>88</v>
      </c>
      <c r="K55" s="1">
        <f>Main_Data!K55</f>
        <v>68</v>
      </c>
      <c r="L55" s="1" t="str">
        <f>Main_Data!L55</f>
        <v>South America</v>
      </c>
      <c r="M55" s="1" t="str">
        <f>PROPER(TRIM(Main_Data!A55))</f>
        <v>Brazil</v>
      </c>
      <c r="N55" s="1" t="str">
        <f>PROPER(TRIM(Main_Data!B55))</f>
        <v>South America</v>
      </c>
      <c r="O55" s="1" t="str" cm="1">
        <f t="array" ref="O55">_xlfn.IFS(F55&gt;=80,"Very High",F55&gt;=70,"High",F55&gt;=60,"Medium",TRUE,"Low")</f>
        <v>High</v>
      </c>
      <c r="P55" s="1" t="str" cm="1">
        <f t="array" ref="P55">_xlfn.IFS(D55&gt;=40000,"High Income",D55&gt;=15000,"Middle Income",TRUE,"Low Income")</f>
        <v>Middle Income</v>
      </c>
      <c r="Q55" s="1" t="str">
        <f t="shared" si="0"/>
        <v>Duplicate</v>
      </c>
    </row>
    <row r="56" spans="1:17" x14ac:dyDescent="0.25">
      <c r="A56" s="1" t="str">
        <f>Main_Data!A56</f>
        <v>China</v>
      </c>
      <c r="B56" s="1" t="str">
        <f>Main_Data!B56</f>
        <v>East Asia</v>
      </c>
      <c r="C56" s="1">
        <f>Main_Data!C56</f>
        <v>2021</v>
      </c>
      <c r="D56" s="1">
        <f>Main_Data!D56</f>
        <v>22232</v>
      </c>
      <c r="E56" s="1">
        <f>Main_Data!E56</f>
        <v>16.8</v>
      </c>
      <c r="F56" s="1">
        <f>Main_Data!F56</f>
        <v>80</v>
      </c>
      <c r="G56" s="1">
        <f>Main_Data!G56</f>
        <v>1417363838</v>
      </c>
      <c r="H56" s="1">
        <f>Main_Data!H56</f>
        <v>79</v>
      </c>
      <c r="I56" s="1">
        <f>Main_Data!I56</f>
        <v>17</v>
      </c>
      <c r="J56" s="1">
        <f>Main_Data!J56</f>
        <v>90</v>
      </c>
      <c r="K56" s="1">
        <f>Main_Data!K56</f>
        <v>47</v>
      </c>
      <c r="L56" s="1" t="str">
        <f>Main_Data!L56</f>
        <v>Asia</v>
      </c>
      <c r="M56" s="1" t="str">
        <f>PROPER(TRIM(Main_Data!A56))</f>
        <v>China</v>
      </c>
      <c r="N56" s="1" t="str">
        <f>PROPER(TRIM(Main_Data!B56))</f>
        <v>East Asia</v>
      </c>
      <c r="O56" s="1" t="str" cm="1">
        <f t="array" ref="O56">_xlfn.IFS(F56&gt;=80,"Very High",F56&gt;=70,"High",F56&gt;=60,"Medium",TRUE,"Low")</f>
        <v>Very High</v>
      </c>
      <c r="P56" s="1" t="str" cm="1">
        <f t="array" ref="P56">_xlfn.IFS(D56&gt;=40000,"High Income",D56&gt;=15000,"Middle Income",TRUE,"Low Income")</f>
        <v>Middle Income</v>
      </c>
      <c r="Q56" s="1" t="str">
        <f t="shared" si="0"/>
        <v>Duplicate</v>
      </c>
    </row>
    <row r="57" spans="1:17" x14ac:dyDescent="0.25">
      <c r="A57" s="1" t="str">
        <f>Main_Data!A57</f>
        <v>UK</v>
      </c>
      <c r="B57" s="1" t="str">
        <f>Main_Data!B57</f>
        <v>Europe</v>
      </c>
      <c r="C57" s="1">
        <f>Main_Data!C57</f>
        <v>2020</v>
      </c>
      <c r="D57" s="1">
        <f>Main_Data!D57</f>
        <v>47638</v>
      </c>
      <c r="E57" s="1">
        <f>Main_Data!E57</f>
        <v>16.7</v>
      </c>
      <c r="F57" s="1">
        <f>Main_Data!F57</f>
        <v>84</v>
      </c>
      <c r="G57" s="1">
        <f>Main_Data!G57</f>
        <v>653352950</v>
      </c>
      <c r="H57" s="1">
        <f>Main_Data!H57</f>
        <v>77</v>
      </c>
      <c r="I57" s="1">
        <f>Main_Data!I57</f>
        <v>20.6</v>
      </c>
      <c r="J57" s="1">
        <f>Main_Data!J57</f>
        <v>70</v>
      </c>
      <c r="K57" s="1">
        <f>Main_Data!K57</f>
        <v>36</v>
      </c>
      <c r="L57" s="1" t="str">
        <f>Main_Data!L57</f>
        <v>Europe</v>
      </c>
      <c r="M57" s="1" t="str">
        <f>PROPER(TRIM(Main_Data!A57))</f>
        <v>Uk</v>
      </c>
      <c r="N57" s="1" t="str">
        <f>PROPER(TRIM(Main_Data!B57))</f>
        <v>Europe</v>
      </c>
      <c r="O57" s="1" t="str" cm="1">
        <f t="array" ref="O57">_xlfn.IFS(F57&gt;=80,"Very High",F57&gt;=70,"High",F57&gt;=60,"Medium",TRUE,"Low")</f>
        <v>Very High</v>
      </c>
      <c r="P57" s="1" t="str" cm="1">
        <f t="array" ref="P57">_xlfn.IFS(D57&gt;=40000,"High Income",D57&gt;=15000,"Middle Income",TRUE,"Low Income")</f>
        <v>High Income</v>
      </c>
      <c r="Q57" s="1" t="str">
        <f t="shared" si="0"/>
        <v>Duplicate</v>
      </c>
    </row>
    <row r="58" spans="1:17" x14ac:dyDescent="0.25">
      <c r="A58" s="1" t="str">
        <f>Main_Data!A58</f>
        <v>Canada</v>
      </c>
      <c r="B58" s="1" t="str">
        <f>Main_Data!B58</f>
        <v>North America</v>
      </c>
      <c r="C58" s="1">
        <f>Main_Data!C58</f>
        <v>2022</v>
      </c>
      <c r="D58" s="1">
        <f>Main_Data!D58</f>
        <v>15907</v>
      </c>
      <c r="E58" s="1">
        <f>Main_Data!E58</f>
        <v>8.4</v>
      </c>
      <c r="F58" s="1">
        <f>Main_Data!F58</f>
        <v>70</v>
      </c>
      <c r="G58" s="1">
        <f>Main_Data!G58</f>
        <v>385133136</v>
      </c>
      <c r="H58" s="1">
        <f>Main_Data!H58</f>
        <v>69</v>
      </c>
      <c r="I58" s="1">
        <f>Main_Data!I58</f>
        <v>16.5</v>
      </c>
      <c r="J58" s="1">
        <f>Main_Data!J58</f>
        <v>97</v>
      </c>
      <c r="K58" s="1">
        <f>Main_Data!K58</f>
        <v>82</v>
      </c>
      <c r="L58" s="1" t="str">
        <f>Main_Data!L58</f>
        <v>North America</v>
      </c>
      <c r="M58" s="1" t="str">
        <f>PROPER(TRIM(Main_Data!A58))</f>
        <v>Canada</v>
      </c>
      <c r="N58" s="1" t="str">
        <f>PROPER(TRIM(Main_Data!B58))</f>
        <v>North America</v>
      </c>
      <c r="O58" s="1" t="str" cm="1">
        <f t="array" ref="O58">_xlfn.IFS(F58&gt;=80,"Very High",F58&gt;=70,"High",F58&gt;=60,"Medium",TRUE,"Low")</f>
        <v>High</v>
      </c>
      <c r="P58" s="1" t="str" cm="1">
        <f t="array" ref="P58">_xlfn.IFS(D58&gt;=40000,"High Income",D58&gt;=15000,"Middle Income",TRUE,"Low Income")</f>
        <v>Middle Income</v>
      </c>
      <c r="Q58" s="1" t="str">
        <f t="shared" si="0"/>
        <v>Duplicate</v>
      </c>
    </row>
    <row r="59" spans="1:17" x14ac:dyDescent="0.25">
      <c r="A59" s="1" t="str">
        <f>Main_Data!A59</f>
        <v>Australia</v>
      </c>
      <c r="B59" s="1" t="str">
        <f>Main_Data!B59</f>
        <v>Oceania</v>
      </c>
      <c r="C59" s="1">
        <f>Main_Data!C59</f>
        <v>2021</v>
      </c>
      <c r="D59" s="1">
        <f>Main_Data!D59</f>
        <v>17817</v>
      </c>
      <c r="E59" s="1">
        <f>Main_Data!E59</f>
        <v>3.8</v>
      </c>
      <c r="F59" s="1">
        <f>Main_Data!F59</f>
        <v>75</v>
      </c>
      <c r="G59" s="1">
        <f>Main_Data!G59</f>
        <v>868606524</v>
      </c>
      <c r="H59" s="1">
        <f>Main_Data!H59</f>
        <v>57</v>
      </c>
      <c r="I59" s="1">
        <f>Main_Data!I59</f>
        <v>4.9000000000000004</v>
      </c>
      <c r="J59" s="1">
        <f>Main_Data!J59</f>
        <v>89</v>
      </c>
      <c r="K59" s="1">
        <f>Main_Data!K59</f>
        <v>89</v>
      </c>
      <c r="L59" s="1" t="str">
        <f>Main_Data!L59</f>
        <v>Oceania</v>
      </c>
      <c r="M59" s="1" t="str">
        <f>PROPER(TRIM(Main_Data!A59))</f>
        <v>Australia</v>
      </c>
      <c r="N59" s="1" t="str">
        <f>PROPER(TRIM(Main_Data!B59))</f>
        <v>Oceania</v>
      </c>
      <c r="O59" s="1" t="str" cm="1">
        <f t="array" ref="O59">_xlfn.IFS(F59&gt;=80,"Very High",F59&gt;=70,"High",F59&gt;=60,"Medium",TRUE,"Low")</f>
        <v>High</v>
      </c>
      <c r="P59" s="1" t="str" cm="1">
        <f t="array" ref="P59">_xlfn.IFS(D59&gt;=40000,"High Income",D59&gt;=15000,"Middle Income",TRUE,"Low Income")</f>
        <v>Middle Income</v>
      </c>
      <c r="Q59" s="1" t="str">
        <f t="shared" si="0"/>
        <v>Duplicate</v>
      </c>
    </row>
    <row r="60" spans="1:17" x14ac:dyDescent="0.25">
      <c r="A60" s="1" t="str">
        <f>Main_Data!A60</f>
        <v>Japan</v>
      </c>
      <c r="B60" s="1" t="str">
        <f>Main_Data!B60</f>
        <v>East Asia</v>
      </c>
      <c r="C60" s="1">
        <f>Main_Data!C60</f>
        <v>2022</v>
      </c>
      <c r="D60" s="1">
        <f>Main_Data!D60</f>
        <v>28143</v>
      </c>
      <c r="E60" s="1">
        <f>Main_Data!E60</f>
        <v>13.8</v>
      </c>
      <c r="F60" s="1">
        <f>Main_Data!F60</f>
        <v>84</v>
      </c>
      <c r="G60" s="1">
        <f>Main_Data!G60</f>
        <v>147609180</v>
      </c>
      <c r="H60" s="1">
        <f>Main_Data!H60</f>
        <v>76</v>
      </c>
      <c r="I60" s="1">
        <f>Main_Data!I60</f>
        <v>3.6</v>
      </c>
      <c r="J60" s="1">
        <f>Main_Data!J60</f>
        <v>75</v>
      </c>
      <c r="K60" s="1">
        <f>Main_Data!K60</f>
        <v>54</v>
      </c>
      <c r="L60" s="1" t="str">
        <f>Main_Data!L60</f>
        <v>Asia</v>
      </c>
      <c r="M60" s="1" t="str">
        <f>PROPER(TRIM(Main_Data!A60))</f>
        <v>Japan</v>
      </c>
      <c r="N60" s="1" t="str">
        <f>PROPER(TRIM(Main_Data!B60))</f>
        <v>East Asia</v>
      </c>
      <c r="O60" s="1" t="str" cm="1">
        <f t="array" ref="O60">_xlfn.IFS(F60&gt;=80,"Very High",F60&gt;=70,"High",F60&gt;=60,"Medium",TRUE,"Low")</f>
        <v>Very High</v>
      </c>
      <c r="P60" s="1" t="str" cm="1">
        <f t="array" ref="P60">_xlfn.IFS(D60&gt;=40000,"High Income",D60&gt;=15000,"Middle Income",TRUE,"Low Income")</f>
        <v>Middle Income</v>
      </c>
      <c r="Q60" s="1" t="str">
        <f t="shared" si="0"/>
        <v>Duplicate</v>
      </c>
    </row>
    <row r="61" spans="1:17" x14ac:dyDescent="0.25">
      <c r="A61" s="1" t="str">
        <f>Main_Data!A61</f>
        <v>South Africa</v>
      </c>
      <c r="B61" s="1" t="str">
        <f>Main_Data!B61</f>
        <v>Africa</v>
      </c>
      <c r="C61" s="1">
        <f>Main_Data!C61</f>
        <v>2022</v>
      </c>
      <c r="D61" s="1">
        <f>Main_Data!D61</f>
        <v>27234</v>
      </c>
      <c r="E61" s="1">
        <f>Main_Data!E61</f>
        <v>8.3000000000000007</v>
      </c>
      <c r="F61" s="1">
        <f>Main_Data!F61</f>
        <v>84</v>
      </c>
      <c r="G61" s="1">
        <f>Main_Data!G61</f>
        <v>990411739</v>
      </c>
      <c r="H61" s="1">
        <f>Main_Data!H61</f>
        <v>91</v>
      </c>
      <c r="I61" s="1">
        <f>Main_Data!I61</f>
        <v>10.7</v>
      </c>
      <c r="J61" s="1">
        <f>Main_Data!J61</f>
        <v>80</v>
      </c>
      <c r="K61" s="1">
        <f>Main_Data!K61</f>
        <v>58</v>
      </c>
      <c r="L61" s="1" t="str">
        <f>Main_Data!L61</f>
        <v>Africa</v>
      </c>
      <c r="M61" s="1" t="str">
        <f>PROPER(TRIM(Main_Data!A61))</f>
        <v>South Africa</v>
      </c>
      <c r="N61" s="1" t="str">
        <f>PROPER(TRIM(Main_Data!B61))</f>
        <v>Africa</v>
      </c>
      <c r="O61" s="1" t="str" cm="1">
        <f t="array" ref="O61">_xlfn.IFS(F61&gt;=80,"Very High",F61&gt;=70,"High",F61&gt;=60,"Medium",TRUE,"Low")</f>
        <v>Very High</v>
      </c>
      <c r="P61" s="1" t="str" cm="1">
        <f t="array" ref="P61">_xlfn.IFS(D61&gt;=40000,"High Income",D61&gt;=15000,"Middle Income",TRUE,"Low Income")</f>
        <v>Middle Income</v>
      </c>
      <c r="Q61" s="1" t="str">
        <f t="shared" si="0"/>
        <v>Duplicate</v>
      </c>
    </row>
    <row r="62" spans="1:17" x14ac:dyDescent="0.25">
      <c r="A62" s="1" t="str">
        <f>Main_Data!A62</f>
        <v>India</v>
      </c>
      <c r="B62" s="1" t="str">
        <f>Main_Data!B62</f>
        <v>South Asia</v>
      </c>
      <c r="C62" s="1">
        <f>Main_Data!C62</f>
        <v>2021</v>
      </c>
      <c r="D62" s="1">
        <f>Main_Data!D62</f>
        <v>49367</v>
      </c>
      <c r="E62" s="1">
        <f>Main_Data!E62</f>
        <v>3.3</v>
      </c>
      <c r="F62" s="1">
        <f>Main_Data!F62</f>
        <v>70</v>
      </c>
      <c r="G62" s="1">
        <f>Main_Data!G62</f>
        <v>548157662</v>
      </c>
      <c r="H62" s="1">
        <f>Main_Data!H62</f>
        <v>68</v>
      </c>
      <c r="I62" s="1">
        <f>Main_Data!I62</f>
        <v>4.4000000000000004</v>
      </c>
      <c r="J62" s="1">
        <f>Main_Data!J62</f>
        <v>99</v>
      </c>
      <c r="K62" s="1">
        <f>Main_Data!K62</f>
        <v>71</v>
      </c>
      <c r="L62" s="1" t="str">
        <f>Main_Data!L62</f>
        <v>Asia</v>
      </c>
      <c r="M62" s="1" t="str">
        <f>PROPER(TRIM(Main_Data!A62))</f>
        <v>India</v>
      </c>
      <c r="N62" s="1" t="str">
        <f>PROPER(TRIM(Main_Data!B62))</f>
        <v>South Asia</v>
      </c>
      <c r="O62" s="1" t="str" cm="1">
        <f t="array" ref="O62">_xlfn.IFS(F62&gt;=80,"Very High",F62&gt;=70,"High",F62&gt;=60,"Medium",TRUE,"Low")</f>
        <v>High</v>
      </c>
      <c r="P62" s="1" t="str" cm="1">
        <f t="array" ref="P62">_xlfn.IFS(D62&gt;=40000,"High Income",D62&gt;=15000,"Middle Income",TRUE,"Low Income")</f>
        <v>High Income</v>
      </c>
      <c r="Q62" s="1" t="str">
        <f t="shared" si="0"/>
        <v>Duplicate</v>
      </c>
    </row>
    <row r="63" spans="1:17" x14ac:dyDescent="0.25">
      <c r="A63" s="1" t="str">
        <f>Main_Data!A63</f>
        <v>USA</v>
      </c>
      <c r="B63" s="1" t="str">
        <f>Main_Data!B63</f>
        <v>North America</v>
      </c>
      <c r="C63" s="1">
        <f>Main_Data!C63</f>
        <v>2021</v>
      </c>
      <c r="D63" s="1">
        <f>Main_Data!D63</f>
        <v>10866</v>
      </c>
      <c r="E63" s="1">
        <f>Main_Data!E63</f>
        <v>3.7</v>
      </c>
      <c r="F63" s="1">
        <f>Main_Data!F63</f>
        <v>83</v>
      </c>
      <c r="G63" s="1">
        <f>Main_Data!G63</f>
        <v>1419064325</v>
      </c>
      <c r="H63" s="1">
        <f>Main_Data!H63</f>
        <v>76</v>
      </c>
      <c r="I63" s="1">
        <f>Main_Data!I63</f>
        <v>15</v>
      </c>
      <c r="J63" s="1">
        <f>Main_Data!J63</f>
        <v>100</v>
      </c>
      <c r="K63" s="1">
        <f>Main_Data!K63</f>
        <v>76</v>
      </c>
      <c r="L63" s="1" t="str">
        <f>Main_Data!L63</f>
        <v>North America</v>
      </c>
      <c r="M63" s="1" t="str">
        <f>PROPER(TRIM(Main_Data!A63))</f>
        <v>Usa</v>
      </c>
      <c r="N63" s="1" t="str">
        <f>PROPER(TRIM(Main_Data!B63))</f>
        <v>North America</v>
      </c>
      <c r="O63" s="1" t="str" cm="1">
        <f t="array" ref="O63">_xlfn.IFS(F63&gt;=80,"Very High",F63&gt;=70,"High",F63&gt;=60,"Medium",TRUE,"Low")</f>
        <v>Very High</v>
      </c>
      <c r="P63" s="1" t="str" cm="1">
        <f t="array" ref="P63">_xlfn.IFS(D63&gt;=40000,"High Income",D63&gt;=15000,"Middle Income",TRUE,"Low Income")</f>
        <v>Low Income</v>
      </c>
      <c r="Q63" s="1" t="str">
        <f t="shared" si="0"/>
        <v>Duplicate</v>
      </c>
    </row>
    <row r="64" spans="1:17" x14ac:dyDescent="0.25">
      <c r="A64" s="1" t="str">
        <f>Main_Data!A64</f>
        <v>Germany</v>
      </c>
      <c r="B64" s="1" t="str">
        <f>Main_Data!B64</f>
        <v>Europe</v>
      </c>
      <c r="C64" s="1">
        <f>Main_Data!C64</f>
        <v>2022</v>
      </c>
      <c r="D64" s="1">
        <f>Main_Data!D64</f>
        <v>49125</v>
      </c>
      <c r="E64" s="1">
        <f>Main_Data!E64</f>
        <v>8.8000000000000007</v>
      </c>
      <c r="F64" s="1">
        <f>Main_Data!F64</f>
        <v>67</v>
      </c>
      <c r="G64" s="1">
        <f>Main_Data!G64</f>
        <v>989617288</v>
      </c>
      <c r="H64" s="1">
        <f>Main_Data!H64</f>
        <v>51</v>
      </c>
      <c r="I64" s="1">
        <f>Main_Data!I64</f>
        <v>4.0999999999999996</v>
      </c>
      <c r="J64" s="1">
        <f>Main_Data!J64</f>
        <v>78</v>
      </c>
      <c r="K64" s="1">
        <f>Main_Data!K64</f>
        <v>86</v>
      </c>
      <c r="L64" s="1" t="str">
        <f>Main_Data!L64</f>
        <v>Europe</v>
      </c>
      <c r="M64" s="1" t="str">
        <f>PROPER(TRIM(Main_Data!A64))</f>
        <v>Germany</v>
      </c>
      <c r="N64" s="1" t="str">
        <f>PROPER(TRIM(Main_Data!B64))</f>
        <v>Europe</v>
      </c>
      <c r="O64" s="1" t="str" cm="1">
        <f t="array" ref="O64">_xlfn.IFS(F64&gt;=80,"Very High",F64&gt;=70,"High",F64&gt;=60,"Medium",TRUE,"Low")</f>
        <v>Medium</v>
      </c>
      <c r="P64" s="1" t="str" cm="1">
        <f t="array" ref="P64">_xlfn.IFS(D64&gt;=40000,"High Income",D64&gt;=15000,"Middle Income",TRUE,"Low Income")</f>
        <v>High Income</v>
      </c>
      <c r="Q64" s="1" t="str">
        <f t="shared" si="0"/>
        <v>Duplicate</v>
      </c>
    </row>
    <row r="65" spans="1:17" x14ac:dyDescent="0.25">
      <c r="A65" s="1" t="str">
        <f>Main_Data!A65</f>
        <v>Brazil</v>
      </c>
      <c r="B65" s="1" t="str">
        <f>Main_Data!B65</f>
        <v>South America</v>
      </c>
      <c r="C65" s="1">
        <f>Main_Data!C65</f>
        <v>2021</v>
      </c>
      <c r="D65" s="1">
        <f>Main_Data!D65</f>
        <v>15389</v>
      </c>
      <c r="E65" s="1">
        <f>Main_Data!E65</f>
        <v>14.4</v>
      </c>
      <c r="F65" s="1">
        <f>Main_Data!F65</f>
        <v>76</v>
      </c>
      <c r="G65" s="1">
        <f>Main_Data!G65</f>
        <v>1460834804</v>
      </c>
      <c r="H65" s="1">
        <f>Main_Data!H65</f>
        <v>93</v>
      </c>
      <c r="I65" s="1">
        <f>Main_Data!I65</f>
        <v>10.5</v>
      </c>
      <c r="J65" s="1">
        <f>Main_Data!J65</f>
        <v>80</v>
      </c>
      <c r="K65" s="1">
        <f>Main_Data!K65</f>
        <v>77</v>
      </c>
      <c r="L65" s="1" t="str">
        <f>Main_Data!L65</f>
        <v>South America</v>
      </c>
      <c r="M65" s="1" t="str">
        <f>PROPER(TRIM(Main_Data!A65))</f>
        <v>Brazil</v>
      </c>
      <c r="N65" s="1" t="str">
        <f>PROPER(TRIM(Main_Data!B65))</f>
        <v>South America</v>
      </c>
      <c r="O65" s="1" t="str" cm="1">
        <f t="array" ref="O65">_xlfn.IFS(F65&gt;=80,"Very High",F65&gt;=70,"High",F65&gt;=60,"Medium",TRUE,"Low")</f>
        <v>High</v>
      </c>
      <c r="P65" s="1" t="str" cm="1">
        <f t="array" ref="P65">_xlfn.IFS(D65&gt;=40000,"High Income",D65&gt;=15000,"Middle Income",TRUE,"Low Income")</f>
        <v>Middle Income</v>
      </c>
      <c r="Q65" s="1" t="str">
        <f t="shared" si="0"/>
        <v>Duplicate</v>
      </c>
    </row>
    <row r="66" spans="1:17" x14ac:dyDescent="0.25">
      <c r="A66" s="1" t="str">
        <f>Main_Data!A66</f>
        <v>China</v>
      </c>
      <c r="B66" s="1" t="str">
        <f>Main_Data!B66</f>
        <v>East Asia</v>
      </c>
      <c r="C66" s="1">
        <f>Main_Data!C66</f>
        <v>2021</v>
      </c>
      <c r="D66" s="1">
        <f>Main_Data!D66</f>
        <v>34433</v>
      </c>
      <c r="E66" s="1">
        <f>Main_Data!E66</f>
        <v>14</v>
      </c>
      <c r="F66" s="1">
        <f>Main_Data!F66</f>
        <v>75</v>
      </c>
      <c r="G66" s="1">
        <f>Main_Data!G66</f>
        <v>399265416</v>
      </c>
      <c r="H66" s="1">
        <f>Main_Data!H66</f>
        <v>61</v>
      </c>
      <c r="I66" s="1">
        <f>Main_Data!I66</f>
        <v>15.4</v>
      </c>
      <c r="J66" s="1">
        <f>Main_Data!J66</f>
        <v>91</v>
      </c>
      <c r="K66" s="1">
        <f>Main_Data!K66</f>
        <v>39</v>
      </c>
      <c r="L66" s="1" t="str">
        <f>Main_Data!L66</f>
        <v>Asia</v>
      </c>
      <c r="M66" s="1" t="str">
        <f>PROPER(TRIM(Main_Data!A66))</f>
        <v>China</v>
      </c>
      <c r="N66" s="1" t="str">
        <f>PROPER(TRIM(Main_Data!B66))</f>
        <v>East Asia</v>
      </c>
      <c r="O66" s="1" t="str" cm="1">
        <f t="array" ref="O66">_xlfn.IFS(F66&gt;=80,"Very High",F66&gt;=70,"High",F66&gt;=60,"Medium",TRUE,"Low")</f>
        <v>High</v>
      </c>
      <c r="P66" s="1" t="str" cm="1">
        <f t="array" ref="P66">_xlfn.IFS(D66&gt;=40000,"High Income",D66&gt;=15000,"Middle Income",TRUE,"Low Income")</f>
        <v>Middle Income</v>
      </c>
      <c r="Q66" s="1" t="str">
        <f t="shared" si="0"/>
        <v>Duplicate</v>
      </c>
    </row>
    <row r="67" spans="1:17" x14ac:dyDescent="0.25">
      <c r="A67" s="1" t="str">
        <f>Main_Data!A67</f>
        <v>UK</v>
      </c>
      <c r="B67" s="1" t="str">
        <f>Main_Data!B67</f>
        <v>Europe</v>
      </c>
      <c r="C67" s="1">
        <f>Main_Data!C67</f>
        <v>2022</v>
      </c>
      <c r="D67" s="1">
        <f>Main_Data!D67</f>
        <v>65671</v>
      </c>
      <c r="E67" s="1">
        <f>Main_Data!E67</f>
        <v>4.2</v>
      </c>
      <c r="F67" s="1">
        <f>Main_Data!F67</f>
        <v>81</v>
      </c>
      <c r="G67" s="1">
        <f>Main_Data!G67</f>
        <v>997000219</v>
      </c>
      <c r="H67" s="1">
        <f>Main_Data!H67</f>
        <v>55</v>
      </c>
      <c r="I67" s="1">
        <f>Main_Data!I67</f>
        <v>11.8</v>
      </c>
      <c r="J67" s="1">
        <f>Main_Data!J67</f>
        <v>88</v>
      </c>
      <c r="K67" s="1">
        <f>Main_Data!K67</f>
        <v>83</v>
      </c>
      <c r="L67" s="1" t="str">
        <f>Main_Data!L67</f>
        <v>Europe</v>
      </c>
      <c r="M67" s="1" t="str">
        <f>PROPER(TRIM(Main_Data!A67))</f>
        <v>Uk</v>
      </c>
      <c r="N67" s="1" t="str">
        <f>PROPER(TRIM(Main_Data!B67))</f>
        <v>Europe</v>
      </c>
      <c r="O67" s="1" t="str" cm="1">
        <f t="array" ref="O67">_xlfn.IFS(F67&gt;=80,"Very High",F67&gt;=70,"High",F67&gt;=60,"Medium",TRUE,"Low")</f>
        <v>Very High</v>
      </c>
      <c r="P67" s="1" t="str" cm="1">
        <f t="array" ref="P67">_xlfn.IFS(D67&gt;=40000,"High Income",D67&gt;=15000,"Middle Income",TRUE,"Low Income")</f>
        <v>High Income</v>
      </c>
      <c r="Q67" s="1" t="str">
        <f t="shared" ref="Q67:Q130" si="1">IF(COUNTIFS(A:A,A67,C:C,C67)&gt;1,"Duplicate","OK")</f>
        <v>Duplicate</v>
      </c>
    </row>
    <row r="68" spans="1:17" x14ac:dyDescent="0.25">
      <c r="A68" s="1" t="str">
        <f>Main_Data!A68</f>
        <v>Canada</v>
      </c>
      <c r="B68" s="1" t="str">
        <f>Main_Data!B68</f>
        <v>North America</v>
      </c>
      <c r="C68" s="1">
        <f>Main_Data!C68</f>
        <v>2020</v>
      </c>
      <c r="D68" s="1">
        <f>Main_Data!D68</f>
        <v>29118</v>
      </c>
      <c r="E68" s="1">
        <f>Main_Data!E68</f>
        <v>9.6999999999999993</v>
      </c>
      <c r="F68" s="1">
        <f>Main_Data!F68</f>
        <v>75</v>
      </c>
      <c r="G68" s="1">
        <f>Main_Data!G68</f>
        <v>918107039</v>
      </c>
      <c r="H68" s="1">
        <f>Main_Data!H68</f>
        <v>69</v>
      </c>
      <c r="I68" s="1">
        <f>Main_Data!I68</f>
        <v>8.3000000000000007</v>
      </c>
      <c r="J68" s="1">
        <f>Main_Data!J68</f>
        <v>80</v>
      </c>
      <c r="K68" s="1">
        <f>Main_Data!K68</f>
        <v>70</v>
      </c>
      <c r="L68" s="1" t="str">
        <f>Main_Data!L68</f>
        <v>North America</v>
      </c>
      <c r="M68" s="1" t="str">
        <f>PROPER(TRIM(Main_Data!A68))</f>
        <v>Canada</v>
      </c>
      <c r="N68" s="1" t="str">
        <f>PROPER(TRIM(Main_Data!B68))</f>
        <v>North America</v>
      </c>
      <c r="O68" s="1" t="str" cm="1">
        <f t="array" ref="O68">_xlfn.IFS(F68&gt;=80,"Very High",F68&gt;=70,"High",F68&gt;=60,"Medium",TRUE,"Low")</f>
        <v>High</v>
      </c>
      <c r="P68" s="1" t="str" cm="1">
        <f t="array" ref="P68">_xlfn.IFS(D68&gt;=40000,"High Income",D68&gt;=15000,"Middle Income",TRUE,"Low Income")</f>
        <v>Middle Income</v>
      </c>
      <c r="Q68" s="1" t="str">
        <f t="shared" si="1"/>
        <v>Duplicate</v>
      </c>
    </row>
    <row r="69" spans="1:17" x14ac:dyDescent="0.25">
      <c r="A69" s="1" t="str">
        <f>Main_Data!A69</f>
        <v>Australia</v>
      </c>
      <c r="B69" s="1" t="str">
        <f>Main_Data!B69</f>
        <v>Oceania</v>
      </c>
      <c r="C69" s="1">
        <f>Main_Data!C69</f>
        <v>2022</v>
      </c>
      <c r="D69" s="1">
        <f>Main_Data!D69</f>
        <v>7299</v>
      </c>
      <c r="E69" s="1">
        <f>Main_Data!E69</f>
        <v>16.3</v>
      </c>
      <c r="F69" s="1">
        <f>Main_Data!F69</f>
        <v>65</v>
      </c>
      <c r="G69" s="1">
        <f>Main_Data!G69</f>
        <v>1171399308</v>
      </c>
      <c r="H69" s="1">
        <f>Main_Data!H69</f>
        <v>81</v>
      </c>
      <c r="I69" s="1">
        <f>Main_Data!I69</f>
        <v>15.2</v>
      </c>
      <c r="J69" s="1">
        <f>Main_Data!J69</f>
        <v>84</v>
      </c>
      <c r="K69" s="1">
        <f>Main_Data!K69</f>
        <v>53</v>
      </c>
      <c r="L69" s="1" t="str">
        <f>Main_Data!L69</f>
        <v>Oceania</v>
      </c>
      <c r="M69" s="1" t="str">
        <f>PROPER(TRIM(Main_Data!A69))</f>
        <v>Australia</v>
      </c>
      <c r="N69" s="1" t="str">
        <f>PROPER(TRIM(Main_Data!B69))</f>
        <v>Oceania</v>
      </c>
      <c r="O69" s="1" t="str" cm="1">
        <f t="array" ref="O69">_xlfn.IFS(F69&gt;=80,"Very High",F69&gt;=70,"High",F69&gt;=60,"Medium",TRUE,"Low")</f>
        <v>Medium</v>
      </c>
      <c r="P69" s="1" t="str" cm="1">
        <f t="array" ref="P69">_xlfn.IFS(D69&gt;=40000,"High Income",D69&gt;=15000,"Middle Income",TRUE,"Low Income")</f>
        <v>Low Income</v>
      </c>
      <c r="Q69" s="1" t="str">
        <f t="shared" si="1"/>
        <v>Duplicate</v>
      </c>
    </row>
    <row r="70" spans="1:17" x14ac:dyDescent="0.25">
      <c r="A70" s="1" t="str">
        <f>Main_Data!A70</f>
        <v>Japan</v>
      </c>
      <c r="B70" s="1" t="str">
        <f>Main_Data!B70</f>
        <v>East Asia</v>
      </c>
      <c r="C70" s="1">
        <f>Main_Data!C70</f>
        <v>2020</v>
      </c>
      <c r="D70" s="1">
        <f>Main_Data!D70</f>
        <v>12135</v>
      </c>
      <c r="E70" s="1">
        <f>Main_Data!E70</f>
        <v>7.1</v>
      </c>
      <c r="F70" s="1">
        <f>Main_Data!F70</f>
        <v>70</v>
      </c>
      <c r="G70" s="1">
        <f>Main_Data!G70</f>
        <v>312512490</v>
      </c>
      <c r="H70" s="1">
        <f>Main_Data!H70</f>
        <v>60</v>
      </c>
      <c r="I70" s="1">
        <f>Main_Data!I70</f>
        <v>17.600000000000001</v>
      </c>
      <c r="J70" s="1">
        <f>Main_Data!J70</f>
        <v>79</v>
      </c>
      <c r="K70" s="1">
        <f>Main_Data!K70</f>
        <v>74</v>
      </c>
      <c r="L70" s="1" t="str">
        <f>Main_Data!L70</f>
        <v>Asia</v>
      </c>
      <c r="M70" s="1" t="str">
        <f>PROPER(TRIM(Main_Data!A70))</f>
        <v>Japan</v>
      </c>
      <c r="N70" s="1" t="str">
        <f>PROPER(TRIM(Main_Data!B70))</f>
        <v>East Asia</v>
      </c>
      <c r="O70" s="1" t="str" cm="1">
        <f t="array" ref="O70">_xlfn.IFS(F70&gt;=80,"Very High",F70&gt;=70,"High",F70&gt;=60,"Medium",TRUE,"Low")</f>
        <v>High</v>
      </c>
      <c r="P70" s="1" t="str" cm="1">
        <f t="array" ref="P70">_xlfn.IFS(D70&gt;=40000,"High Income",D70&gt;=15000,"Middle Income",TRUE,"Low Income")</f>
        <v>Low Income</v>
      </c>
      <c r="Q70" s="1" t="str">
        <f t="shared" si="1"/>
        <v>Duplicate</v>
      </c>
    </row>
    <row r="71" spans="1:17" x14ac:dyDescent="0.25">
      <c r="A71" s="1" t="str">
        <f>Main_Data!A71</f>
        <v>South Africa</v>
      </c>
      <c r="B71" s="1" t="str">
        <f>Main_Data!B71</f>
        <v>Africa</v>
      </c>
      <c r="C71" s="1">
        <f>Main_Data!C71</f>
        <v>2022</v>
      </c>
      <c r="D71" s="1">
        <f>Main_Data!D71</f>
        <v>12646</v>
      </c>
      <c r="E71" s="1">
        <f>Main_Data!E71</f>
        <v>8.1</v>
      </c>
      <c r="F71" s="1">
        <f>Main_Data!F71</f>
        <v>69</v>
      </c>
      <c r="G71" s="1">
        <f>Main_Data!G71</f>
        <v>791588961</v>
      </c>
      <c r="H71" s="1">
        <f>Main_Data!H71</f>
        <v>53</v>
      </c>
      <c r="I71" s="1">
        <f>Main_Data!I71</f>
        <v>8.1</v>
      </c>
      <c r="J71" s="1">
        <f>Main_Data!J71</f>
        <v>99</v>
      </c>
      <c r="K71" s="1">
        <f>Main_Data!K71</f>
        <v>75</v>
      </c>
      <c r="L71" s="1" t="str">
        <f>Main_Data!L71</f>
        <v>Africa</v>
      </c>
      <c r="M71" s="1" t="str">
        <f>PROPER(TRIM(Main_Data!A71))</f>
        <v>South Africa</v>
      </c>
      <c r="N71" s="1" t="str">
        <f>PROPER(TRIM(Main_Data!B71))</f>
        <v>Africa</v>
      </c>
      <c r="O71" s="1" t="str" cm="1">
        <f t="array" ref="O71">_xlfn.IFS(F71&gt;=80,"Very High",F71&gt;=70,"High",F71&gt;=60,"Medium",TRUE,"Low")</f>
        <v>Medium</v>
      </c>
      <c r="P71" s="1" t="str" cm="1">
        <f t="array" ref="P71">_xlfn.IFS(D71&gt;=40000,"High Income",D71&gt;=15000,"Middle Income",TRUE,"Low Income")</f>
        <v>Low Income</v>
      </c>
      <c r="Q71" s="1" t="str">
        <f t="shared" si="1"/>
        <v>Duplicate</v>
      </c>
    </row>
    <row r="72" spans="1:17" x14ac:dyDescent="0.25">
      <c r="A72" s="1" t="str">
        <f>Main_Data!A72</f>
        <v>India</v>
      </c>
      <c r="B72" s="1" t="str">
        <f>Main_Data!B72</f>
        <v>South Asia</v>
      </c>
      <c r="C72" s="1">
        <f>Main_Data!C72</f>
        <v>2022</v>
      </c>
      <c r="D72" s="1">
        <f>Main_Data!D72</f>
        <v>48945</v>
      </c>
      <c r="E72" s="1">
        <f>Main_Data!E72</f>
        <v>4.3</v>
      </c>
      <c r="F72" s="1">
        <f>Main_Data!F72</f>
        <v>72</v>
      </c>
      <c r="G72" s="1">
        <f>Main_Data!G72</f>
        <v>1208978621</v>
      </c>
      <c r="H72" s="1">
        <f>Main_Data!H72</f>
        <v>88</v>
      </c>
      <c r="I72" s="1">
        <f>Main_Data!I72</f>
        <v>6.4</v>
      </c>
      <c r="J72" s="1">
        <f>Main_Data!J72</f>
        <v>100</v>
      </c>
      <c r="K72" s="1">
        <f>Main_Data!K72</f>
        <v>47</v>
      </c>
      <c r="L72" s="1" t="str">
        <f>Main_Data!L72</f>
        <v>Asia</v>
      </c>
      <c r="M72" s="1" t="str">
        <f>PROPER(TRIM(Main_Data!A72))</f>
        <v>India</v>
      </c>
      <c r="N72" s="1" t="str">
        <f>PROPER(TRIM(Main_Data!B72))</f>
        <v>South Asia</v>
      </c>
      <c r="O72" s="1" t="str" cm="1">
        <f t="array" ref="O72">_xlfn.IFS(F72&gt;=80,"Very High",F72&gt;=70,"High",F72&gt;=60,"Medium",TRUE,"Low")</f>
        <v>High</v>
      </c>
      <c r="P72" s="1" t="str" cm="1">
        <f t="array" ref="P72">_xlfn.IFS(D72&gt;=40000,"High Income",D72&gt;=15000,"Middle Income",TRUE,"Low Income")</f>
        <v>High Income</v>
      </c>
      <c r="Q72" s="1" t="str">
        <f t="shared" si="1"/>
        <v>Duplicate</v>
      </c>
    </row>
    <row r="73" spans="1:17" x14ac:dyDescent="0.25">
      <c r="A73" s="1" t="str">
        <f>Main_Data!A73</f>
        <v>USA</v>
      </c>
      <c r="B73" s="1" t="str">
        <f>Main_Data!B73</f>
        <v>North America</v>
      </c>
      <c r="C73" s="1">
        <f>Main_Data!C73</f>
        <v>2021</v>
      </c>
      <c r="D73" s="1">
        <f>Main_Data!D73</f>
        <v>50453</v>
      </c>
      <c r="E73" s="1">
        <f>Main_Data!E73</f>
        <v>14</v>
      </c>
      <c r="F73" s="1">
        <f>Main_Data!F73</f>
        <v>66</v>
      </c>
      <c r="G73" s="1">
        <f>Main_Data!G73</f>
        <v>1446031562</v>
      </c>
      <c r="H73" s="1">
        <f>Main_Data!H73</f>
        <v>80</v>
      </c>
      <c r="I73" s="1">
        <f>Main_Data!I73</f>
        <v>9.6999999999999993</v>
      </c>
      <c r="J73" s="1">
        <f>Main_Data!J73</f>
        <v>92</v>
      </c>
      <c r="K73" s="1">
        <f>Main_Data!K73</f>
        <v>72</v>
      </c>
      <c r="L73" s="1" t="str">
        <f>Main_Data!L73</f>
        <v>North America</v>
      </c>
      <c r="M73" s="1" t="str">
        <f>PROPER(TRIM(Main_Data!A73))</f>
        <v>Usa</v>
      </c>
      <c r="N73" s="1" t="str">
        <f>PROPER(TRIM(Main_Data!B73))</f>
        <v>North America</v>
      </c>
      <c r="O73" s="1" t="str" cm="1">
        <f t="array" ref="O73">_xlfn.IFS(F73&gt;=80,"Very High",F73&gt;=70,"High",F73&gt;=60,"Medium",TRUE,"Low")</f>
        <v>Medium</v>
      </c>
      <c r="P73" s="1" t="str" cm="1">
        <f t="array" ref="P73">_xlfn.IFS(D73&gt;=40000,"High Income",D73&gt;=15000,"Middle Income",TRUE,"Low Income")</f>
        <v>High Income</v>
      </c>
      <c r="Q73" s="1" t="str">
        <f t="shared" si="1"/>
        <v>Duplicate</v>
      </c>
    </row>
    <row r="74" spans="1:17" x14ac:dyDescent="0.25">
      <c r="A74" s="1" t="str">
        <f>Main_Data!A74</f>
        <v>Germany</v>
      </c>
      <c r="B74" s="1" t="str">
        <f>Main_Data!B74</f>
        <v>Europe</v>
      </c>
      <c r="C74" s="1">
        <f>Main_Data!C74</f>
        <v>2020</v>
      </c>
      <c r="D74" s="1">
        <f>Main_Data!D74</f>
        <v>51145</v>
      </c>
      <c r="E74" s="1">
        <f>Main_Data!E74</f>
        <v>17</v>
      </c>
      <c r="F74" s="1">
        <f>Main_Data!F74</f>
        <v>83</v>
      </c>
      <c r="G74" s="1">
        <f>Main_Data!G74</f>
        <v>15001276</v>
      </c>
      <c r="H74" s="1">
        <f>Main_Data!H74</f>
        <v>94</v>
      </c>
      <c r="I74" s="1">
        <f>Main_Data!I74</f>
        <v>18.600000000000001</v>
      </c>
      <c r="J74" s="1">
        <f>Main_Data!J74</f>
        <v>71</v>
      </c>
      <c r="K74" s="1">
        <f>Main_Data!K74</f>
        <v>53</v>
      </c>
      <c r="L74" s="1" t="str">
        <f>Main_Data!L74</f>
        <v>Europe</v>
      </c>
      <c r="M74" s="1" t="str">
        <f>PROPER(TRIM(Main_Data!A74))</f>
        <v>Germany</v>
      </c>
      <c r="N74" s="1" t="str">
        <f>PROPER(TRIM(Main_Data!B74))</f>
        <v>Europe</v>
      </c>
      <c r="O74" s="1" t="str" cm="1">
        <f t="array" ref="O74">_xlfn.IFS(F74&gt;=80,"Very High",F74&gt;=70,"High",F74&gt;=60,"Medium",TRUE,"Low")</f>
        <v>Very High</v>
      </c>
      <c r="P74" s="1" t="str" cm="1">
        <f t="array" ref="P74">_xlfn.IFS(D74&gt;=40000,"High Income",D74&gt;=15000,"Middle Income",TRUE,"Low Income")</f>
        <v>High Income</v>
      </c>
      <c r="Q74" s="1" t="str">
        <f t="shared" si="1"/>
        <v>Duplicate</v>
      </c>
    </row>
    <row r="75" spans="1:17" x14ac:dyDescent="0.25">
      <c r="A75" s="1" t="str">
        <f>Main_Data!A75</f>
        <v>Brazil</v>
      </c>
      <c r="B75" s="1" t="str">
        <f>Main_Data!B75</f>
        <v>South America</v>
      </c>
      <c r="C75" s="1">
        <f>Main_Data!C75</f>
        <v>2020</v>
      </c>
      <c r="D75" s="1">
        <f>Main_Data!D75</f>
        <v>66826</v>
      </c>
      <c r="E75" s="1">
        <f>Main_Data!E75</f>
        <v>12.2</v>
      </c>
      <c r="F75" s="1">
        <f>Main_Data!F75</f>
        <v>76</v>
      </c>
      <c r="G75" s="1">
        <f>Main_Data!G75</f>
        <v>977544151</v>
      </c>
      <c r="H75" s="1">
        <f>Main_Data!H75</f>
        <v>63</v>
      </c>
      <c r="I75" s="1">
        <f>Main_Data!I75</f>
        <v>17</v>
      </c>
      <c r="J75" s="1">
        <f>Main_Data!J75</f>
        <v>84</v>
      </c>
      <c r="K75" s="1">
        <f>Main_Data!K75</f>
        <v>51</v>
      </c>
      <c r="L75" s="1" t="str">
        <f>Main_Data!L75</f>
        <v>South America</v>
      </c>
      <c r="M75" s="1" t="str">
        <f>PROPER(TRIM(Main_Data!A75))</f>
        <v>Brazil</v>
      </c>
      <c r="N75" s="1" t="str">
        <f>PROPER(TRIM(Main_Data!B75))</f>
        <v>South America</v>
      </c>
      <c r="O75" s="1" t="str" cm="1">
        <f t="array" ref="O75">_xlfn.IFS(F75&gt;=80,"Very High",F75&gt;=70,"High",F75&gt;=60,"Medium",TRUE,"Low")</f>
        <v>High</v>
      </c>
      <c r="P75" s="1" t="str" cm="1">
        <f t="array" ref="P75">_xlfn.IFS(D75&gt;=40000,"High Income",D75&gt;=15000,"Middle Income",TRUE,"Low Income")</f>
        <v>High Income</v>
      </c>
      <c r="Q75" s="1" t="str">
        <f t="shared" si="1"/>
        <v>Duplicate</v>
      </c>
    </row>
    <row r="76" spans="1:17" x14ac:dyDescent="0.25">
      <c r="A76" s="1" t="str">
        <f>Main_Data!A76</f>
        <v>China</v>
      </c>
      <c r="B76" s="1" t="str">
        <f>Main_Data!B76</f>
        <v>East Asia</v>
      </c>
      <c r="C76" s="1">
        <f>Main_Data!C76</f>
        <v>2020</v>
      </c>
      <c r="D76" s="1">
        <f>Main_Data!D76</f>
        <v>59521</v>
      </c>
      <c r="E76" s="1">
        <f>Main_Data!E76</f>
        <v>14.9</v>
      </c>
      <c r="F76" s="1">
        <f>Main_Data!F76</f>
        <v>68</v>
      </c>
      <c r="G76" s="1">
        <f>Main_Data!G76</f>
        <v>632459210</v>
      </c>
      <c r="H76" s="1">
        <f>Main_Data!H76</f>
        <v>92</v>
      </c>
      <c r="I76" s="1">
        <f>Main_Data!I76</f>
        <v>2.6</v>
      </c>
      <c r="J76" s="1">
        <f>Main_Data!J76</f>
        <v>78</v>
      </c>
      <c r="K76" s="1">
        <f>Main_Data!K76</f>
        <v>57</v>
      </c>
      <c r="L76" s="1" t="str">
        <f>Main_Data!L76</f>
        <v>Asia</v>
      </c>
      <c r="M76" s="1" t="str">
        <f>PROPER(TRIM(Main_Data!A76))</f>
        <v>China</v>
      </c>
      <c r="N76" s="1" t="str">
        <f>PROPER(TRIM(Main_Data!B76))</f>
        <v>East Asia</v>
      </c>
      <c r="O76" s="1" t="str" cm="1">
        <f t="array" ref="O76">_xlfn.IFS(F76&gt;=80,"Very High",F76&gt;=70,"High",F76&gt;=60,"Medium",TRUE,"Low")</f>
        <v>Medium</v>
      </c>
      <c r="P76" s="1" t="str" cm="1">
        <f t="array" ref="P76">_xlfn.IFS(D76&gt;=40000,"High Income",D76&gt;=15000,"Middle Income",TRUE,"Low Income")</f>
        <v>High Income</v>
      </c>
      <c r="Q76" s="1" t="str">
        <f t="shared" si="1"/>
        <v>Duplicate</v>
      </c>
    </row>
    <row r="77" spans="1:17" x14ac:dyDescent="0.25">
      <c r="A77" s="1" t="str">
        <f>Main_Data!A77</f>
        <v>UK</v>
      </c>
      <c r="B77" s="1" t="str">
        <f>Main_Data!B77</f>
        <v>Europe</v>
      </c>
      <c r="C77" s="1">
        <f>Main_Data!C77</f>
        <v>2020</v>
      </c>
      <c r="D77" s="1">
        <f>Main_Data!D77</f>
        <v>57924</v>
      </c>
      <c r="E77" s="1">
        <f>Main_Data!E77</f>
        <v>6.1</v>
      </c>
      <c r="F77" s="1">
        <f>Main_Data!F77</f>
        <v>65</v>
      </c>
      <c r="G77" s="1">
        <f>Main_Data!G77</f>
        <v>100505635</v>
      </c>
      <c r="H77" s="1">
        <f>Main_Data!H77</f>
        <v>93</v>
      </c>
      <c r="I77" s="1">
        <f>Main_Data!I77</f>
        <v>21.2</v>
      </c>
      <c r="J77" s="1">
        <f>Main_Data!J77</f>
        <v>98</v>
      </c>
      <c r="K77" s="1">
        <f>Main_Data!K77</f>
        <v>59</v>
      </c>
      <c r="L77" s="1" t="str">
        <f>Main_Data!L77</f>
        <v>Europe</v>
      </c>
      <c r="M77" s="1" t="str">
        <f>PROPER(TRIM(Main_Data!A77))</f>
        <v>Uk</v>
      </c>
      <c r="N77" s="1" t="str">
        <f>PROPER(TRIM(Main_Data!B77))</f>
        <v>Europe</v>
      </c>
      <c r="O77" s="1" t="str" cm="1">
        <f t="array" ref="O77">_xlfn.IFS(F77&gt;=80,"Very High",F77&gt;=70,"High",F77&gt;=60,"Medium",TRUE,"Low")</f>
        <v>Medium</v>
      </c>
      <c r="P77" s="1" t="str" cm="1">
        <f t="array" ref="P77">_xlfn.IFS(D77&gt;=40000,"High Income",D77&gt;=15000,"Middle Income",TRUE,"Low Income")</f>
        <v>High Income</v>
      </c>
      <c r="Q77" s="1" t="str">
        <f t="shared" si="1"/>
        <v>Duplicate</v>
      </c>
    </row>
    <row r="78" spans="1:17" x14ac:dyDescent="0.25">
      <c r="A78" s="1" t="str">
        <f>Main_Data!A78</f>
        <v>Canada</v>
      </c>
      <c r="B78" s="1" t="str">
        <f>Main_Data!B78</f>
        <v>North America</v>
      </c>
      <c r="C78" s="1">
        <f>Main_Data!C78</f>
        <v>2020</v>
      </c>
      <c r="D78" s="1">
        <f>Main_Data!D78</f>
        <v>25144</v>
      </c>
      <c r="E78" s="1">
        <f>Main_Data!E78</f>
        <v>10.9</v>
      </c>
      <c r="F78" s="1">
        <f>Main_Data!F78</f>
        <v>66</v>
      </c>
      <c r="G78" s="1">
        <f>Main_Data!G78</f>
        <v>463168449</v>
      </c>
      <c r="H78" s="1">
        <f>Main_Data!H78</f>
        <v>57</v>
      </c>
      <c r="I78" s="1">
        <f>Main_Data!I78</f>
        <v>12.8</v>
      </c>
      <c r="J78" s="1">
        <f>Main_Data!J78</f>
        <v>70</v>
      </c>
      <c r="K78" s="1">
        <f>Main_Data!K78</f>
        <v>39</v>
      </c>
      <c r="L78" s="1" t="str">
        <f>Main_Data!L78</f>
        <v>North America</v>
      </c>
      <c r="M78" s="1" t="str">
        <f>PROPER(TRIM(Main_Data!A78))</f>
        <v>Canada</v>
      </c>
      <c r="N78" s="1" t="str">
        <f>PROPER(TRIM(Main_Data!B78))</f>
        <v>North America</v>
      </c>
      <c r="O78" s="1" t="str" cm="1">
        <f t="array" ref="O78">_xlfn.IFS(F78&gt;=80,"Very High",F78&gt;=70,"High",F78&gt;=60,"Medium",TRUE,"Low")</f>
        <v>Medium</v>
      </c>
      <c r="P78" s="1" t="str" cm="1">
        <f t="array" ref="P78">_xlfn.IFS(D78&gt;=40000,"High Income",D78&gt;=15000,"Middle Income",TRUE,"Low Income")</f>
        <v>Middle Income</v>
      </c>
      <c r="Q78" s="1" t="str">
        <f t="shared" si="1"/>
        <v>Duplicate</v>
      </c>
    </row>
    <row r="79" spans="1:17" x14ac:dyDescent="0.25">
      <c r="A79" s="1" t="str">
        <f>Main_Data!A79</f>
        <v>Australia</v>
      </c>
      <c r="B79" s="1" t="str">
        <f>Main_Data!B79</f>
        <v>Oceania</v>
      </c>
      <c r="C79" s="1">
        <f>Main_Data!C79</f>
        <v>2020</v>
      </c>
      <c r="D79" s="1">
        <f>Main_Data!D79</f>
        <v>61636</v>
      </c>
      <c r="E79" s="1">
        <f>Main_Data!E79</f>
        <v>8.3000000000000007</v>
      </c>
      <c r="F79" s="1">
        <f>Main_Data!F79</f>
        <v>62</v>
      </c>
      <c r="G79" s="1">
        <f>Main_Data!G79</f>
        <v>536876061</v>
      </c>
      <c r="H79" s="1">
        <f>Main_Data!H79</f>
        <v>70</v>
      </c>
      <c r="I79" s="1">
        <f>Main_Data!I79</f>
        <v>20.6</v>
      </c>
      <c r="J79" s="1">
        <f>Main_Data!J79</f>
        <v>91</v>
      </c>
      <c r="K79" s="1">
        <f>Main_Data!K79</f>
        <v>90</v>
      </c>
      <c r="L79" s="1" t="str">
        <f>Main_Data!L79</f>
        <v>Oceania</v>
      </c>
      <c r="M79" s="1" t="str">
        <f>PROPER(TRIM(Main_Data!A79))</f>
        <v>Australia</v>
      </c>
      <c r="N79" s="1" t="str">
        <f>PROPER(TRIM(Main_Data!B79))</f>
        <v>Oceania</v>
      </c>
      <c r="O79" s="1" t="str" cm="1">
        <f t="array" ref="O79">_xlfn.IFS(F79&gt;=80,"Very High",F79&gt;=70,"High",F79&gt;=60,"Medium",TRUE,"Low")</f>
        <v>Medium</v>
      </c>
      <c r="P79" s="1" t="str" cm="1">
        <f t="array" ref="P79">_xlfn.IFS(D79&gt;=40000,"High Income",D79&gt;=15000,"Middle Income",TRUE,"Low Income")</f>
        <v>High Income</v>
      </c>
      <c r="Q79" s="1" t="str">
        <f t="shared" si="1"/>
        <v>Duplicate</v>
      </c>
    </row>
    <row r="80" spans="1:17" x14ac:dyDescent="0.25">
      <c r="A80" s="1" t="str">
        <f>Main_Data!A80</f>
        <v>Japan</v>
      </c>
      <c r="B80" s="1" t="str">
        <f>Main_Data!B80</f>
        <v>East Asia</v>
      </c>
      <c r="C80" s="1">
        <f>Main_Data!C80</f>
        <v>2022</v>
      </c>
      <c r="D80" s="1">
        <f>Main_Data!D80</f>
        <v>63564</v>
      </c>
      <c r="E80" s="1">
        <f>Main_Data!E80</f>
        <v>7.5</v>
      </c>
      <c r="F80" s="1">
        <f>Main_Data!F80</f>
        <v>72</v>
      </c>
      <c r="G80" s="1">
        <f>Main_Data!G80</f>
        <v>939466196</v>
      </c>
      <c r="H80" s="1">
        <f>Main_Data!H80</f>
        <v>80</v>
      </c>
      <c r="I80" s="1">
        <f>Main_Data!I80</f>
        <v>14.8</v>
      </c>
      <c r="J80" s="1">
        <f>Main_Data!J80</f>
        <v>76</v>
      </c>
      <c r="K80" s="1">
        <f>Main_Data!K80</f>
        <v>66</v>
      </c>
      <c r="L80" s="1" t="str">
        <f>Main_Data!L80</f>
        <v>Asia</v>
      </c>
      <c r="M80" s="1" t="str">
        <f>PROPER(TRIM(Main_Data!A80))</f>
        <v>Japan</v>
      </c>
      <c r="N80" s="1" t="str">
        <f>PROPER(TRIM(Main_Data!B80))</f>
        <v>East Asia</v>
      </c>
      <c r="O80" s="1" t="str" cm="1">
        <f t="array" ref="O80">_xlfn.IFS(F80&gt;=80,"Very High",F80&gt;=70,"High",F80&gt;=60,"Medium",TRUE,"Low")</f>
        <v>High</v>
      </c>
      <c r="P80" s="1" t="str" cm="1">
        <f t="array" ref="P80">_xlfn.IFS(D80&gt;=40000,"High Income",D80&gt;=15000,"Middle Income",TRUE,"Low Income")</f>
        <v>High Income</v>
      </c>
      <c r="Q80" s="1" t="str">
        <f t="shared" si="1"/>
        <v>Duplicate</v>
      </c>
    </row>
    <row r="81" spans="1:17" x14ac:dyDescent="0.25">
      <c r="A81" s="1" t="str">
        <f>Main_Data!A81</f>
        <v>South Africa</v>
      </c>
      <c r="B81" s="1" t="str">
        <f>Main_Data!B81</f>
        <v>Africa</v>
      </c>
      <c r="C81" s="1">
        <f>Main_Data!C81</f>
        <v>2020</v>
      </c>
      <c r="D81" s="1">
        <f>Main_Data!D81</f>
        <v>28071</v>
      </c>
      <c r="E81" s="1">
        <f>Main_Data!E81</f>
        <v>3.7</v>
      </c>
      <c r="F81" s="1">
        <f>Main_Data!F81</f>
        <v>82</v>
      </c>
      <c r="G81" s="1">
        <f>Main_Data!G81</f>
        <v>1366450380</v>
      </c>
      <c r="H81" s="1">
        <f>Main_Data!H81</f>
        <v>65</v>
      </c>
      <c r="I81" s="1">
        <f>Main_Data!I81</f>
        <v>9.1999999999999993</v>
      </c>
      <c r="J81" s="1">
        <f>Main_Data!J81</f>
        <v>82</v>
      </c>
      <c r="K81" s="1">
        <f>Main_Data!K81</f>
        <v>44</v>
      </c>
      <c r="L81" s="1" t="str">
        <f>Main_Data!L81</f>
        <v>Africa</v>
      </c>
      <c r="M81" s="1" t="str">
        <f>PROPER(TRIM(Main_Data!A81))</f>
        <v>South Africa</v>
      </c>
      <c r="N81" s="1" t="str">
        <f>PROPER(TRIM(Main_Data!B81))</f>
        <v>Africa</v>
      </c>
      <c r="O81" s="1" t="str" cm="1">
        <f t="array" ref="O81">_xlfn.IFS(F81&gt;=80,"Very High",F81&gt;=70,"High",F81&gt;=60,"Medium",TRUE,"Low")</f>
        <v>Very High</v>
      </c>
      <c r="P81" s="1" t="str" cm="1">
        <f t="array" ref="P81">_xlfn.IFS(D81&gt;=40000,"High Income",D81&gt;=15000,"Middle Income",TRUE,"Low Income")</f>
        <v>Middle Income</v>
      </c>
      <c r="Q81" s="1" t="str">
        <f t="shared" si="1"/>
        <v>Duplicate</v>
      </c>
    </row>
    <row r="82" spans="1:17" x14ac:dyDescent="0.25">
      <c r="A82" s="1" t="str">
        <f>Main_Data!A82</f>
        <v>India</v>
      </c>
      <c r="B82" s="1" t="str">
        <f>Main_Data!B82</f>
        <v>South Asia</v>
      </c>
      <c r="C82" s="1">
        <f>Main_Data!C82</f>
        <v>2020</v>
      </c>
      <c r="D82" s="1">
        <f>Main_Data!D82</f>
        <v>19507</v>
      </c>
      <c r="E82" s="1">
        <f>Main_Data!E82</f>
        <v>7.3</v>
      </c>
      <c r="F82" s="1">
        <f>Main_Data!F82</f>
        <v>78</v>
      </c>
      <c r="G82" s="1">
        <f>Main_Data!G82</f>
        <v>1096584543</v>
      </c>
      <c r="H82" s="1">
        <f>Main_Data!H82</f>
        <v>76</v>
      </c>
      <c r="I82" s="1">
        <f>Main_Data!I82</f>
        <v>3.7</v>
      </c>
      <c r="J82" s="1">
        <f>Main_Data!J82</f>
        <v>77</v>
      </c>
      <c r="K82" s="1">
        <f>Main_Data!K82</f>
        <v>63</v>
      </c>
      <c r="L82" s="1" t="str">
        <f>Main_Data!L82</f>
        <v>Asia</v>
      </c>
      <c r="M82" s="1" t="str">
        <f>PROPER(TRIM(Main_Data!A82))</f>
        <v>India</v>
      </c>
      <c r="N82" s="1" t="str">
        <f>PROPER(TRIM(Main_Data!B82))</f>
        <v>South Asia</v>
      </c>
      <c r="O82" s="1" t="str" cm="1">
        <f t="array" ref="O82">_xlfn.IFS(F82&gt;=80,"Very High",F82&gt;=70,"High",F82&gt;=60,"Medium",TRUE,"Low")</f>
        <v>High</v>
      </c>
      <c r="P82" s="1" t="str" cm="1">
        <f t="array" ref="P82">_xlfn.IFS(D82&gt;=40000,"High Income",D82&gt;=15000,"Middle Income",TRUE,"Low Income")</f>
        <v>Middle Income</v>
      </c>
      <c r="Q82" s="1" t="str">
        <f t="shared" si="1"/>
        <v>Duplicate</v>
      </c>
    </row>
    <row r="83" spans="1:17" x14ac:dyDescent="0.25">
      <c r="A83" s="1" t="str">
        <f>Main_Data!A83</f>
        <v>USA</v>
      </c>
      <c r="B83" s="1" t="str">
        <f>Main_Data!B83</f>
        <v>North America</v>
      </c>
      <c r="C83" s="1">
        <f>Main_Data!C83</f>
        <v>2021</v>
      </c>
      <c r="D83" s="1">
        <f>Main_Data!D83</f>
        <v>55609</v>
      </c>
      <c r="E83" s="1">
        <f>Main_Data!E83</f>
        <v>16.600000000000001</v>
      </c>
      <c r="F83" s="1">
        <f>Main_Data!F83</f>
        <v>66</v>
      </c>
      <c r="G83" s="1">
        <f>Main_Data!G83</f>
        <v>1105966001</v>
      </c>
      <c r="H83" s="1">
        <f>Main_Data!H83</f>
        <v>56</v>
      </c>
      <c r="I83" s="1">
        <f>Main_Data!I83</f>
        <v>7.4</v>
      </c>
      <c r="J83" s="1">
        <f>Main_Data!J83</f>
        <v>74</v>
      </c>
      <c r="K83" s="1">
        <f>Main_Data!K83</f>
        <v>58</v>
      </c>
      <c r="L83" s="1" t="str">
        <f>Main_Data!L83</f>
        <v>North America</v>
      </c>
      <c r="M83" s="1" t="str">
        <f>PROPER(TRIM(Main_Data!A83))</f>
        <v>Usa</v>
      </c>
      <c r="N83" s="1" t="str">
        <f>PROPER(TRIM(Main_Data!B83))</f>
        <v>North America</v>
      </c>
      <c r="O83" s="1" t="str" cm="1">
        <f t="array" ref="O83">_xlfn.IFS(F83&gt;=80,"Very High",F83&gt;=70,"High",F83&gt;=60,"Medium",TRUE,"Low")</f>
        <v>Medium</v>
      </c>
      <c r="P83" s="1" t="str" cm="1">
        <f t="array" ref="P83">_xlfn.IFS(D83&gt;=40000,"High Income",D83&gt;=15000,"Middle Income",TRUE,"Low Income")</f>
        <v>High Income</v>
      </c>
      <c r="Q83" s="1" t="str">
        <f t="shared" si="1"/>
        <v>Duplicate</v>
      </c>
    </row>
    <row r="84" spans="1:17" x14ac:dyDescent="0.25">
      <c r="A84" s="1" t="str">
        <f>Main_Data!A84</f>
        <v>Germany</v>
      </c>
      <c r="B84" s="1" t="str">
        <f>Main_Data!B84</f>
        <v>Europe</v>
      </c>
      <c r="C84" s="1">
        <f>Main_Data!C84</f>
        <v>2021</v>
      </c>
      <c r="D84" s="1">
        <f>Main_Data!D84</f>
        <v>68376</v>
      </c>
      <c r="E84" s="1">
        <f>Main_Data!E84</f>
        <v>6.3</v>
      </c>
      <c r="F84" s="1">
        <f>Main_Data!F84</f>
        <v>76</v>
      </c>
      <c r="G84" s="1">
        <f>Main_Data!G84</f>
        <v>1389242644</v>
      </c>
      <c r="H84" s="1">
        <f>Main_Data!H84</f>
        <v>64</v>
      </c>
      <c r="I84" s="1">
        <f>Main_Data!I84</f>
        <v>18.3</v>
      </c>
      <c r="J84" s="1">
        <f>Main_Data!J84</f>
        <v>79</v>
      </c>
      <c r="K84" s="1">
        <f>Main_Data!K84</f>
        <v>53</v>
      </c>
      <c r="L84" s="1" t="str">
        <f>Main_Data!L84</f>
        <v>Europe</v>
      </c>
      <c r="M84" s="1" t="str">
        <f>PROPER(TRIM(Main_Data!A84))</f>
        <v>Germany</v>
      </c>
      <c r="N84" s="1" t="str">
        <f>PROPER(TRIM(Main_Data!B84))</f>
        <v>Europe</v>
      </c>
      <c r="O84" s="1" t="str" cm="1">
        <f t="array" ref="O84">_xlfn.IFS(F84&gt;=80,"Very High",F84&gt;=70,"High",F84&gt;=60,"Medium",TRUE,"Low")</f>
        <v>High</v>
      </c>
      <c r="P84" s="1" t="str" cm="1">
        <f t="array" ref="P84">_xlfn.IFS(D84&gt;=40000,"High Income",D84&gt;=15000,"Middle Income",TRUE,"Low Income")</f>
        <v>High Income</v>
      </c>
      <c r="Q84" s="1" t="str">
        <f t="shared" si="1"/>
        <v>Duplicate</v>
      </c>
    </row>
    <row r="85" spans="1:17" x14ac:dyDescent="0.25">
      <c r="A85" s="1" t="str">
        <f>Main_Data!A85</f>
        <v>Brazil</v>
      </c>
      <c r="B85" s="1" t="str">
        <f>Main_Data!B85</f>
        <v>South America</v>
      </c>
      <c r="C85" s="1">
        <f>Main_Data!C85</f>
        <v>2022</v>
      </c>
      <c r="D85" s="1">
        <f>Main_Data!D85</f>
        <v>4012</v>
      </c>
      <c r="E85" s="1">
        <f>Main_Data!E85</f>
        <v>7.6</v>
      </c>
      <c r="F85" s="1">
        <f>Main_Data!F85</f>
        <v>70</v>
      </c>
      <c r="G85" s="1">
        <f>Main_Data!G85</f>
        <v>823571094</v>
      </c>
      <c r="H85" s="1">
        <f>Main_Data!H85</f>
        <v>84</v>
      </c>
      <c r="I85" s="1">
        <f>Main_Data!I85</f>
        <v>16.899999999999999</v>
      </c>
      <c r="J85" s="1">
        <f>Main_Data!J85</f>
        <v>81</v>
      </c>
      <c r="K85" s="1">
        <f>Main_Data!K85</f>
        <v>75</v>
      </c>
      <c r="L85" s="1" t="str">
        <f>Main_Data!L85</f>
        <v>South America</v>
      </c>
      <c r="M85" s="1" t="str">
        <f>PROPER(TRIM(Main_Data!A85))</f>
        <v>Brazil</v>
      </c>
      <c r="N85" s="1" t="str">
        <f>PROPER(TRIM(Main_Data!B85))</f>
        <v>South America</v>
      </c>
      <c r="O85" s="1" t="str" cm="1">
        <f t="array" ref="O85">_xlfn.IFS(F85&gt;=80,"Very High",F85&gt;=70,"High",F85&gt;=60,"Medium",TRUE,"Low")</f>
        <v>High</v>
      </c>
      <c r="P85" s="1" t="str" cm="1">
        <f t="array" ref="P85">_xlfn.IFS(D85&gt;=40000,"High Income",D85&gt;=15000,"Middle Income",TRUE,"Low Income")</f>
        <v>Low Income</v>
      </c>
      <c r="Q85" s="1" t="str">
        <f t="shared" si="1"/>
        <v>Duplicate</v>
      </c>
    </row>
    <row r="86" spans="1:17" x14ac:dyDescent="0.25">
      <c r="A86" s="1" t="str">
        <f>Main_Data!A86</f>
        <v>China</v>
      </c>
      <c r="B86" s="1" t="str">
        <f>Main_Data!B86</f>
        <v>East Asia</v>
      </c>
      <c r="C86" s="1">
        <f>Main_Data!C86</f>
        <v>2021</v>
      </c>
      <c r="D86" s="1">
        <f>Main_Data!D86</f>
        <v>38104</v>
      </c>
      <c r="E86" s="1">
        <f>Main_Data!E86</f>
        <v>14.2</v>
      </c>
      <c r="F86" s="1">
        <f>Main_Data!F86</f>
        <v>81</v>
      </c>
      <c r="G86" s="1">
        <f>Main_Data!G86</f>
        <v>1127433910</v>
      </c>
      <c r="H86" s="1">
        <f>Main_Data!H86</f>
        <v>75</v>
      </c>
      <c r="I86" s="1">
        <f>Main_Data!I86</f>
        <v>22.8</v>
      </c>
      <c r="J86" s="1">
        <f>Main_Data!J86</f>
        <v>99</v>
      </c>
      <c r="K86" s="1">
        <f>Main_Data!K86</f>
        <v>32</v>
      </c>
      <c r="L86" s="1" t="str">
        <f>Main_Data!L86</f>
        <v>Asia</v>
      </c>
      <c r="M86" s="1" t="str">
        <f>PROPER(TRIM(Main_Data!A86))</f>
        <v>China</v>
      </c>
      <c r="N86" s="1" t="str">
        <f>PROPER(TRIM(Main_Data!B86))</f>
        <v>East Asia</v>
      </c>
      <c r="O86" s="1" t="str" cm="1">
        <f t="array" ref="O86">_xlfn.IFS(F86&gt;=80,"Very High",F86&gt;=70,"High",F86&gt;=60,"Medium",TRUE,"Low")</f>
        <v>Very High</v>
      </c>
      <c r="P86" s="1" t="str" cm="1">
        <f t="array" ref="P86">_xlfn.IFS(D86&gt;=40000,"High Income",D86&gt;=15000,"Middle Income",TRUE,"Low Income")</f>
        <v>Middle Income</v>
      </c>
      <c r="Q86" s="1" t="str">
        <f t="shared" si="1"/>
        <v>Duplicate</v>
      </c>
    </row>
    <row r="87" spans="1:17" x14ac:dyDescent="0.25">
      <c r="A87" s="1" t="str">
        <f>Main_Data!A87</f>
        <v>UK</v>
      </c>
      <c r="B87" s="1" t="str">
        <f>Main_Data!B87</f>
        <v>Europe</v>
      </c>
      <c r="C87" s="1">
        <f>Main_Data!C87</f>
        <v>2020</v>
      </c>
      <c r="D87" s="1">
        <f>Main_Data!D87</f>
        <v>59393</v>
      </c>
      <c r="E87" s="1">
        <f>Main_Data!E87</f>
        <v>6.9</v>
      </c>
      <c r="F87" s="1">
        <f>Main_Data!F87</f>
        <v>64</v>
      </c>
      <c r="G87" s="1">
        <f>Main_Data!G87</f>
        <v>1018071697</v>
      </c>
      <c r="H87" s="1">
        <f>Main_Data!H87</f>
        <v>93</v>
      </c>
      <c r="I87" s="1">
        <f>Main_Data!I87</f>
        <v>24.4</v>
      </c>
      <c r="J87" s="1">
        <f>Main_Data!J87</f>
        <v>91</v>
      </c>
      <c r="K87" s="1">
        <f>Main_Data!K87</f>
        <v>57</v>
      </c>
      <c r="L87" s="1" t="str">
        <f>Main_Data!L87</f>
        <v>Europe</v>
      </c>
      <c r="M87" s="1" t="str">
        <f>PROPER(TRIM(Main_Data!A87))</f>
        <v>Uk</v>
      </c>
      <c r="N87" s="1" t="str">
        <f>PROPER(TRIM(Main_Data!B87))</f>
        <v>Europe</v>
      </c>
      <c r="O87" s="1" t="str" cm="1">
        <f t="array" ref="O87">_xlfn.IFS(F87&gt;=80,"Very High",F87&gt;=70,"High",F87&gt;=60,"Medium",TRUE,"Low")</f>
        <v>Medium</v>
      </c>
      <c r="P87" s="1" t="str" cm="1">
        <f t="array" ref="P87">_xlfn.IFS(D87&gt;=40000,"High Income",D87&gt;=15000,"Middle Income",TRUE,"Low Income")</f>
        <v>High Income</v>
      </c>
      <c r="Q87" s="1" t="str">
        <f t="shared" si="1"/>
        <v>Duplicate</v>
      </c>
    </row>
    <row r="88" spans="1:17" x14ac:dyDescent="0.25">
      <c r="A88" s="1" t="str">
        <f>Main_Data!A88</f>
        <v>Canada</v>
      </c>
      <c r="B88" s="1" t="str">
        <f>Main_Data!B88</f>
        <v>North America</v>
      </c>
      <c r="C88" s="1">
        <f>Main_Data!C88</f>
        <v>2021</v>
      </c>
      <c r="D88" s="1">
        <f>Main_Data!D88</f>
        <v>19696</v>
      </c>
      <c r="E88" s="1">
        <f>Main_Data!E88</f>
        <v>9.3000000000000007</v>
      </c>
      <c r="F88" s="1">
        <f>Main_Data!F88</f>
        <v>65</v>
      </c>
      <c r="G88" s="1">
        <f>Main_Data!G88</f>
        <v>453095962</v>
      </c>
      <c r="H88" s="1">
        <f>Main_Data!H88</f>
        <v>90</v>
      </c>
      <c r="I88" s="1">
        <f>Main_Data!I88</f>
        <v>10.3</v>
      </c>
      <c r="J88" s="1">
        <f>Main_Data!J88</f>
        <v>92</v>
      </c>
      <c r="K88" s="1">
        <f>Main_Data!K88</f>
        <v>72</v>
      </c>
      <c r="L88" s="1" t="str">
        <f>Main_Data!L88</f>
        <v>North America</v>
      </c>
      <c r="M88" s="1" t="str">
        <f>PROPER(TRIM(Main_Data!A88))</f>
        <v>Canada</v>
      </c>
      <c r="N88" s="1" t="str">
        <f>PROPER(TRIM(Main_Data!B88))</f>
        <v>North America</v>
      </c>
      <c r="O88" s="1" t="str" cm="1">
        <f t="array" ref="O88">_xlfn.IFS(F88&gt;=80,"Very High",F88&gt;=70,"High",F88&gt;=60,"Medium",TRUE,"Low")</f>
        <v>Medium</v>
      </c>
      <c r="P88" s="1" t="str" cm="1">
        <f t="array" ref="P88">_xlfn.IFS(D88&gt;=40000,"High Income",D88&gt;=15000,"Middle Income",TRUE,"Low Income")</f>
        <v>Middle Income</v>
      </c>
      <c r="Q88" s="1" t="str">
        <f t="shared" si="1"/>
        <v>Duplicate</v>
      </c>
    </row>
    <row r="89" spans="1:17" x14ac:dyDescent="0.25">
      <c r="A89" s="1" t="str">
        <f>Main_Data!A89</f>
        <v>Australia</v>
      </c>
      <c r="B89" s="1" t="str">
        <f>Main_Data!B89</f>
        <v>Oceania</v>
      </c>
      <c r="C89" s="1">
        <f>Main_Data!C89</f>
        <v>2021</v>
      </c>
      <c r="D89" s="1">
        <f>Main_Data!D89</f>
        <v>31117</v>
      </c>
      <c r="E89" s="1">
        <f>Main_Data!E89</f>
        <v>13.9</v>
      </c>
      <c r="F89" s="1">
        <f>Main_Data!F89</f>
        <v>63</v>
      </c>
      <c r="G89" s="1">
        <f>Main_Data!G89</f>
        <v>213430923</v>
      </c>
      <c r="H89" s="1">
        <f>Main_Data!H89</f>
        <v>95</v>
      </c>
      <c r="I89" s="1">
        <f>Main_Data!I89</f>
        <v>16.3</v>
      </c>
      <c r="J89" s="1">
        <f>Main_Data!J89</f>
        <v>72</v>
      </c>
      <c r="K89" s="1">
        <f>Main_Data!K89</f>
        <v>31</v>
      </c>
      <c r="L89" s="1" t="str">
        <f>Main_Data!L89</f>
        <v>Oceania</v>
      </c>
      <c r="M89" s="1" t="str">
        <f>PROPER(TRIM(Main_Data!A89))</f>
        <v>Australia</v>
      </c>
      <c r="N89" s="1" t="str">
        <f>PROPER(TRIM(Main_Data!B89))</f>
        <v>Oceania</v>
      </c>
      <c r="O89" s="1" t="str" cm="1">
        <f t="array" ref="O89">_xlfn.IFS(F89&gt;=80,"Very High",F89&gt;=70,"High",F89&gt;=60,"Medium",TRUE,"Low")</f>
        <v>Medium</v>
      </c>
      <c r="P89" s="1" t="str" cm="1">
        <f t="array" ref="P89">_xlfn.IFS(D89&gt;=40000,"High Income",D89&gt;=15000,"Middle Income",TRUE,"Low Income")</f>
        <v>Middle Income</v>
      </c>
      <c r="Q89" s="1" t="str">
        <f t="shared" si="1"/>
        <v>Duplicate</v>
      </c>
    </row>
    <row r="90" spans="1:17" x14ac:dyDescent="0.25">
      <c r="A90" s="1" t="str">
        <f>Main_Data!A90</f>
        <v>Japan</v>
      </c>
      <c r="B90" s="1" t="str">
        <f>Main_Data!B90</f>
        <v>East Asia</v>
      </c>
      <c r="C90" s="1">
        <f>Main_Data!C90</f>
        <v>2020</v>
      </c>
      <c r="D90" s="1">
        <f>Main_Data!D90</f>
        <v>59584</v>
      </c>
      <c r="E90" s="1">
        <f>Main_Data!E90</f>
        <v>7.8</v>
      </c>
      <c r="F90" s="1">
        <f>Main_Data!F90</f>
        <v>79</v>
      </c>
      <c r="G90" s="1">
        <f>Main_Data!G90</f>
        <v>78117296</v>
      </c>
      <c r="H90" s="1">
        <f>Main_Data!H90</f>
        <v>66</v>
      </c>
      <c r="I90" s="1">
        <f>Main_Data!I90</f>
        <v>11.9</v>
      </c>
      <c r="J90" s="1">
        <f>Main_Data!J90</f>
        <v>70</v>
      </c>
      <c r="K90" s="1">
        <f>Main_Data!K90</f>
        <v>55</v>
      </c>
      <c r="L90" s="1" t="str">
        <f>Main_Data!L90</f>
        <v>Asia</v>
      </c>
      <c r="M90" s="1" t="str">
        <f>PROPER(TRIM(Main_Data!A90))</f>
        <v>Japan</v>
      </c>
      <c r="N90" s="1" t="str">
        <f>PROPER(TRIM(Main_Data!B90))</f>
        <v>East Asia</v>
      </c>
      <c r="O90" s="1" t="str" cm="1">
        <f t="array" ref="O90">_xlfn.IFS(F90&gt;=80,"Very High",F90&gt;=70,"High",F90&gt;=60,"Medium",TRUE,"Low")</f>
        <v>High</v>
      </c>
      <c r="P90" s="1" t="str" cm="1">
        <f t="array" ref="P90">_xlfn.IFS(D90&gt;=40000,"High Income",D90&gt;=15000,"Middle Income",TRUE,"Low Income")</f>
        <v>High Income</v>
      </c>
      <c r="Q90" s="1" t="str">
        <f t="shared" si="1"/>
        <v>Duplicate</v>
      </c>
    </row>
    <row r="91" spans="1:17" x14ac:dyDescent="0.25">
      <c r="A91" s="1" t="str">
        <f>Main_Data!A91</f>
        <v>South Africa</v>
      </c>
      <c r="B91" s="1" t="str">
        <f>Main_Data!B91</f>
        <v>Africa</v>
      </c>
      <c r="C91" s="1">
        <f>Main_Data!C91</f>
        <v>2020</v>
      </c>
      <c r="D91" s="1">
        <f>Main_Data!D91</f>
        <v>10134</v>
      </c>
      <c r="E91" s="1">
        <f>Main_Data!E91</f>
        <v>12.1</v>
      </c>
      <c r="F91" s="1">
        <f>Main_Data!F91</f>
        <v>69</v>
      </c>
      <c r="G91" s="1">
        <f>Main_Data!G91</f>
        <v>456672586</v>
      </c>
      <c r="H91" s="1">
        <f>Main_Data!H91</f>
        <v>84</v>
      </c>
      <c r="I91" s="1">
        <f>Main_Data!I91</f>
        <v>12.3</v>
      </c>
      <c r="J91" s="1">
        <f>Main_Data!J91</f>
        <v>93</v>
      </c>
      <c r="K91" s="1">
        <f>Main_Data!K91</f>
        <v>62</v>
      </c>
      <c r="L91" s="1" t="str">
        <f>Main_Data!L91</f>
        <v>Africa</v>
      </c>
      <c r="M91" s="1" t="str">
        <f>PROPER(TRIM(Main_Data!A91))</f>
        <v>South Africa</v>
      </c>
      <c r="N91" s="1" t="str">
        <f>PROPER(TRIM(Main_Data!B91))</f>
        <v>Africa</v>
      </c>
      <c r="O91" s="1" t="str" cm="1">
        <f t="array" ref="O91">_xlfn.IFS(F91&gt;=80,"Very High",F91&gt;=70,"High",F91&gt;=60,"Medium",TRUE,"Low")</f>
        <v>Medium</v>
      </c>
      <c r="P91" s="1" t="str" cm="1">
        <f t="array" ref="P91">_xlfn.IFS(D91&gt;=40000,"High Income",D91&gt;=15000,"Middle Income",TRUE,"Low Income")</f>
        <v>Low Income</v>
      </c>
      <c r="Q91" s="1" t="str">
        <f t="shared" si="1"/>
        <v>Duplicate</v>
      </c>
    </row>
    <row r="92" spans="1:17" x14ac:dyDescent="0.25">
      <c r="A92" s="1" t="str">
        <f>Main_Data!A92</f>
        <v>India</v>
      </c>
      <c r="B92" s="1" t="str">
        <f>Main_Data!B92</f>
        <v>South Asia</v>
      </c>
      <c r="C92" s="1">
        <f>Main_Data!C92</f>
        <v>2020</v>
      </c>
      <c r="D92" s="1">
        <f>Main_Data!D92</f>
        <v>50989</v>
      </c>
      <c r="E92" s="1">
        <f>Main_Data!E92</f>
        <v>12.6</v>
      </c>
      <c r="F92" s="1">
        <f>Main_Data!F92</f>
        <v>70</v>
      </c>
      <c r="G92" s="1">
        <f>Main_Data!G92</f>
        <v>1267573118</v>
      </c>
      <c r="H92" s="1">
        <f>Main_Data!H92</f>
        <v>88</v>
      </c>
      <c r="I92" s="1">
        <f>Main_Data!I92</f>
        <v>12.2</v>
      </c>
      <c r="J92" s="1">
        <f>Main_Data!J92</f>
        <v>78</v>
      </c>
      <c r="K92" s="1">
        <f>Main_Data!K92</f>
        <v>82</v>
      </c>
      <c r="L92" s="1" t="str">
        <f>Main_Data!L92</f>
        <v>Asia</v>
      </c>
      <c r="M92" s="1" t="str">
        <f>PROPER(TRIM(Main_Data!A92))</f>
        <v>India</v>
      </c>
      <c r="N92" s="1" t="str">
        <f>PROPER(TRIM(Main_Data!B92))</f>
        <v>South Asia</v>
      </c>
      <c r="O92" s="1" t="str" cm="1">
        <f t="array" ref="O92">_xlfn.IFS(F92&gt;=80,"Very High",F92&gt;=70,"High",F92&gt;=60,"Medium",TRUE,"Low")</f>
        <v>High</v>
      </c>
      <c r="P92" s="1" t="str" cm="1">
        <f t="array" ref="P92">_xlfn.IFS(D92&gt;=40000,"High Income",D92&gt;=15000,"Middle Income",TRUE,"Low Income")</f>
        <v>High Income</v>
      </c>
      <c r="Q92" s="1" t="str">
        <f t="shared" si="1"/>
        <v>Duplicate</v>
      </c>
    </row>
    <row r="93" spans="1:17" x14ac:dyDescent="0.25">
      <c r="A93" s="1" t="str">
        <f>Main_Data!A93</f>
        <v>USA</v>
      </c>
      <c r="B93" s="1" t="str">
        <f>Main_Data!B93</f>
        <v>North America</v>
      </c>
      <c r="C93" s="1">
        <f>Main_Data!C93</f>
        <v>2020</v>
      </c>
      <c r="D93" s="1">
        <f>Main_Data!D93</f>
        <v>59402</v>
      </c>
      <c r="E93" s="1">
        <f>Main_Data!E93</f>
        <v>13.1</v>
      </c>
      <c r="F93" s="1">
        <f>Main_Data!F93</f>
        <v>62</v>
      </c>
      <c r="G93" s="1">
        <f>Main_Data!G93</f>
        <v>527223019</v>
      </c>
      <c r="H93" s="1">
        <f>Main_Data!H93</f>
        <v>51</v>
      </c>
      <c r="I93" s="1">
        <f>Main_Data!I93</f>
        <v>17.7</v>
      </c>
      <c r="J93" s="1">
        <f>Main_Data!J93</f>
        <v>94</v>
      </c>
      <c r="K93" s="1">
        <f>Main_Data!K93</f>
        <v>32</v>
      </c>
      <c r="L93" s="1" t="str">
        <f>Main_Data!L93</f>
        <v>North America</v>
      </c>
      <c r="M93" s="1" t="str">
        <f>PROPER(TRIM(Main_Data!A93))</f>
        <v>Usa</v>
      </c>
      <c r="N93" s="1" t="str">
        <f>PROPER(TRIM(Main_Data!B93))</f>
        <v>North America</v>
      </c>
      <c r="O93" s="1" t="str" cm="1">
        <f t="array" ref="O93">_xlfn.IFS(F93&gt;=80,"Very High",F93&gt;=70,"High",F93&gt;=60,"Medium",TRUE,"Low")</f>
        <v>Medium</v>
      </c>
      <c r="P93" s="1" t="str" cm="1">
        <f t="array" ref="P93">_xlfn.IFS(D93&gt;=40000,"High Income",D93&gt;=15000,"Middle Income",TRUE,"Low Income")</f>
        <v>High Income</v>
      </c>
      <c r="Q93" s="1" t="str">
        <f t="shared" si="1"/>
        <v>Duplicate</v>
      </c>
    </row>
    <row r="94" spans="1:17" x14ac:dyDescent="0.25">
      <c r="A94" s="1" t="str">
        <f>Main_Data!A94</f>
        <v>Germany</v>
      </c>
      <c r="B94" s="1" t="str">
        <f>Main_Data!B94</f>
        <v>Europe</v>
      </c>
      <c r="C94" s="1">
        <f>Main_Data!C94</f>
        <v>2021</v>
      </c>
      <c r="D94" s="1">
        <f>Main_Data!D94</f>
        <v>38360</v>
      </c>
      <c r="E94" s="1">
        <f>Main_Data!E94</f>
        <v>16.5</v>
      </c>
      <c r="F94" s="1">
        <f>Main_Data!F94</f>
        <v>74</v>
      </c>
      <c r="G94" s="1">
        <f>Main_Data!G94</f>
        <v>723344561</v>
      </c>
      <c r="H94" s="1">
        <f>Main_Data!H94</f>
        <v>50</v>
      </c>
      <c r="I94" s="1">
        <f>Main_Data!I94</f>
        <v>15.3</v>
      </c>
      <c r="J94" s="1">
        <f>Main_Data!J94</f>
        <v>89</v>
      </c>
      <c r="K94" s="1">
        <f>Main_Data!K94</f>
        <v>41</v>
      </c>
      <c r="L94" s="1" t="str">
        <f>Main_Data!L94</f>
        <v>Europe</v>
      </c>
      <c r="M94" s="1" t="str">
        <f>PROPER(TRIM(Main_Data!A94))</f>
        <v>Germany</v>
      </c>
      <c r="N94" s="1" t="str">
        <f>PROPER(TRIM(Main_Data!B94))</f>
        <v>Europe</v>
      </c>
      <c r="O94" s="1" t="str" cm="1">
        <f t="array" ref="O94">_xlfn.IFS(F94&gt;=80,"Very High",F94&gt;=70,"High",F94&gt;=60,"Medium",TRUE,"Low")</f>
        <v>High</v>
      </c>
      <c r="P94" s="1" t="str" cm="1">
        <f t="array" ref="P94">_xlfn.IFS(D94&gt;=40000,"High Income",D94&gt;=15000,"Middle Income",TRUE,"Low Income")</f>
        <v>Middle Income</v>
      </c>
      <c r="Q94" s="1" t="str">
        <f t="shared" si="1"/>
        <v>Duplicate</v>
      </c>
    </row>
    <row r="95" spans="1:17" x14ac:dyDescent="0.25">
      <c r="A95" s="1" t="str">
        <f>Main_Data!A95</f>
        <v>Brazil</v>
      </c>
      <c r="B95" s="1" t="str">
        <f>Main_Data!B95</f>
        <v>South America</v>
      </c>
      <c r="C95" s="1">
        <f>Main_Data!C95</f>
        <v>2021</v>
      </c>
      <c r="D95" s="1">
        <f>Main_Data!D95</f>
        <v>66478</v>
      </c>
      <c r="E95" s="1">
        <f>Main_Data!E95</f>
        <v>3.3</v>
      </c>
      <c r="F95" s="1">
        <f>Main_Data!F95</f>
        <v>70</v>
      </c>
      <c r="G95" s="1">
        <f>Main_Data!G95</f>
        <v>561526459</v>
      </c>
      <c r="H95" s="1">
        <f>Main_Data!H95</f>
        <v>54</v>
      </c>
      <c r="I95" s="1">
        <f>Main_Data!I95</f>
        <v>17.5</v>
      </c>
      <c r="J95" s="1">
        <f>Main_Data!J95</f>
        <v>79</v>
      </c>
      <c r="K95" s="1">
        <f>Main_Data!K95</f>
        <v>89</v>
      </c>
      <c r="L95" s="1" t="str">
        <f>Main_Data!L95</f>
        <v>South America</v>
      </c>
      <c r="M95" s="1" t="str">
        <f>PROPER(TRIM(Main_Data!A95))</f>
        <v>Brazil</v>
      </c>
      <c r="N95" s="1" t="str">
        <f>PROPER(TRIM(Main_Data!B95))</f>
        <v>South America</v>
      </c>
      <c r="O95" s="1" t="str" cm="1">
        <f t="array" ref="O95">_xlfn.IFS(F95&gt;=80,"Very High",F95&gt;=70,"High",F95&gt;=60,"Medium",TRUE,"Low")</f>
        <v>High</v>
      </c>
      <c r="P95" s="1" t="str" cm="1">
        <f t="array" ref="P95">_xlfn.IFS(D95&gt;=40000,"High Income",D95&gt;=15000,"Middle Income",TRUE,"Low Income")</f>
        <v>High Income</v>
      </c>
      <c r="Q95" s="1" t="str">
        <f t="shared" si="1"/>
        <v>Duplicate</v>
      </c>
    </row>
    <row r="96" spans="1:17" x14ac:dyDescent="0.25">
      <c r="A96" s="1" t="str">
        <f>Main_Data!A96</f>
        <v>China</v>
      </c>
      <c r="B96" s="1" t="str">
        <f>Main_Data!B96</f>
        <v>East Asia</v>
      </c>
      <c r="C96" s="1">
        <f>Main_Data!C96</f>
        <v>2021</v>
      </c>
      <c r="D96" s="1">
        <f>Main_Data!D96</f>
        <v>63151</v>
      </c>
      <c r="E96" s="1">
        <f>Main_Data!E96</f>
        <v>13.4</v>
      </c>
      <c r="F96" s="1">
        <f>Main_Data!F96</f>
        <v>63</v>
      </c>
      <c r="G96" s="1">
        <f>Main_Data!G96</f>
        <v>1256041242</v>
      </c>
      <c r="H96" s="1">
        <f>Main_Data!H96</f>
        <v>83</v>
      </c>
      <c r="I96" s="1">
        <f>Main_Data!I96</f>
        <v>24.6</v>
      </c>
      <c r="J96" s="1">
        <f>Main_Data!J96</f>
        <v>95</v>
      </c>
      <c r="K96" s="1">
        <f>Main_Data!K96</f>
        <v>69</v>
      </c>
      <c r="L96" s="1" t="str">
        <f>Main_Data!L96</f>
        <v>Asia</v>
      </c>
      <c r="M96" s="1" t="str">
        <f>PROPER(TRIM(Main_Data!A96))</f>
        <v>China</v>
      </c>
      <c r="N96" s="1" t="str">
        <f>PROPER(TRIM(Main_Data!B96))</f>
        <v>East Asia</v>
      </c>
      <c r="O96" s="1" t="str" cm="1">
        <f t="array" ref="O96">_xlfn.IFS(F96&gt;=80,"Very High",F96&gt;=70,"High",F96&gt;=60,"Medium",TRUE,"Low")</f>
        <v>Medium</v>
      </c>
      <c r="P96" s="1" t="str" cm="1">
        <f t="array" ref="P96">_xlfn.IFS(D96&gt;=40000,"High Income",D96&gt;=15000,"Middle Income",TRUE,"Low Income")</f>
        <v>High Income</v>
      </c>
      <c r="Q96" s="1" t="str">
        <f t="shared" si="1"/>
        <v>Duplicate</v>
      </c>
    </row>
    <row r="97" spans="1:17" x14ac:dyDescent="0.25">
      <c r="A97" s="1" t="str">
        <f>Main_Data!A97</f>
        <v>UK</v>
      </c>
      <c r="B97" s="1" t="str">
        <f>Main_Data!B97</f>
        <v>Europe</v>
      </c>
      <c r="C97" s="1">
        <f>Main_Data!C97</f>
        <v>2020</v>
      </c>
      <c r="D97" s="1">
        <f>Main_Data!D97</f>
        <v>30004</v>
      </c>
      <c r="E97" s="1">
        <f>Main_Data!E97</f>
        <v>11.9</v>
      </c>
      <c r="F97" s="1">
        <f>Main_Data!F97</f>
        <v>67</v>
      </c>
      <c r="G97" s="1">
        <f>Main_Data!G97</f>
        <v>1284232344</v>
      </c>
      <c r="H97" s="1">
        <f>Main_Data!H97</f>
        <v>71</v>
      </c>
      <c r="I97" s="1">
        <f>Main_Data!I97</f>
        <v>4.5</v>
      </c>
      <c r="J97" s="1">
        <f>Main_Data!J97</f>
        <v>91</v>
      </c>
      <c r="K97" s="1">
        <f>Main_Data!K97</f>
        <v>50</v>
      </c>
      <c r="L97" s="1" t="str">
        <f>Main_Data!L97</f>
        <v>Europe</v>
      </c>
      <c r="M97" s="1" t="str">
        <f>PROPER(TRIM(Main_Data!A97))</f>
        <v>Uk</v>
      </c>
      <c r="N97" s="1" t="str">
        <f>PROPER(TRIM(Main_Data!B97))</f>
        <v>Europe</v>
      </c>
      <c r="O97" s="1" t="str" cm="1">
        <f t="array" ref="O97">_xlfn.IFS(F97&gt;=80,"Very High",F97&gt;=70,"High",F97&gt;=60,"Medium",TRUE,"Low")</f>
        <v>Medium</v>
      </c>
      <c r="P97" s="1" t="str" cm="1">
        <f t="array" ref="P97">_xlfn.IFS(D97&gt;=40000,"High Income",D97&gt;=15000,"Middle Income",TRUE,"Low Income")</f>
        <v>Middle Income</v>
      </c>
      <c r="Q97" s="1" t="str">
        <f t="shared" si="1"/>
        <v>Duplicate</v>
      </c>
    </row>
    <row r="98" spans="1:17" x14ac:dyDescent="0.25">
      <c r="A98" s="1" t="str">
        <f>Main_Data!A98</f>
        <v>Canada</v>
      </c>
      <c r="B98" s="1" t="str">
        <f>Main_Data!B98</f>
        <v>North America</v>
      </c>
      <c r="C98" s="1">
        <f>Main_Data!C98</f>
        <v>2022</v>
      </c>
      <c r="D98" s="1">
        <f>Main_Data!D98</f>
        <v>8301</v>
      </c>
      <c r="E98" s="1">
        <f>Main_Data!E98</f>
        <v>3.6</v>
      </c>
      <c r="F98" s="1">
        <f>Main_Data!F98</f>
        <v>71</v>
      </c>
      <c r="G98" s="1">
        <f>Main_Data!G98</f>
        <v>1222005245</v>
      </c>
      <c r="H98" s="1">
        <f>Main_Data!H98</f>
        <v>66</v>
      </c>
      <c r="I98" s="1">
        <f>Main_Data!I98</f>
        <v>14</v>
      </c>
      <c r="J98" s="1">
        <f>Main_Data!J98</f>
        <v>73</v>
      </c>
      <c r="K98" s="1">
        <f>Main_Data!K98</f>
        <v>36</v>
      </c>
      <c r="L98" s="1" t="str">
        <f>Main_Data!L98</f>
        <v>North America</v>
      </c>
      <c r="M98" s="1" t="str">
        <f>PROPER(TRIM(Main_Data!A98))</f>
        <v>Canada</v>
      </c>
      <c r="N98" s="1" t="str">
        <f>PROPER(TRIM(Main_Data!B98))</f>
        <v>North America</v>
      </c>
      <c r="O98" s="1" t="str" cm="1">
        <f t="array" ref="O98">_xlfn.IFS(F98&gt;=80,"Very High",F98&gt;=70,"High",F98&gt;=60,"Medium",TRUE,"Low")</f>
        <v>High</v>
      </c>
      <c r="P98" s="1" t="str" cm="1">
        <f t="array" ref="P98">_xlfn.IFS(D98&gt;=40000,"High Income",D98&gt;=15000,"Middle Income",TRUE,"Low Income")</f>
        <v>Low Income</v>
      </c>
      <c r="Q98" s="1" t="str">
        <f t="shared" si="1"/>
        <v>Duplicate</v>
      </c>
    </row>
    <row r="99" spans="1:17" x14ac:dyDescent="0.25">
      <c r="A99" s="1" t="str">
        <f>Main_Data!A99</f>
        <v>Australia</v>
      </c>
      <c r="B99" s="1" t="str">
        <f>Main_Data!B99</f>
        <v>Oceania</v>
      </c>
      <c r="C99" s="1">
        <f>Main_Data!C99</f>
        <v>2021</v>
      </c>
      <c r="D99" s="1">
        <f>Main_Data!D99</f>
        <v>13745</v>
      </c>
      <c r="E99" s="1">
        <f>Main_Data!E99</f>
        <v>16.7</v>
      </c>
      <c r="F99" s="1">
        <f>Main_Data!F99</f>
        <v>83</v>
      </c>
      <c r="G99" s="1">
        <f>Main_Data!G99</f>
        <v>739964509</v>
      </c>
      <c r="H99" s="1">
        <f>Main_Data!H99</f>
        <v>56</v>
      </c>
      <c r="I99" s="1">
        <f>Main_Data!I99</f>
        <v>6.1</v>
      </c>
      <c r="J99" s="1">
        <f>Main_Data!J99</f>
        <v>87</v>
      </c>
      <c r="K99" s="1">
        <f>Main_Data!K99</f>
        <v>46</v>
      </c>
      <c r="L99" s="1" t="str">
        <f>Main_Data!L99</f>
        <v>Oceania</v>
      </c>
      <c r="M99" s="1" t="str">
        <f>PROPER(TRIM(Main_Data!A99))</f>
        <v>Australia</v>
      </c>
      <c r="N99" s="1" t="str">
        <f>PROPER(TRIM(Main_Data!B99))</f>
        <v>Oceania</v>
      </c>
      <c r="O99" s="1" t="str" cm="1">
        <f t="array" ref="O99">_xlfn.IFS(F99&gt;=80,"Very High",F99&gt;=70,"High",F99&gt;=60,"Medium",TRUE,"Low")</f>
        <v>Very High</v>
      </c>
      <c r="P99" s="1" t="str" cm="1">
        <f t="array" ref="P99">_xlfn.IFS(D99&gt;=40000,"High Income",D99&gt;=15000,"Middle Income",TRUE,"Low Income")</f>
        <v>Low Income</v>
      </c>
      <c r="Q99" s="1" t="str">
        <f t="shared" si="1"/>
        <v>Duplicate</v>
      </c>
    </row>
    <row r="100" spans="1:17" x14ac:dyDescent="0.25">
      <c r="A100" s="1" t="str">
        <f>Main_Data!A100</f>
        <v>Japan</v>
      </c>
      <c r="B100" s="1" t="str">
        <f>Main_Data!B100</f>
        <v>East Asia</v>
      </c>
      <c r="C100" s="1">
        <f>Main_Data!C100</f>
        <v>2020</v>
      </c>
      <c r="D100" s="1">
        <f>Main_Data!D100</f>
        <v>61326</v>
      </c>
      <c r="E100" s="1">
        <f>Main_Data!E100</f>
        <v>14.3</v>
      </c>
      <c r="F100" s="1">
        <f>Main_Data!F100</f>
        <v>71</v>
      </c>
      <c r="G100" s="1">
        <f>Main_Data!G100</f>
        <v>286281086</v>
      </c>
      <c r="H100" s="1">
        <f>Main_Data!H100</f>
        <v>57</v>
      </c>
      <c r="I100" s="1">
        <f>Main_Data!I100</f>
        <v>11</v>
      </c>
      <c r="J100" s="1">
        <f>Main_Data!J100</f>
        <v>70</v>
      </c>
      <c r="K100" s="1">
        <f>Main_Data!K100</f>
        <v>75</v>
      </c>
      <c r="L100" s="1" t="str">
        <f>Main_Data!L100</f>
        <v>Asia</v>
      </c>
      <c r="M100" s="1" t="str">
        <f>PROPER(TRIM(Main_Data!A100))</f>
        <v>Japan</v>
      </c>
      <c r="N100" s="1" t="str">
        <f>PROPER(TRIM(Main_Data!B100))</f>
        <v>East Asia</v>
      </c>
      <c r="O100" s="1" t="str" cm="1">
        <f t="array" ref="O100">_xlfn.IFS(F100&gt;=80,"Very High",F100&gt;=70,"High",F100&gt;=60,"Medium",TRUE,"Low")</f>
        <v>High</v>
      </c>
      <c r="P100" s="1" t="str" cm="1">
        <f t="array" ref="P100">_xlfn.IFS(D100&gt;=40000,"High Income",D100&gt;=15000,"Middle Income",TRUE,"Low Income")</f>
        <v>High Income</v>
      </c>
      <c r="Q100" s="1" t="str">
        <f t="shared" si="1"/>
        <v>Duplicate</v>
      </c>
    </row>
    <row r="101" spans="1:17" x14ac:dyDescent="0.25">
      <c r="A101" s="1" t="str">
        <f>Main_Data!A101</f>
        <v>South Africa</v>
      </c>
      <c r="B101" s="1" t="str">
        <f>Main_Data!B101</f>
        <v>Africa</v>
      </c>
      <c r="C101" s="1">
        <f>Main_Data!C101</f>
        <v>2021</v>
      </c>
      <c r="D101" s="1">
        <f>Main_Data!D101</f>
        <v>56258</v>
      </c>
      <c r="E101" s="1">
        <f>Main_Data!E101</f>
        <v>13.8</v>
      </c>
      <c r="F101" s="1">
        <f>Main_Data!F101</f>
        <v>77</v>
      </c>
      <c r="G101" s="1">
        <f>Main_Data!G101</f>
        <v>1271836611</v>
      </c>
      <c r="H101" s="1">
        <f>Main_Data!H101</f>
        <v>90</v>
      </c>
      <c r="I101" s="1">
        <f>Main_Data!I101</f>
        <v>23.3</v>
      </c>
      <c r="J101" s="1">
        <f>Main_Data!J101</f>
        <v>92</v>
      </c>
      <c r="K101" s="1">
        <f>Main_Data!K101</f>
        <v>67</v>
      </c>
      <c r="L101" s="1" t="str">
        <f>Main_Data!L101</f>
        <v>Africa</v>
      </c>
      <c r="M101" s="1" t="str">
        <f>PROPER(TRIM(Main_Data!A101))</f>
        <v>South Africa</v>
      </c>
      <c r="N101" s="1" t="str">
        <f>PROPER(TRIM(Main_Data!B101))</f>
        <v>Africa</v>
      </c>
      <c r="O101" s="1" t="str" cm="1">
        <f t="array" ref="O101">_xlfn.IFS(F101&gt;=80,"Very High",F101&gt;=70,"High",F101&gt;=60,"Medium",TRUE,"Low")</f>
        <v>High</v>
      </c>
      <c r="P101" s="1" t="str" cm="1">
        <f t="array" ref="P101">_xlfn.IFS(D101&gt;=40000,"High Income",D101&gt;=15000,"Middle Income",TRUE,"Low Income")</f>
        <v>High Income</v>
      </c>
      <c r="Q101" s="1" t="str">
        <f t="shared" si="1"/>
        <v>Duplicate</v>
      </c>
    </row>
    <row r="102" spans="1:17" x14ac:dyDescent="0.25">
      <c r="A102" s="1" t="str">
        <f>Main_Data!A102</f>
        <v>India</v>
      </c>
      <c r="B102" s="1" t="str">
        <f>Main_Data!B102</f>
        <v>South Asia</v>
      </c>
      <c r="C102" s="1">
        <f>Main_Data!C102</f>
        <v>2021</v>
      </c>
      <c r="D102" s="1">
        <f>Main_Data!D102</f>
        <v>67370</v>
      </c>
      <c r="E102" s="1">
        <f>Main_Data!E102</f>
        <v>4</v>
      </c>
      <c r="F102" s="1">
        <f>Main_Data!F102</f>
        <v>81</v>
      </c>
      <c r="G102" s="1">
        <f>Main_Data!G102</f>
        <v>532255249</v>
      </c>
      <c r="H102" s="1">
        <f>Main_Data!H102</f>
        <v>71</v>
      </c>
      <c r="I102" s="1">
        <f>Main_Data!I102</f>
        <v>19</v>
      </c>
      <c r="J102" s="1">
        <f>Main_Data!J102</f>
        <v>75</v>
      </c>
      <c r="K102" s="1">
        <f>Main_Data!K102</f>
        <v>58</v>
      </c>
      <c r="L102" s="1" t="str">
        <f>Main_Data!L102</f>
        <v>Asia</v>
      </c>
      <c r="M102" s="1" t="str">
        <f>PROPER(TRIM(Main_Data!A102))</f>
        <v>India</v>
      </c>
      <c r="N102" s="1" t="str">
        <f>PROPER(TRIM(Main_Data!B102))</f>
        <v>South Asia</v>
      </c>
      <c r="O102" s="1" t="str" cm="1">
        <f t="array" ref="O102">_xlfn.IFS(F102&gt;=80,"Very High",F102&gt;=70,"High",F102&gt;=60,"Medium",TRUE,"Low")</f>
        <v>Very High</v>
      </c>
      <c r="P102" s="1" t="str" cm="1">
        <f t="array" ref="P102">_xlfn.IFS(D102&gt;=40000,"High Income",D102&gt;=15000,"Middle Income",TRUE,"Low Income")</f>
        <v>High Income</v>
      </c>
      <c r="Q102" s="1" t="str">
        <f t="shared" si="1"/>
        <v>Duplicate</v>
      </c>
    </row>
    <row r="103" spans="1:17" x14ac:dyDescent="0.25">
      <c r="A103" s="1" t="str">
        <f>Main_Data!A103</f>
        <v>USA</v>
      </c>
      <c r="B103" s="1" t="str">
        <f>Main_Data!B103</f>
        <v>North America</v>
      </c>
      <c r="C103" s="1">
        <f>Main_Data!C103</f>
        <v>2021</v>
      </c>
      <c r="D103" s="1">
        <f>Main_Data!D103</f>
        <v>36822</v>
      </c>
      <c r="E103" s="1">
        <f>Main_Data!E103</f>
        <v>4.5999999999999996</v>
      </c>
      <c r="F103" s="1">
        <f>Main_Data!F103</f>
        <v>61</v>
      </c>
      <c r="G103" s="1">
        <f>Main_Data!G103</f>
        <v>337667637</v>
      </c>
      <c r="H103" s="1">
        <f>Main_Data!H103</f>
        <v>87</v>
      </c>
      <c r="I103" s="1">
        <f>Main_Data!I103</f>
        <v>6</v>
      </c>
      <c r="J103" s="1">
        <f>Main_Data!J103</f>
        <v>89</v>
      </c>
      <c r="K103" s="1">
        <f>Main_Data!K103</f>
        <v>56</v>
      </c>
      <c r="L103" s="1" t="str">
        <f>Main_Data!L103</f>
        <v>North America</v>
      </c>
      <c r="M103" s="1" t="str">
        <f>PROPER(TRIM(Main_Data!A103))</f>
        <v>Usa</v>
      </c>
      <c r="N103" s="1" t="str">
        <f>PROPER(TRIM(Main_Data!B103))</f>
        <v>North America</v>
      </c>
      <c r="O103" s="1" t="str" cm="1">
        <f t="array" ref="O103">_xlfn.IFS(F103&gt;=80,"Very High",F103&gt;=70,"High",F103&gt;=60,"Medium",TRUE,"Low")</f>
        <v>Medium</v>
      </c>
      <c r="P103" s="1" t="str" cm="1">
        <f t="array" ref="P103">_xlfn.IFS(D103&gt;=40000,"High Income",D103&gt;=15000,"Middle Income",TRUE,"Low Income")</f>
        <v>Middle Income</v>
      </c>
      <c r="Q103" s="1" t="str">
        <f t="shared" si="1"/>
        <v>Duplicate</v>
      </c>
    </row>
    <row r="104" spans="1:17" x14ac:dyDescent="0.25">
      <c r="A104" s="1" t="str">
        <f>Main_Data!A104</f>
        <v>Germany</v>
      </c>
      <c r="B104" s="1" t="str">
        <f>Main_Data!B104</f>
        <v>Europe</v>
      </c>
      <c r="C104" s="1">
        <f>Main_Data!C104</f>
        <v>2020</v>
      </c>
      <c r="D104" s="1">
        <f>Main_Data!D104</f>
        <v>15283</v>
      </c>
      <c r="E104" s="1">
        <f>Main_Data!E104</f>
        <v>3.2</v>
      </c>
      <c r="F104" s="1">
        <f>Main_Data!F104</f>
        <v>62</v>
      </c>
      <c r="G104" s="1">
        <f>Main_Data!G104</f>
        <v>1261381907</v>
      </c>
      <c r="H104" s="1">
        <f>Main_Data!H104</f>
        <v>77</v>
      </c>
      <c r="I104" s="1">
        <f>Main_Data!I104</f>
        <v>21.8</v>
      </c>
      <c r="J104" s="1">
        <f>Main_Data!J104</f>
        <v>95</v>
      </c>
      <c r="K104" s="1">
        <f>Main_Data!K104</f>
        <v>31</v>
      </c>
      <c r="L104" s="1" t="str">
        <f>Main_Data!L104</f>
        <v>Europe</v>
      </c>
      <c r="M104" s="1" t="str">
        <f>PROPER(TRIM(Main_Data!A104))</f>
        <v>Germany</v>
      </c>
      <c r="N104" s="1" t="str">
        <f>PROPER(TRIM(Main_Data!B104))</f>
        <v>Europe</v>
      </c>
      <c r="O104" s="1" t="str" cm="1">
        <f t="array" ref="O104">_xlfn.IFS(F104&gt;=80,"Very High",F104&gt;=70,"High",F104&gt;=60,"Medium",TRUE,"Low")</f>
        <v>Medium</v>
      </c>
      <c r="P104" s="1" t="str" cm="1">
        <f t="array" ref="P104">_xlfn.IFS(D104&gt;=40000,"High Income",D104&gt;=15000,"Middle Income",TRUE,"Low Income")</f>
        <v>Middle Income</v>
      </c>
      <c r="Q104" s="1" t="str">
        <f t="shared" si="1"/>
        <v>Duplicate</v>
      </c>
    </row>
    <row r="105" spans="1:17" x14ac:dyDescent="0.25">
      <c r="A105" s="1" t="str">
        <f>Main_Data!A105</f>
        <v>Brazil</v>
      </c>
      <c r="B105" s="1" t="str">
        <f>Main_Data!B105</f>
        <v>South America</v>
      </c>
      <c r="C105" s="1">
        <f>Main_Data!C105</f>
        <v>2022</v>
      </c>
      <c r="D105" s="1">
        <f>Main_Data!D105</f>
        <v>41736</v>
      </c>
      <c r="E105" s="1">
        <f>Main_Data!E105</f>
        <v>9.6999999999999993</v>
      </c>
      <c r="F105" s="1">
        <f>Main_Data!F105</f>
        <v>83</v>
      </c>
      <c r="G105" s="1">
        <f>Main_Data!G105</f>
        <v>468323510</v>
      </c>
      <c r="H105" s="1">
        <f>Main_Data!H105</f>
        <v>79</v>
      </c>
      <c r="I105" s="1">
        <f>Main_Data!I105</f>
        <v>22.6</v>
      </c>
      <c r="J105" s="1">
        <f>Main_Data!J105</f>
        <v>84</v>
      </c>
      <c r="K105" s="1">
        <f>Main_Data!K105</f>
        <v>72</v>
      </c>
      <c r="L105" s="1" t="str">
        <f>Main_Data!L105</f>
        <v>South America</v>
      </c>
      <c r="M105" s="1" t="str">
        <f>PROPER(TRIM(Main_Data!A105))</f>
        <v>Brazil</v>
      </c>
      <c r="N105" s="1" t="str">
        <f>PROPER(TRIM(Main_Data!B105))</f>
        <v>South America</v>
      </c>
      <c r="O105" s="1" t="str" cm="1">
        <f t="array" ref="O105">_xlfn.IFS(F105&gt;=80,"Very High",F105&gt;=70,"High",F105&gt;=60,"Medium",TRUE,"Low")</f>
        <v>Very High</v>
      </c>
      <c r="P105" s="1" t="str" cm="1">
        <f t="array" ref="P105">_xlfn.IFS(D105&gt;=40000,"High Income",D105&gt;=15000,"Middle Income",TRUE,"Low Income")</f>
        <v>High Income</v>
      </c>
      <c r="Q105" s="1" t="str">
        <f t="shared" si="1"/>
        <v>Duplicate</v>
      </c>
    </row>
    <row r="106" spans="1:17" x14ac:dyDescent="0.25">
      <c r="A106" s="1" t="str">
        <f>Main_Data!A106</f>
        <v>China</v>
      </c>
      <c r="B106" s="1" t="str">
        <f>Main_Data!B106</f>
        <v>East Asia</v>
      </c>
      <c r="C106" s="1">
        <f>Main_Data!C106</f>
        <v>2021</v>
      </c>
      <c r="D106" s="1">
        <f>Main_Data!D106</f>
        <v>69902</v>
      </c>
      <c r="E106" s="1">
        <f>Main_Data!E106</f>
        <v>9.9</v>
      </c>
      <c r="F106" s="1">
        <f>Main_Data!F106</f>
        <v>63</v>
      </c>
      <c r="G106" s="1">
        <f>Main_Data!G106</f>
        <v>22538025</v>
      </c>
      <c r="H106" s="1">
        <f>Main_Data!H106</f>
        <v>94</v>
      </c>
      <c r="I106" s="1">
        <f>Main_Data!I106</f>
        <v>17.399999999999999</v>
      </c>
      <c r="J106" s="1">
        <f>Main_Data!J106</f>
        <v>98</v>
      </c>
      <c r="K106" s="1">
        <f>Main_Data!K106</f>
        <v>48</v>
      </c>
      <c r="L106" s="1" t="str">
        <f>Main_Data!L106</f>
        <v>Asia</v>
      </c>
      <c r="M106" s="1" t="str">
        <f>PROPER(TRIM(Main_Data!A106))</f>
        <v>China</v>
      </c>
      <c r="N106" s="1" t="str">
        <f>PROPER(TRIM(Main_Data!B106))</f>
        <v>East Asia</v>
      </c>
      <c r="O106" s="1" t="str" cm="1">
        <f t="array" ref="O106">_xlfn.IFS(F106&gt;=80,"Very High",F106&gt;=70,"High",F106&gt;=60,"Medium",TRUE,"Low")</f>
        <v>Medium</v>
      </c>
      <c r="P106" s="1" t="str" cm="1">
        <f t="array" ref="P106">_xlfn.IFS(D106&gt;=40000,"High Income",D106&gt;=15000,"Middle Income",TRUE,"Low Income")</f>
        <v>High Income</v>
      </c>
      <c r="Q106" s="1" t="str">
        <f t="shared" si="1"/>
        <v>Duplicate</v>
      </c>
    </row>
    <row r="107" spans="1:17" x14ac:dyDescent="0.25">
      <c r="A107" s="1" t="str">
        <f>Main_Data!A107</f>
        <v>UK</v>
      </c>
      <c r="B107" s="1" t="str">
        <f>Main_Data!B107</f>
        <v>Europe</v>
      </c>
      <c r="C107" s="1">
        <f>Main_Data!C107</f>
        <v>2022</v>
      </c>
      <c r="D107" s="1">
        <f>Main_Data!D107</f>
        <v>67591</v>
      </c>
      <c r="E107" s="1">
        <f>Main_Data!E107</f>
        <v>10</v>
      </c>
      <c r="F107" s="1">
        <f>Main_Data!F107</f>
        <v>72</v>
      </c>
      <c r="G107" s="1">
        <f>Main_Data!G107</f>
        <v>1284507238</v>
      </c>
      <c r="H107" s="1">
        <f>Main_Data!H107</f>
        <v>63</v>
      </c>
      <c r="I107" s="1">
        <f>Main_Data!I107</f>
        <v>7.4</v>
      </c>
      <c r="J107" s="1">
        <f>Main_Data!J107</f>
        <v>79</v>
      </c>
      <c r="K107" s="1">
        <f>Main_Data!K107</f>
        <v>68</v>
      </c>
      <c r="L107" s="1" t="str">
        <f>Main_Data!L107</f>
        <v>Europe</v>
      </c>
      <c r="M107" s="1" t="str">
        <f>PROPER(TRIM(Main_Data!A107))</f>
        <v>Uk</v>
      </c>
      <c r="N107" s="1" t="str">
        <f>PROPER(TRIM(Main_Data!B107))</f>
        <v>Europe</v>
      </c>
      <c r="O107" s="1" t="str" cm="1">
        <f t="array" ref="O107">_xlfn.IFS(F107&gt;=80,"Very High",F107&gt;=70,"High",F107&gt;=60,"Medium",TRUE,"Low")</f>
        <v>High</v>
      </c>
      <c r="P107" s="1" t="str" cm="1">
        <f t="array" ref="P107">_xlfn.IFS(D107&gt;=40000,"High Income",D107&gt;=15000,"Middle Income",TRUE,"Low Income")</f>
        <v>High Income</v>
      </c>
      <c r="Q107" s="1" t="str">
        <f t="shared" si="1"/>
        <v>Duplicate</v>
      </c>
    </row>
    <row r="108" spans="1:17" x14ac:dyDescent="0.25">
      <c r="A108" s="1" t="str">
        <f>Main_Data!A108</f>
        <v>Canada</v>
      </c>
      <c r="B108" s="1" t="str">
        <f>Main_Data!B108</f>
        <v>North America</v>
      </c>
      <c r="C108" s="1">
        <f>Main_Data!C108</f>
        <v>2021</v>
      </c>
      <c r="D108" s="1">
        <f>Main_Data!D108</f>
        <v>27819</v>
      </c>
      <c r="E108" s="1">
        <f>Main_Data!E108</f>
        <v>7.1</v>
      </c>
      <c r="F108" s="1">
        <f>Main_Data!F108</f>
        <v>84</v>
      </c>
      <c r="G108" s="1">
        <f>Main_Data!G108</f>
        <v>1190212334</v>
      </c>
      <c r="H108" s="1">
        <f>Main_Data!H108</f>
        <v>78</v>
      </c>
      <c r="I108" s="1">
        <f>Main_Data!I108</f>
        <v>24.2</v>
      </c>
      <c r="J108" s="1">
        <f>Main_Data!J108</f>
        <v>82</v>
      </c>
      <c r="K108" s="1">
        <f>Main_Data!K108</f>
        <v>88</v>
      </c>
      <c r="L108" s="1" t="str">
        <f>Main_Data!L108</f>
        <v>North America</v>
      </c>
      <c r="M108" s="1" t="str">
        <f>PROPER(TRIM(Main_Data!A108))</f>
        <v>Canada</v>
      </c>
      <c r="N108" s="1" t="str">
        <f>PROPER(TRIM(Main_Data!B108))</f>
        <v>North America</v>
      </c>
      <c r="O108" s="1" t="str" cm="1">
        <f t="array" ref="O108">_xlfn.IFS(F108&gt;=80,"Very High",F108&gt;=70,"High",F108&gt;=60,"Medium",TRUE,"Low")</f>
        <v>Very High</v>
      </c>
      <c r="P108" s="1" t="str" cm="1">
        <f t="array" ref="P108">_xlfn.IFS(D108&gt;=40000,"High Income",D108&gt;=15000,"Middle Income",TRUE,"Low Income")</f>
        <v>Middle Income</v>
      </c>
      <c r="Q108" s="1" t="str">
        <f t="shared" si="1"/>
        <v>Duplicate</v>
      </c>
    </row>
    <row r="109" spans="1:17" x14ac:dyDescent="0.25">
      <c r="A109" s="1" t="str">
        <f>Main_Data!A109</f>
        <v>Australia</v>
      </c>
      <c r="B109" s="1" t="str">
        <f>Main_Data!B109</f>
        <v>Oceania</v>
      </c>
      <c r="C109" s="1">
        <f>Main_Data!C109</f>
        <v>2021</v>
      </c>
      <c r="D109" s="1">
        <f>Main_Data!D109</f>
        <v>52755</v>
      </c>
      <c r="E109" s="1">
        <f>Main_Data!E109</f>
        <v>6.9</v>
      </c>
      <c r="F109" s="1">
        <f>Main_Data!F109</f>
        <v>85</v>
      </c>
      <c r="G109" s="1">
        <f>Main_Data!G109</f>
        <v>48594675</v>
      </c>
      <c r="H109" s="1">
        <f>Main_Data!H109</f>
        <v>68</v>
      </c>
      <c r="I109" s="1">
        <f>Main_Data!I109</f>
        <v>6.8</v>
      </c>
      <c r="J109" s="1">
        <f>Main_Data!J109</f>
        <v>71</v>
      </c>
      <c r="K109" s="1">
        <f>Main_Data!K109</f>
        <v>43</v>
      </c>
      <c r="L109" s="1" t="str">
        <f>Main_Data!L109</f>
        <v>Oceania</v>
      </c>
      <c r="M109" s="1" t="str">
        <f>PROPER(TRIM(Main_Data!A109))</f>
        <v>Australia</v>
      </c>
      <c r="N109" s="1" t="str">
        <f>PROPER(TRIM(Main_Data!B109))</f>
        <v>Oceania</v>
      </c>
      <c r="O109" s="1" t="str" cm="1">
        <f t="array" ref="O109">_xlfn.IFS(F109&gt;=80,"Very High",F109&gt;=70,"High",F109&gt;=60,"Medium",TRUE,"Low")</f>
        <v>Very High</v>
      </c>
      <c r="P109" s="1" t="str" cm="1">
        <f t="array" ref="P109">_xlfn.IFS(D109&gt;=40000,"High Income",D109&gt;=15000,"Middle Income",TRUE,"Low Income")</f>
        <v>High Income</v>
      </c>
      <c r="Q109" s="1" t="str">
        <f t="shared" si="1"/>
        <v>Duplicate</v>
      </c>
    </row>
    <row r="110" spans="1:17" x14ac:dyDescent="0.25">
      <c r="A110" s="1" t="str">
        <f>Main_Data!A110</f>
        <v>Japan</v>
      </c>
      <c r="B110" s="1" t="str">
        <f>Main_Data!B110</f>
        <v>East Asia</v>
      </c>
      <c r="C110" s="1">
        <f>Main_Data!C110</f>
        <v>2020</v>
      </c>
      <c r="D110" s="1">
        <f>Main_Data!D110</f>
        <v>12268</v>
      </c>
      <c r="E110" s="1">
        <f>Main_Data!E110</f>
        <v>12.4</v>
      </c>
      <c r="F110" s="1">
        <f>Main_Data!F110</f>
        <v>79</v>
      </c>
      <c r="G110" s="1">
        <f>Main_Data!G110</f>
        <v>376091310</v>
      </c>
      <c r="H110" s="1">
        <f>Main_Data!H110</f>
        <v>58</v>
      </c>
      <c r="I110" s="1">
        <f>Main_Data!I110</f>
        <v>15.8</v>
      </c>
      <c r="J110" s="1">
        <f>Main_Data!J110</f>
        <v>82</v>
      </c>
      <c r="K110" s="1">
        <f>Main_Data!K110</f>
        <v>80</v>
      </c>
      <c r="L110" s="1" t="str">
        <f>Main_Data!L110</f>
        <v>Asia</v>
      </c>
      <c r="M110" s="1" t="str">
        <f>PROPER(TRIM(Main_Data!A110))</f>
        <v>Japan</v>
      </c>
      <c r="N110" s="1" t="str">
        <f>PROPER(TRIM(Main_Data!B110))</f>
        <v>East Asia</v>
      </c>
      <c r="O110" s="1" t="str" cm="1">
        <f t="array" ref="O110">_xlfn.IFS(F110&gt;=80,"Very High",F110&gt;=70,"High",F110&gt;=60,"Medium",TRUE,"Low")</f>
        <v>High</v>
      </c>
      <c r="P110" s="1" t="str" cm="1">
        <f t="array" ref="P110">_xlfn.IFS(D110&gt;=40000,"High Income",D110&gt;=15000,"Middle Income",TRUE,"Low Income")</f>
        <v>Low Income</v>
      </c>
      <c r="Q110" s="1" t="str">
        <f t="shared" si="1"/>
        <v>Duplicate</v>
      </c>
    </row>
    <row r="111" spans="1:17" x14ac:dyDescent="0.25">
      <c r="A111" s="1" t="str">
        <f>Main_Data!A111</f>
        <v>South Africa</v>
      </c>
      <c r="B111" s="1" t="str">
        <f>Main_Data!B111</f>
        <v>Africa</v>
      </c>
      <c r="C111" s="1">
        <f>Main_Data!C111</f>
        <v>2020</v>
      </c>
      <c r="D111" s="1">
        <f>Main_Data!D111</f>
        <v>66881</v>
      </c>
      <c r="E111" s="1">
        <f>Main_Data!E111</f>
        <v>7</v>
      </c>
      <c r="F111" s="1">
        <f>Main_Data!F111</f>
        <v>70</v>
      </c>
      <c r="G111" s="1">
        <f>Main_Data!G111</f>
        <v>378577359</v>
      </c>
      <c r="H111" s="1">
        <f>Main_Data!H111</f>
        <v>77</v>
      </c>
      <c r="I111" s="1">
        <f>Main_Data!I111</f>
        <v>2.5</v>
      </c>
      <c r="J111" s="1">
        <f>Main_Data!J111</f>
        <v>98</v>
      </c>
      <c r="K111" s="1">
        <f>Main_Data!K111</f>
        <v>36</v>
      </c>
      <c r="L111" s="1" t="str">
        <f>Main_Data!L111</f>
        <v>Africa</v>
      </c>
      <c r="M111" s="1" t="str">
        <f>PROPER(TRIM(Main_Data!A111))</f>
        <v>South Africa</v>
      </c>
      <c r="N111" s="1" t="str">
        <f>PROPER(TRIM(Main_Data!B111))</f>
        <v>Africa</v>
      </c>
      <c r="O111" s="1" t="str" cm="1">
        <f t="array" ref="O111">_xlfn.IFS(F111&gt;=80,"Very High",F111&gt;=70,"High",F111&gt;=60,"Medium",TRUE,"Low")</f>
        <v>High</v>
      </c>
      <c r="P111" s="1" t="str" cm="1">
        <f t="array" ref="P111">_xlfn.IFS(D111&gt;=40000,"High Income",D111&gt;=15000,"Middle Income",TRUE,"Low Income")</f>
        <v>High Income</v>
      </c>
      <c r="Q111" s="1" t="str">
        <f t="shared" si="1"/>
        <v>Duplicate</v>
      </c>
    </row>
    <row r="112" spans="1:17" x14ac:dyDescent="0.25">
      <c r="A112" s="1" t="str">
        <f>Main_Data!A112</f>
        <v>India</v>
      </c>
      <c r="B112" s="1" t="str">
        <f>Main_Data!B112</f>
        <v>South Asia</v>
      </c>
      <c r="C112" s="1">
        <f>Main_Data!C112</f>
        <v>2021</v>
      </c>
      <c r="D112" s="1">
        <f>Main_Data!D112</f>
        <v>18191</v>
      </c>
      <c r="E112" s="1">
        <f>Main_Data!E112</f>
        <v>4.9000000000000004</v>
      </c>
      <c r="F112" s="1">
        <f>Main_Data!F112</f>
        <v>82</v>
      </c>
      <c r="G112" s="1">
        <f>Main_Data!G112</f>
        <v>1249257061</v>
      </c>
      <c r="H112" s="1">
        <f>Main_Data!H112</f>
        <v>52</v>
      </c>
      <c r="I112" s="1">
        <f>Main_Data!I112</f>
        <v>17.5</v>
      </c>
      <c r="J112" s="1">
        <f>Main_Data!J112</f>
        <v>72</v>
      </c>
      <c r="K112" s="1">
        <f>Main_Data!K112</f>
        <v>40</v>
      </c>
      <c r="L112" s="1" t="str">
        <f>Main_Data!L112</f>
        <v>Asia</v>
      </c>
      <c r="M112" s="1" t="str">
        <f>PROPER(TRIM(Main_Data!A112))</f>
        <v>India</v>
      </c>
      <c r="N112" s="1" t="str">
        <f>PROPER(TRIM(Main_Data!B112))</f>
        <v>South Asia</v>
      </c>
      <c r="O112" s="1" t="str" cm="1">
        <f t="array" ref="O112">_xlfn.IFS(F112&gt;=80,"Very High",F112&gt;=70,"High",F112&gt;=60,"Medium",TRUE,"Low")</f>
        <v>Very High</v>
      </c>
      <c r="P112" s="1" t="str" cm="1">
        <f t="array" ref="P112">_xlfn.IFS(D112&gt;=40000,"High Income",D112&gt;=15000,"Middle Income",TRUE,"Low Income")</f>
        <v>Middle Income</v>
      </c>
      <c r="Q112" s="1" t="str">
        <f t="shared" si="1"/>
        <v>Duplicate</v>
      </c>
    </row>
    <row r="113" spans="1:17" x14ac:dyDescent="0.25">
      <c r="A113" s="1" t="str">
        <f>Main_Data!A113</f>
        <v>USA</v>
      </c>
      <c r="B113" s="1" t="str">
        <f>Main_Data!B113</f>
        <v>North America</v>
      </c>
      <c r="C113" s="1">
        <f>Main_Data!C113</f>
        <v>2022</v>
      </c>
      <c r="D113" s="1">
        <f>Main_Data!D113</f>
        <v>26802</v>
      </c>
      <c r="E113" s="1">
        <f>Main_Data!E113</f>
        <v>8.1</v>
      </c>
      <c r="F113" s="1">
        <f>Main_Data!F113</f>
        <v>80</v>
      </c>
      <c r="G113" s="1">
        <f>Main_Data!G113</f>
        <v>278252233</v>
      </c>
      <c r="H113" s="1">
        <f>Main_Data!H113</f>
        <v>65</v>
      </c>
      <c r="I113" s="1">
        <f>Main_Data!I113</f>
        <v>7.9</v>
      </c>
      <c r="J113" s="1">
        <f>Main_Data!J113</f>
        <v>72</v>
      </c>
      <c r="K113" s="1">
        <f>Main_Data!K113</f>
        <v>61</v>
      </c>
      <c r="L113" s="1" t="str">
        <f>Main_Data!L113</f>
        <v>North America</v>
      </c>
      <c r="M113" s="1" t="str">
        <f>PROPER(TRIM(Main_Data!A113))</f>
        <v>Usa</v>
      </c>
      <c r="N113" s="1" t="str">
        <f>PROPER(TRIM(Main_Data!B113))</f>
        <v>North America</v>
      </c>
      <c r="O113" s="1" t="str" cm="1">
        <f t="array" ref="O113">_xlfn.IFS(F113&gt;=80,"Very High",F113&gt;=70,"High",F113&gt;=60,"Medium",TRUE,"Low")</f>
        <v>Very High</v>
      </c>
      <c r="P113" s="1" t="str" cm="1">
        <f t="array" ref="P113">_xlfn.IFS(D113&gt;=40000,"High Income",D113&gt;=15000,"Middle Income",TRUE,"Low Income")</f>
        <v>Middle Income</v>
      </c>
      <c r="Q113" s="1" t="str">
        <f t="shared" si="1"/>
        <v>Duplicate</v>
      </c>
    </row>
    <row r="114" spans="1:17" x14ac:dyDescent="0.25">
      <c r="A114" s="1" t="str">
        <f>Main_Data!A114</f>
        <v>Germany</v>
      </c>
      <c r="B114" s="1" t="str">
        <f>Main_Data!B114</f>
        <v>Europe</v>
      </c>
      <c r="C114" s="1">
        <f>Main_Data!C114</f>
        <v>2021</v>
      </c>
      <c r="D114" s="1">
        <f>Main_Data!D114</f>
        <v>52640</v>
      </c>
      <c r="E114" s="1">
        <f>Main_Data!E114</f>
        <v>15.6</v>
      </c>
      <c r="F114" s="1">
        <f>Main_Data!F114</f>
        <v>82</v>
      </c>
      <c r="G114" s="1">
        <f>Main_Data!G114</f>
        <v>552023721</v>
      </c>
      <c r="H114" s="1">
        <f>Main_Data!H114</f>
        <v>95</v>
      </c>
      <c r="I114" s="1">
        <f>Main_Data!I114</f>
        <v>4</v>
      </c>
      <c r="J114" s="1">
        <f>Main_Data!J114</f>
        <v>99</v>
      </c>
      <c r="K114" s="1">
        <f>Main_Data!K114</f>
        <v>88</v>
      </c>
      <c r="L114" s="1" t="str">
        <f>Main_Data!L114</f>
        <v>Europe</v>
      </c>
      <c r="M114" s="1" t="str">
        <f>PROPER(TRIM(Main_Data!A114))</f>
        <v>Germany</v>
      </c>
      <c r="N114" s="1" t="str">
        <f>PROPER(TRIM(Main_Data!B114))</f>
        <v>Europe</v>
      </c>
      <c r="O114" s="1" t="str" cm="1">
        <f t="array" ref="O114">_xlfn.IFS(F114&gt;=80,"Very High",F114&gt;=70,"High",F114&gt;=60,"Medium",TRUE,"Low")</f>
        <v>Very High</v>
      </c>
      <c r="P114" s="1" t="str" cm="1">
        <f t="array" ref="P114">_xlfn.IFS(D114&gt;=40000,"High Income",D114&gt;=15000,"Middle Income",TRUE,"Low Income")</f>
        <v>High Income</v>
      </c>
      <c r="Q114" s="1" t="str">
        <f t="shared" si="1"/>
        <v>Duplicate</v>
      </c>
    </row>
    <row r="115" spans="1:17" x14ac:dyDescent="0.25">
      <c r="A115" s="1" t="str">
        <f>Main_Data!A115</f>
        <v>Brazil</v>
      </c>
      <c r="B115" s="1" t="str">
        <f>Main_Data!B115</f>
        <v>South America</v>
      </c>
      <c r="C115" s="1">
        <f>Main_Data!C115</f>
        <v>2020</v>
      </c>
      <c r="D115" s="1">
        <f>Main_Data!D115</f>
        <v>15625</v>
      </c>
      <c r="E115" s="1">
        <f>Main_Data!E115</f>
        <v>9.9</v>
      </c>
      <c r="F115" s="1">
        <f>Main_Data!F115</f>
        <v>75</v>
      </c>
      <c r="G115" s="1">
        <f>Main_Data!G115</f>
        <v>164323180</v>
      </c>
      <c r="H115" s="1">
        <f>Main_Data!H115</f>
        <v>86</v>
      </c>
      <c r="I115" s="1">
        <f>Main_Data!I115</f>
        <v>7.9</v>
      </c>
      <c r="J115" s="1">
        <f>Main_Data!J115</f>
        <v>71</v>
      </c>
      <c r="K115" s="1">
        <f>Main_Data!K115</f>
        <v>36</v>
      </c>
      <c r="L115" s="1" t="str">
        <f>Main_Data!L115</f>
        <v>South America</v>
      </c>
      <c r="M115" s="1" t="str">
        <f>PROPER(TRIM(Main_Data!A115))</f>
        <v>Brazil</v>
      </c>
      <c r="N115" s="1" t="str">
        <f>PROPER(TRIM(Main_Data!B115))</f>
        <v>South America</v>
      </c>
      <c r="O115" s="1" t="str" cm="1">
        <f t="array" ref="O115">_xlfn.IFS(F115&gt;=80,"Very High",F115&gt;=70,"High",F115&gt;=60,"Medium",TRUE,"Low")</f>
        <v>High</v>
      </c>
      <c r="P115" s="1" t="str" cm="1">
        <f t="array" ref="P115">_xlfn.IFS(D115&gt;=40000,"High Income",D115&gt;=15000,"Middle Income",TRUE,"Low Income")</f>
        <v>Middle Income</v>
      </c>
      <c r="Q115" s="1" t="str">
        <f t="shared" si="1"/>
        <v>Duplicate</v>
      </c>
    </row>
    <row r="116" spans="1:17" x14ac:dyDescent="0.25">
      <c r="A116" s="1" t="str">
        <f>Main_Data!A116</f>
        <v>China</v>
      </c>
      <c r="B116" s="1" t="str">
        <f>Main_Data!B116</f>
        <v>East Asia</v>
      </c>
      <c r="C116" s="1">
        <f>Main_Data!C116</f>
        <v>2021</v>
      </c>
      <c r="D116" s="1">
        <f>Main_Data!D116</f>
        <v>3089</v>
      </c>
      <c r="E116" s="1">
        <f>Main_Data!E116</f>
        <v>9.9</v>
      </c>
      <c r="F116" s="1">
        <f>Main_Data!F116</f>
        <v>79</v>
      </c>
      <c r="G116" s="1">
        <f>Main_Data!G116</f>
        <v>535361648</v>
      </c>
      <c r="H116" s="1">
        <f>Main_Data!H116</f>
        <v>73</v>
      </c>
      <c r="I116" s="1">
        <f>Main_Data!I116</f>
        <v>13.5</v>
      </c>
      <c r="J116" s="1">
        <f>Main_Data!J116</f>
        <v>90</v>
      </c>
      <c r="K116" s="1">
        <f>Main_Data!K116</f>
        <v>43</v>
      </c>
      <c r="L116" s="1" t="str">
        <f>Main_Data!L116</f>
        <v>Asia</v>
      </c>
      <c r="M116" s="1" t="str">
        <f>PROPER(TRIM(Main_Data!A116))</f>
        <v>China</v>
      </c>
      <c r="N116" s="1" t="str">
        <f>PROPER(TRIM(Main_Data!B116))</f>
        <v>East Asia</v>
      </c>
      <c r="O116" s="1" t="str" cm="1">
        <f t="array" ref="O116">_xlfn.IFS(F116&gt;=80,"Very High",F116&gt;=70,"High",F116&gt;=60,"Medium",TRUE,"Low")</f>
        <v>High</v>
      </c>
      <c r="P116" s="1" t="str" cm="1">
        <f t="array" ref="P116">_xlfn.IFS(D116&gt;=40000,"High Income",D116&gt;=15000,"Middle Income",TRUE,"Low Income")</f>
        <v>Low Income</v>
      </c>
      <c r="Q116" s="1" t="str">
        <f t="shared" si="1"/>
        <v>Duplicate</v>
      </c>
    </row>
    <row r="117" spans="1:17" x14ac:dyDescent="0.25">
      <c r="A117" s="1" t="str">
        <f>Main_Data!A117</f>
        <v>UK</v>
      </c>
      <c r="B117" s="1" t="str">
        <f>Main_Data!B117</f>
        <v>Europe</v>
      </c>
      <c r="C117" s="1">
        <f>Main_Data!C117</f>
        <v>2020</v>
      </c>
      <c r="D117" s="1">
        <f>Main_Data!D117</f>
        <v>6442</v>
      </c>
      <c r="E117" s="1">
        <f>Main_Data!E117</f>
        <v>16.899999999999999</v>
      </c>
      <c r="F117" s="1">
        <f>Main_Data!F117</f>
        <v>85</v>
      </c>
      <c r="G117" s="1">
        <f>Main_Data!G117</f>
        <v>778481685</v>
      </c>
      <c r="H117" s="1">
        <f>Main_Data!H117</f>
        <v>82</v>
      </c>
      <c r="I117" s="1">
        <f>Main_Data!I117</f>
        <v>5</v>
      </c>
      <c r="J117" s="1">
        <f>Main_Data!J117</f>
        <v>72</v>
      </c>
      <c r="K117" s="1">
        <f>Main_Data!K117</f>
        <v>52</v>
      </c>
      <c r="L117" s="1" t="str">
        <f>Main_Data!L117</f>
        <v>Europe</v>
      </c>
      <c r="M117" s="1" t="str">
        <f>PROPER(TRIM(Main_Data!A117))</f>
        <v>Uk</v>
      </c>
      <c r="N117" s="1" t="str">
        <f>PROPER(TRIM(Main_Data!B117))</f>
        <v>Europe</v>
      </c>
      <c r="O117" s="1" t="str" cm="1">
        <f t="array" ref="O117">_xlfn.IFS(F117&gt;=80,"Very High",F117&gt;=70,"High",F117&gt;=60,"Medium",TRUE,"Low")</f>
        <v>Very High</v>
      </c>
      <c r="P117" s="1" t="str" cm="1">
        <f t="array" ref="P117">_xlfn.IFS(D117&gt;=40000,"High Income",D117&gt;=15000,"Middle Income",TRUE,"Low Income")</f>
        <v>Low Income</v>
      </c>
      <c r="Q117" s="1" t="str">
        <f t="shared" si="1"/>
        <v>Duplicate</v>
      </c>
    </row>
    <row r="118" spans="1:17" x14ac:dyDescent="0.25">
      <c r="A118" s="1" t="str">
        <f>Main_Data!A118</f>
        <v>Canada</v>
      </c>
      <c r="B118" s="1" t="str">
        <f>Main_Data!B118</f>
        <v>North America</v>
      </c>
      <c r="C118" s="1">
        <f>Main_Data!C118</f>
        <v>2020</v>
      </c>
      <c r="D118" s="1">
        <f>Main_Data!D118</f>
        <v>19868</v>
      </c>
      <c r="E118" s="1">
        <f>Main_Data!E118</f>
        <v>6.8</v>
      </c>
      <c r="F118" s="1">
        <f>Main_Data!F118</f>
        <v>75</v>
      </c>
      <c r="G118" s="1">
        <f>Main_Data!G118</f>
        <v>173123625</v>
      </c>
      <c r="H118" s="1">
        <f>Main_Data!H118</f>
        <v>68</v>
      </c>
      <c r="I118" s="1">
        <f>Main_Data!I118</f>
        <v>16.600000000000001</v>
      </c>
      <c r="J118" s="1">
        <f>Main_Data!J118</f>
        <v>75</v>
      </c>
      <c r="K118" s="1">
        <f>Main_Data!K118</f>
        <v>32</v>
      </c>
      <c r="L118" s="1" t="str">
        <f>Main_Data!L118</f>
        <v>North America</v>
      </c>
      <c r="M118" s="1" t="str">
        <f>PROPER(TRIM(Main_Data!A118))</f>
        <v>Canada</v>
      </c>
      <c r="N118" s="1" t="str">
        <f>PROPER(TRIM(Main_Data!B118))</f>
        <v>North America</v>
      </c>
      <c r="O118" s="1" t="str" cm="1">
        <f t="array" ref="O118">_xlfn.IFS(F118&gt;=80,"Very High",F118&gt;=70,"High",F118&gt;=60,"Medium",TRUE,"Low")</f>
        <v>High</v>
      </c>
      <c r="P118" s="1" t="str" cm="1">
        <f t="array" ref="P118">_xlfn.IFS(D118&gt;=40000,"High Income",D118&gt;=15000,"Middle Income",TRUE,"Low Income")</f>
        <v>Middle Income</v>
      </c>
      <c r="Q118" s="1" t="str">
        <f t="shared" si="1"/>
        <v>Duplicate</v>
      </c>
    </row>
    <row r="119" spans="1:17" x14ac:dyDescent="0.25">
      <c r="A119" s="1" t="str">
        <f>Main_Data!A119</f>
        <v>Australia</v>
      </c>
      <c r="B119" s="1" t="str">
        <f>Main_Data!B119</f>
        <v>Oceania</v>
      </c>
      <c r="C119" s="1">
        <f>Main_Data!C119</f>
        <v>2021</v>
      </c>
      <c r="D119" s="1">
        <f>Main_Data!D119</f>
        <v>14574</v>
      </c>
      <c r="E119" s="1">
        <f>Main_Data!E119</f>
        <v>12</v>
      </c>
      <c r="F119" s="1">
        <f>Main_Data!F119</f>
        <v>75</v>
      </c>
      <c r="G119" s="1">
        <f>Main_Data!G119</f>
        <v>630535869</v>
      </c>
      <c r="H119" s="1">
        <f>Main_Data!H119</f>
        <v>95</v>
      </c>
      <c r="I119" s="1">
        <f>Main_Data!I119</f>
        <v>17.899999999999999</v>
      </c>
      <c r="J119" s="1">
        <f>Main_Data!J119</f>
        <v>89</v>
      </c>
      <c r="K119" s="1">
        <f>Main_Data!K119</f>
        <v>71</v>
      </c>
      <c r="L119" s="1" t="str">
        <f>Main_Data!L119</f>
        <v>Oceania</v>
      </c>
      <c r="M119" s="1" t="str">
        <f>PROPER(TRIM(Main_Data!A119))</f>
        <v>Australia</v>
      </c>
      <c r="N119" s="1" t="str">
        <f>PROPER(TRIM(Main_Data!B119))</f>
        <v>Oceania</v>
      </c>
      <c r="O119" s="1" t="str" cm="1">
        <f t="array" ref="O119">_xlfn.IFS(F119&gt;=80,"Very High",F119&gt;=70,"High",F119&gt;=60,"Medium",TRUE,"Low")</f>
        <v>High</v>
      </c>
      <c r="P119" s="1" t="str" cm="1">
        <f t="array" ref="P119">_xlfn.IFS(D119&gt;=40000,"High Income",D119&gt;=15000,"Middle Income",TRUE,"Low Income")</f>
        <v>Low Income</v>
      </c>
      <c r="Q119" s="1" t="str">
        <f t="shared" si="1"/>
        <v>Duplicate</v>
      </c>
    </row>
    <row r="120" spans="1:17" x14ac:dyDescent="0.25">
      <c r="A120" s="1" t="str">
        <f>Main_Data!A120</f>
        <v>Japan</v>
      </c>
      <c r="B120" s="1" t="str">
        <f>Main_Data!B120</f>
        <v>East Asia</v>
      </c>
      <c r="C120" s="1">
        <f>Main_Data!C120</f>
        <v>2021</v>
      </c>
      <c r="D120" s="1">
        <f>Main_Data!D120</f>
        <v>5263</v>
      </c>
      <c r="E120" s="1">
        <f>Main_Data!E120</f>
        <v>8.3000000000000007</v>
      </c>
      <c r="F120" s="1">
        <f>Main_Data!F120</f>
        <v>70</v>
      </c>
      <c r="G120" s="1">
        <f>Main_Data!G120</f>
        <v>242281064</v>
      </c>
      <c r="H120" s="1">
        <f>Main_Data!H120</f>
        <v>71</v>
      </c>
      <c r="I120" s="1">
        <f>Main_Data!I120</f>
        <v>17</v>
      </c>
      <c r="J120" s="1">
        <f>Main_Data!J120</f>
        <v>88</v>
      </c>
      <c r="K120" s="1">
        <f>Main_Data!K120</f>
        <v>65</v>
      </c>
      <c r="L120" s="1" t="str">
        <f>Main_Data!L120</f>
        <v>Asia</v>
      </c>
      <c r="M120" s="1" t="str">
        <f>PROPER(TRIM(Main_Data!A120))</f>
        <v>Japan</v>
      </c>
      <c r="N120" s="1" t="str">
        <f>PROPER(TRIM(Main_Data!B120))</f>
        <v>East Asia</v>
      </c>
      <c r="O120" s="1" t="str" cm="1">
        <f t="array" ref="O120">_xlfn.IFS(F120&gt;=80,"Very High",F120&gt;=70,"High",F120&gt;=60,"Medium",TRUE,"Low")</f>
        <v>High</v>
      </c>
      <c r="P120" s="1" t="str" cm="1">
        <f t="array" ref="P120">_xlfn.IFS(D120&gt;=40000,"High Income",D120&gt;=15000,"Middle Income",TRUE,"Low Income")</f>
        <v>Low Income</v>
      </c>
      <c r="Q120" s="1" t="str">
        <f t="shared" si="1"/>
        <v>Duplicate</v>
      </c>
    </row>
    <row r="121" spans="1:17" x14ac:dyDescent="0.25">
      <c r="A121" s="1" t="str">
        <f>Main_Data!A121</f>
        <v>South Africa</v>
      </c>
      <c r="B121" s="1" t="str">
        <f>Main_Data!B121</f>
        <v>Africa</v>
      </c>
      <c r="C121" s="1">
        <f>Main_Data!C121</f>
        <v>2020</v>
      </c>
      <c r="D121" s="1">
        <f>Main_Data!D121</f>
        <v>49427</v>
      </c>
      <c r="E121" s="1">
        <f>Main_Data!E121</f>
        <v>8.9</v>
      </c>
      <c r="F121" s="1">
        <f>Main_Data!F121</f>
        <v>80</v>
      </c>
      <c r="G121" s="1">
        <f>Main_Data!G121</f>
        <v>1498703110</v>
      </c>
      <c r="H121" s="1">
        <f>Main_Data!H121</f>
        <v>91</v>
      </c>
      <c r="I121" s="1">
        <f>Main_Data!I121</f>
        <v>21.4</v>
      </c>
      <c r="J121" s="1">
        <f>Main_Data!J121</f>
        <v>83</v>
      </c>
      <c r="K121" s="1">
        <f>Main_Data!K121</f>
        <v>87</v>
      </c>
      <c r="L121" s="1" t="str">
        <f>Main_Data!L121</f>
        <v>Africa</v>
      </c>
      <c r="M121" s="1" t="str">
        <f>PROPER(TRIM(Main_Data!A121))</f>
        <v>South Africa</v>
      </c>
      <c r="N121" s="1" t="str">
        <f>PROPER(TRIM(Main_Data!B121))</f>
        <v>Africa</v>
      </c>
      <c r="O121" s="1" t="str" cm="1">
        <f t="array" ref="O121">_xlfn.IFS(F121&gt;=80,"Very High",F121&gt;=70,"High",F121&gt;=60,"Medium",TRUE,"Low")</f>
        <v>Very High</v>
      </c>
      <c r="P121" s="1" t="str" cm="1">
        <f t="array" ref="P121">_xlfn.IFS(D121&gt;=40000,"High Income",D121&gt;=15000,"Middle Income",TRUE,"Low Income")</f>
        <v>High Income</v>
      </c>
      <c r="Q121" s="1" t="str">
        <f t="shared" si="1"/>
        <v>Duplicate</v>
      </c>
    </row>
    <row r="122" spans="1:17" x14ac:dyDescent="0.25">
      <c r="A122" s="1" t="str">
        <f>Main_Data!A122</f>
        <v>India</v>
      </c>
      <c r="B122" s="1" t="str">
        <f>Main_Data!B122</f>
        <v>South Asia</v>
      </c>
      <c r="C122" s="1">
        <f>Main_Data!C122</f>
        <v>2022</v>
      </c>
      <c r="D122" s="1">
        <f>Main_Data!D122</f>
        <v>2957</v>
      </c>
      <c r="E122" s="1">
        <f>Main_Data!E122</f>
        <v>13.4</v>
      </c>
      <c r="F122" s="1">
        <f>Main_Data!F122</f>
        <v>81</v>
      </c>
      <c r="G122" s="1">
        <f>Main_Data!G122</f>
        <v>988659312</v>
      </c>
      <c r="H122" s="1">
        <f>Main_Data!H122</f>
        <v>78</v>
      </c>
      <c r="I122" s="1">
        <f>Main_Data!I122</f>
        <v>19</v>
      </c>
      <c r="J122" s="1">
        <f>Main_Data!J122</f>
        <v>82</v>
      </c>
      <c r="K122" s="1">
        <f>Main_Data!K122</f>
        <v>56</v>
      </c>
      <c r="L122" s="1" t="str">
        <f>Main_Data!L122</f>
        <v>Asia</v>
      </c>
      <c r="M122" s="1" t="str">
        <f>PROPER(TRIM(Main_Data!A122))</f>
        <v>India</v>
      </c>
      <c r="N122" s="1" t="str">
        <f>PROPER(TRIM(Main_Data!B122))</f>
        <v>South Asia</v>
      </c>
      <c r="O122" s="1" t="str" cm="1">
        <f t="array" ref="O122">_xlfn.IFS(F122&gt;=80,"Very High",F122&gt;=70,"High",F122&gt;=60,"Medium",TRUE,"Low")</f>
        <v>Very High</v>
      </c>
      <c r="P122" s="1" t="str" cm="1">
        <f t="array" ref="P122">_xlfn.IFS(D122&gt;=40000,"High Income",D122&gt;=15000,"Middle Income",TRUE,"Low Income")</f>
        <v>Low Income</v>
      </c>
      <c r="Q122" s="1" t="str">
        <f t="shared" si="1"/>
        <v>Duplicate</v>
      </c>
    </row>
    <row r="123" spans="1:17" x14ac:dyDescent="0.25">
      <c r="A123" s="1" t="str">
        <f>Main_Data!A123</f>
        <v>USA</v>
      </c>
      <c r="B123" s="1" t="str">
        <f>Main_Data!B123</f>
        <v>North America</v>
      </c>
      <c r="C123" s="1">
        <f>Main_Data!C123</f>
        <v>2021</v>
      </c>
      <c r="D123" s="1">
        <f>Main_Data!D123</f>
        <v>29486</v>
      </c>
      <c r="E123" s="1">
        <f>Main_Data!E123</f>
        <v>13.4</v>
      </c>
      <c r="F123" s="1">
        <f>Main_Data!F123</f>
        <v>71</v>
      </c>
      <c r="G123" s="1">
        <f>Main_Data!G123</f>
        <v>940192004</v>
      </c>
      <c r="H123" s="1">
        <f>Main_Data!H123</f>
        <v>95</v>
      </c>
      <c r="I123" s="1">
        <f>Main_Data!I123</f>
        <v>3.1</v>
      </c>
      <c r="J123" s="1">
        <f>Main_Data!J123</f>
        <v>73</v>
      </c>
      <c r="K123" s="1">
        <f>Main_Data!K123</f>
        <v>64</v>
      </c>
      <c r="L123" s="1" t="str">
        <f>Main_Data!L123</f>
        <v>North America</v>
      </c>
      <c r="M123" s="1" t="str">
        <f>PROPER(TRIM(Main_Data!A123))</f>
        <v>Usa</v>
      </c>
      <c r="N123" s="1" t="str">
        <f>PROPER(TRIM(Main_Data!B123))</f>
        <v>North America</v>
      </c>
      <c r="O123" s="1" t="str" cm="1">
        <f t="array" ref="O123">_xlfn.IFS(F123&gt;=80,"Very High",F123&gt;=70,"High",F123&gt;=60,"Medium",TRUE,"Low")</f>
        <v>High</v>
      </c>
      <c r="P123" s="1" t="str" cm="1">
        <f t="array" ref="P123">_xlfn.IFS(D123&gt;=40000,"High Income",D123&gt;=15000,"Middle Income",TRUE,"Low Income")</f>
        <v>Middle Income</v>
      </c>
      <c r="Q123" s="1" t="str">
        <f t="shared" si="1"/>
        <v>Duplicate</v>
      </c>
    </row>
    <row r="124" spans="1:17" x14ac:dyDescent="0.25">
      <c r="A124" s="1" t="str">
        <f>Main_Data!A124</f>
        <v>Germany</v>
      </c>
      <c r="B124" s="1" t="str">
        <f>Main_Data!B124</f>
        <v>Europe</v>
      </c>
      <c r="C124" s="1">
        <f>Main_Data!C124</f>
        <v>2020</v>
      </c>
      <c r="D124" s="1">
        <f>Main_Data!D124</f>
        <v>36010</v>
      </c>
      <c r="E124" s="1">
        <f>Main_Data!E124</f>
        <v>3.9</v>
      </c>
      <c r="F124" s="1">
        <f>Main_Data!F124</f>
        <v>75</v>
      </c>
      <c r="G124" s="1">
        <f>Main_Data!G124</f>
        <v>1174036680</v>
      </c>
      <c r="H124" s="1">
        <f>Main_Data!H124</f>
        <v>93</v>
      </c>
      <c r="I124" s="1">
        <f>Main_Data!I124</f>
        <v>15.5</v>
      </c>
      <c r="J124" s="1">
        <f>Main_Data!J124</f>
        <v>83</v>
      </c>
      <c r="K124" s="1">
        <f>Main_Data!K124</f>
        <v>67</v>
      </c>
      <c r="L124" s="1" t="str">
        <f>Main_Data!L124</f>
        <v>Europe</v>
      </c>
      <c r="M124" s="1" t="str">
        <f>PROPER(TRIM(Main_Data!A124))</f>
        <v>Germany</v>
      </c>
      <c r="N124" s="1" t="str">
        <f>PROPER(TRIM(Main_Data!B124))</f>
        <v>Europe</v>
      </c>
      <c r="O124" s="1" t="str" cm="1">
        <f t="array" ref="O124">_xlfn.IFS(F124&gt;=80,"Very High",F124&gt;=70,"High",F124&gt;=60,"Medium",TRUE,"Low")</f>
        <v>High</v>
      </c>
      <c r="P124" s="1" t="str" cm="1">
        <f t="array" ref="P124">_xlfn.IFS(D124&gt;=40000,"High Income",D124&gt;=15000,"Middle Income",TRUE,"Low Income")</f>
        <v>Middle Income</v>
      </c>
      <c r="Q124" s="1" t="str">
        <f t="shared" si="1"/>
        <v>Duplicate</v>
      </c>
    </row>
    <row r="125" spans="1:17" x14ac:dyDescent="0.25">
      <c r="A125" s="1" t="str">
        <f>Main_Data!A125</f>
        <v>Brazil</v>
      </c>
      <c r="B125" s="1" t="str">
        <f>Main_Data!B125</f>
        <v>South America</v>
      </c>
      <c r="C125" s="1">
        <f>Main_Data!C125</f>
        <v>2020</v>
      </c>
      <c r="D125" s="1">
        <f>Main_Data!D125</f>
        <v>3966</v>
      </c>
      <c r="E125" s="1">
        <f>Main_Data!E125</f>
        <v>16.5</v>
      </c>
      <c r="F125" s="1">
        <f>Main_Data!F125</f>
        <v>81</v>
      </c>
      <c r="G125" s="1">
        <f>Main_Data!G125</f>
        <v>28213754</v>
      </c>
      <c r="H125" s="1">
        <f>Main_Data!H125</f>
        <v>72</v>
      </c>
      <c r="I125" s="1">
        <f>Main_Data!I125</f>
        <v>13.5</v>
      </c>
      <c r="J125" s="1">
        <f>Main_Data!J125</f>
        <v>78</v>
      </c>
      <c r="K125" s="1">
        <f>Main_Data!K125</f>
        <v>40</v>
      </c>
      <c r="L125" s="1" t="str">
        <f>Main_Data!L125</f>
        <v>South America</v>
      </c>
      <c r="M125" s="1" t="str">
        <f>PROPER(TRIM(Main_Data!A125))</f>
        <v>Brazil</v>
      </c>
      <c r="N125" s="1" t="str">
        <f>PROPER(TRIM(Main_Data!B125))</f>
        <v>South America</v>
      </c>
      <c r="O125" s="1" t="str" cm="1">
        <f t="array" ref="O125">_xlfn.IFS(F125&gt;=80,"Very High",F125&gt;=70,"High",F125&gt;=60,"Medium",TRUE,"Low")</f>
        <v>Very High</v>
      </c>
      <c r="P125" s="1" t="str" cm="1">
        <f t="array" ref="P125">_xlfn.IFS(D125&gt;=40000,"High Income",D125&gt;=15000,"Middle Income",TRUE,"Low Income")</f>
        <v>Low Income</v>
      </c>
      <c r="Q125" s="1" t="str">
        <f t="shared" si="1"/>
        <v>Duplicate</v>
      </c>
    </row>
    <row r="126" spans="1:17" x14ac:dyDescent="0.25">
      <c r="A126" s="1" t="str">
        <f>Main_Data!A126</f>
        <v>China</v>
      </c>
      <c r="B126" s="1" t="str">
        <f>Main_Data!B126</f>
        <v>East Asia</v>
      </c>
      <c r="C126" s="1">
        <f>Main_Data!C126</f>
        <v>2021</v>
      </c>
      <c r="D126" s="1">
        <f>Main_Data!D126</f>
        <v>51809</v>
      </c>
      <c r="E126" s="1">
        <f>Main_Data!E126</f>
        <v>11.4</v>
      </c>
      <c r="F126" s="1">
        <f>Main_Data!F126</f>
        <v>85</v>
      </c>
      <c r="G126" s="1">
        <f>Main_Data!G126</f>
        <v>331799181</v>
      </c>
      <c r="H126" s="1">
        <f>Main_Data!H126</f>
        <v>63</v>
      </c>
      <c r="I126" s="1">
        <f>Main_Data!I126</f>
        <v>15.7</v>
      </c>
      <c r="J126" s="1">
        <f>Main_Data!J126</f>
        <v>91</v>
      </c>
      <c r="K126" s="1">
        <f>Main_Data!K126</f>
        <v>71</v>
      </c>
      <c r="L126" s="1" t="str">
        <f>Main_Data!L126</f>
        <v>Asia</v>
      </c>
      <c r="M126" s="1" t="str">
        <f>PROPER(TRIM(Main_Data!A126))</f>
        <v>China</v>
      </c>
      <c r="N126" s="1" t="str">
        <f>PROPER(TRIM(Main_Data!B126))</f>
        <v>East Asia</v>
      </c>
      <c r="O126" s="1" t="str" cm="1">
        <f t="array" ref="O126">_xlfn.IFS(F126&gt;=80,"Very High",F126&gt;=70,"High",F126&gt;=60,"Medium",TRUE,"Low")</f>
        <v>Very High</v>
      </c>
      <c r="P126" s="1" t="str" cm="1">
        <f t="array" ref="P126">_xlfn.IFS(D126&gt;=40000,"High Income",D126&gt;=15000,"Middle Income",TRUE,"Low Income")</f>
        <v>High Income</v>
      </c>
      <c r="Q126" s="1" t="str">
        <f t="shared" si="1"/>
        <v>Duplicate</v>
      </c>
    </row>
    <row r="127" spans="1:17" x14ac:dyDescent="0.25">
      <c r="A127" s="1" t="str">
        <f>Main_Data!A127</f>
        <v>UK</v>
      </c>
      <c r="B127" s="1" t="str">
        <f>Main_Data!B127</f>
        <v>Europe</v>
      </c>
      <c r="C127" s="1">
        <f>Main_Data!C127</f>
        <v>2022</v>
      </c>
      <c r="D127" s="1">
        <f>Main_Data!D127</f>
        <v>21975</v>
      </c>
      <c r="E127" s="1">
        <f>Main_Data!E127</f>
        <v>13</v>
      </c>
      <c r="F127" s="1">
        <f>Main_Data!F127</f>
        <v>66</v>
      </c>
      <c r="G127" s="1">
        <f>Main_Data!G127</f>
        <v>1077294623</v>
      </c>
      <c r="H127" s="1">
        <f>Main_Data!H127</f>
        <v>64</v>
      </c>
      <c r="I127" s="1">
        <f>Main_Data!I127</f>
        <v>9.6</v>
      </c>
      <c r="J127" s="1">
        <f>Main_Data!J127</f>
        <v>86</v>
      </c>
      <c r="K127" s="1">
        <f>Main_Data!K127</f>
        <v>61</v>
      </c>
      <c r="L127" s="1" t="str">
        <f>Main_Data!L127</f>
        <v>Europe</v>
      </c>
      <c r="M127" s="1" t="str">
        <f>PROPER(TRIM(Main_Data!A127))</f>
        <v>Uk</v>
      </c>
      <c r="N127" s="1" t="str">
        <f>PROPER(TRIM(Main_Data!B127))</f>
        <v>Europe</v>
      </c>
      <c r="O127" s="1" t="str" cm="1">
        <f t="array" ref="O127">_xlfn.IFS(F127&gt;=80,"Very High",F127&gt;=70,"High",F127&gt;=60,"Medium",TRUE,"Low")</f>
        <v>Medium</v>
      </c>
      <c r="P127" s="1" t="str" cm="1">
        <f t="array" ref="P127">_xlfn.IFS(D127&gt;=40000,"High Income",D127&gt;=15000,"Middle Income",TRUE,"Low Income")</f>
        <v>Middle Income</v>
      </c>
      <c r="Q127" s="1" t="str">
        <f t="shared" si="1"/>
        <v>Duplicate</v>
      </c>
    </row>
    <row r="128" spans="1:17" x14ac:dyDescent="0.25">
      <c r="A128" s="1" t="str">
        <f>Main_Data!A128</f>
        <v>Canada</v>
      </c>
      <c r="B128" s="1" t="str">
        <f>Main_Data!B128</f>
        <v>North America</v>
      </c>
      <c r="C128" s="1">
        <f>Main_Data!C128</f>
        <v>2022</v>
      </c>
      <c r="D128" s="1">
        <f>Main_Data!D128</f>
        <v>17550</v>
      </c>
      <c r="E128" s="1">
        <f>Main_Data!E128</f>
        <v>3.3</v>
      </c>
      <c r="F128" s="1">
        <f>Main_Data!F128</f>
        <v>74</v>
      </c>
      <c r="G128" s="1">
        <f>Main_Data!G128</f>
        <v>563071192</v>
      </c>
      <c r="H128" s="1">
        <f>Main_Data!H128</f>
        <v>71</v>
      </c>
      <c r="I128" s="1">
        <f>Main_Data!I128</f>
        <v>19.8</v>
      </c>
      <c r="J128" s="1">
        <f>Main_Data!J128</f>
        <v>95</v>
      </c>
      <c r="K128" s="1">
        <f>Main_Data!K128</f>
        <v>59</v>
      </c>
      <c r="L128" s="1" t="str">
        <f>Main_Data!L128</f>
        <v>North America</v>
      </c>
      <c r="M128" s="1" t="str">
        <f>PROPER(TRIM(Main_Data!A128))</f>
        <v>Canada</v>
      </c>
      <c r="N128" s="1" t="str">
        <f>PROPER(TRIM(Main_Data!B128))</f>
        <v>North America</v>
      </c>
      <c r="O128" s="1" t="str" cm="1">
        <f t="array" ref="O128">_xlfn.IFS(F128&gt;=80,"Very High",F128&gt;=70,"High",F128&gt;=60,"Medium",TRUE,"Low")</f>
        <v>High</v>
      </c>
      <c r="P128" s="1" t="str" cm="1">
        <f t="array" ref="P128">_xlfn.IFS(D128&gt;=40000,"High Income",D128&gt;=15000,"Middle Income",TRUE,"Low Income")</f>
        <v>Middle Income</v>
      </c>
      <c r="Q128" s="1" t="str">
        <f t="shared" si="1"/>
        <v>Duplicate</v>
      </c>
    </row>
    <row r="129" spans="1:17" x14ac:dyDescent="0.25">
      <c r="A129" s="1" t="str">
        <f>Main_Data!A129</f>
        <v>Australia</v>
      </c>
      <c r="B129" s="1" t="str">
        <f>Main_Data!B129</f>
        <v>Oceania</v>
      </c>
      <c r="C129" s="1">
        <f>Main_Data!C129</f>
        <v>2020</v>
      </c>
      <c r="D129" s="1">
        <f>Main_Data!D129</f>
        <v>10570</v>
      </c>
      <c r="E129" s="1">
        <f>Main_Data!E129</f>
        <v>3.6</v>
      </c>
      <c r="F129" s="1">
        <f>Main_Data!F129</f>
        <v>65</v>
      </c>
      <c r="G129" s="1">
        <f>Main_Data!G129</f>
        <v>997939555</v>
      </c>
      <c r="H129" s="1">
        <f>Main_Data!H129</f>
        <v>91</v>
      </c>
      <c r="I129" s="1">
        <f>Main_Data!I129</f>
        <v>20.9</v>
      </c>
      <c r="J129" s="1">
        <f>Main_Data!J129</f>
        <v>75</v>
      </c>
      <c r="K129" s="1">
        <f>Main_Data!K129</f>
        <v>56</v>
      </c>
      <c r="L129" s="1" t="str">
        <f>Main_Data!L129</f>
        <v>Oceania</v>
      </c>
      <c r="M129" s="1" t="str">
        <f>PROPER(TRIM(Main_Data!A129))</f>
        <v>Australia</v>
      </c>
      <c r="N129" s="1" t="str">
        <f>PROPER(TRIM(Main_Data!B129))</f>
        <v>Oceania</v>
      </c>
      <c r="O129" s="1" t="str" cm="1">
        <f t="array" ref="O129">_xlfn.IFS(F129&gt;=80,"Very High",F129&gt;=70,"High",F129&gt;=60,"Medium",TRUE,"Low")</f>
        <v>Medium</v>
      </c>
      <c r="P129" s="1" t="str" cm="1">
        <f t="array" ref="P129">_xlfn.IFS(D129&gt;=40000,"High Income",D129&gt;=15000,"Middle Income",TRUE,"Low Income")</f>
        <v>Low Income</v>
      </c>
      <c r="Q129" s="1" t="str">
        <f t="shared" si="1"/>
        <v>Duplicate</v>
      </c>
    </row>
    <row r="130" spans="1:17" x14ac:dyDescent="0.25">
      <c r="A130" s="1" t="str">
        <f>Main_Data!A130</f>
        <v>Japan</v>
      </c>
      <c r="B130" s="1" t="str">
        <f>Main_Data!B130</f>
        <v>East Asia</v>
      </c>
      <c r="C130" s="1">
        <f>Main_Data!C130</f>
        <v>2020</v>
      </c>
      <c r="D130" s="1">
        <f>Main_Data!D130</f>
        <v>64276</v>
      </c>
      <c r="E130" s="1">
        <f>Main_Data!E130</f>
        <v>8.9</v>
      </c>
      <c r="F130" s="1">
        <f>Main_Data!F130</f>
        <v>76</v>
      </c>
      <c r="G130" s="1">
        <f>Main_Data!G130</f>
        <v>1411748390</v>
      </c>
      <c r="H130" s="1">
        <f>Main_Data!H130</f>
        <v>82</v>
      </c>
      <c r="I130" s="1">
        <f>Main_Data!I130</f>
        <v>10.8</v>
      </c>
      <c r="J130" s="1">
        <f>Main_Data!J130</f>
        <v>86</v>
      </c>
      <c r="K130" s="1">
        <f>Main_Data!K130</f>
        <v>36</v>
      </c>
      <c r="L130" s="1" t="str">
        <f>Main_Data!L130</f>
        <v>Asia</v>
      </c>
      <c r="M130" s="1" t="str">
        <f>PROPER(TRIM(Main_Data!A130))</f>
        <v>Japan</v>
      </c>
      <c r="N130" s="1" t="str">
        <f>PROPER(TRIM(Main_Data!B130))</f>
        <v>East Asia</v>
      </c>
      <c r="O130" s="1" t="str" cm="1">
        <f t="array" ref="O130">_xlfn.IFS(F130&gt;=80,"Very High",F130&gt;=70,"High",F130&gt;=60,"Medium",TRUE,"Low")</f>
        <v>High</v>
      </c>
      <c r="P130" s="1" t="str" cm="1">
        <f t="array" ref="P130">_xlfn.IFS(D130&gt;=40000,"High Income",D130&gt;=15000,"Middle Income",TRUE,"Low Income")</f>
        <v>High Income</v>
      </c>
      <c r="Q130" s="1" t="str">
        <f t="shared" si="1"/>
        <v>Duplicate</v>
      </c>
    </row>
    <row r="131" spans="1:17" x14ac:dyDescent="0.25">
      <c r="A131" s="1" t="str">
        <f>Main_Data!A131</f>
        <v>South Africa</v>
      </c>
      <c r="B131" s="1" t="str">
        <f>Main_Data!B131</f>
        <v>Africa</v>
      </c>
      <c r="C131" s="1">
        <f>Main_Data!C131</f>
        <v>2022</v>
      </c>
      <c r="D131" s="1">
        <f>Main_Data!D131</f>
        <v>45224</v>
      </c>
      <c r="E131" s="1">
        <f>Main_Data!E131</f>
        <v>3.4</v>
      </c>
      <c r="F131" s="1">
        <f>Main_Data!F131</f>
        <v>74</v>
      </c>
      <c r="G131" s="1">
        <f>Main_Data!G131</f>
        <v>207790033</v>
      </c>
      <c r="H131" s="1">
        <f>Main_Data!H131</f>
        <v>56</v>
      </c>
      <c r="I131" s="1">
        <f>Main_Data!I131</f>
        <v>5.5</v>
      </c>
      <c r="J131" s="1">
        <f>Main_Data!J131</f>
        <v>90</v>
      </c>
      <c r="K131" s="1">
        <f>Main_Data!K131</f>
        <v>35</v>
      </c>
      <c r="L131" s="1" t="str">
        <f>Main_Data!L131</f>
        <v>Africa</v>
      </c>
      <c r="M131" s="1" t="str">
        <f>PROPER(TRIM(Main_Data!A131))</f>
        <v>South Africa</v>
      </c>
      <c r="N131" s="1" t="str">
        <f>PROPER(TRIM(Main_Data!B131))</f>
        <v>Africa</v>
      </c>
      <c r="O131" s="1" t="str" cm="1">
        <f t="array" ref="O131">_xlfn.IFS(F131&gt;=80,"Very High",F131&gt;=70,"High",F131&gt;=60,"Medium",TRUE,"Low")</f>
        <v>High</v>
      </c>
      <c r="P131" s="1" t="str" cm="1">
        <f t="array" ref="P131">_xlfn.IFS(D131&gt;=40000,"High Income",D131&gt;=15000,"Middle Income",TRUE,"Low Income")</f>
        <v>High Income</v>
      </c>
      <c r="Q131" s="1" t="str">
        <f t="shared" ref="Q131:Q194" si="2">IF(COUNTIFS(A:A,A131,C:C,C131)&gt;1,"Duplicate","OK")</f>
        <v>Duplicate</v>
      </c>
    </row>
    <row r="132" spans="1:17" x14ac:dyDescent="0.25">
      <c r="A132" s="1" t="str">
        <f>Main_Data!A132</f>
        <v>India</v>
      </c>
      <c r="B132" s="1" t="str">
        <f>Main_Data!B132</f>
        <v>South Asia</v>
      </c>
      <c r="C132" s="1">
        <f>Main_Data!C132</f>
        <v>2022</v>
      </c>
      <c r="D132" s="1">
        <f>Main_Data!D132</f>
        <v>21322</v>
      </c>
      <c r="E132" s="1">
        <f>Main_Data!E132</f>
        <v>9.6999999999999993</v>
      </c>
      <c r="F132" s="1">
        <f>Main_Data!F132</f>
        <v>62</v>
      </c>
      <c r="G132" s="1">
        <f>Main_Data!G132</f>
        <v>387412990</v>
      </c>
      <c r="H132" s="1">
        <f>Main_Data!H132</f>
        <v>75</v>
      </c>
      <c r="I132" s="1">
        <f>Main_Data!I132</f>
        <v>4.8</v>
      </c>
      <c r="J132" s="1">
        <f>Main_Data!J132</f>
        <v>72</v>
      </c>
      <c r="K132" s="1">
        <f>Main_Data!K132</f>
        <v>55</v>
      </c>
      <c r="L132" s="1" t="str">
        <f>Main_Data!L132</f>
        <v>Asia</v>
      </c>
      <c r="M132" s="1" t="str">
        <f>PROPER(TRIM(Main_Data!A132))</f>
        <v>India</v>
      </c>
      <c r="N132" s="1" t="str">
        <f>PROPER(TRIM(Main_Data!B132))</f>
        <v>South Asia</v>
      </c>
      <c r="O132" s="1" t="str" cm="1">
        <f t="array" ref="O132">_xlfn.IFS(F132&gt;=80,"Very High",F132&gt;=70,"High",F132&gt;=60,"Medium",TRUE,"Low")</f>
        <v>Medium</v>
      </c>
      <c r="P132" s="1" t="str" cm="1">
        <f t="array" ref="P132">_xlfn.IFS(D132&gt;=40000,"High Income",D132&gt;=15000,"Middle Income",TRUE,"Low Income")</f>
        <v>Middle Income</v>
      </c>
      <c r="Q132" s="1" t="str">
        <f t="shared" si="2"/>
        <v>Duplicate</v>
      </c>
    </row>
    <row r="133" spans="1:17" x14ac:dyDescent="0.25">
      <c r="A133" s="1" t="str">
        <f>Main_Data!A133</f>
        <v>USA</v>
      </c>
      <c r="B133" s="1" t="str">
        <f>Main_Data!B133</f>
        <v>North America</v>
      </c>
      <c r="C133" s="1">
        <f>Main_Data!C133</f>
        <v>2022</v>
      </c>
      <c r="D133" s="1">
        <f>Main_Data!D133</f>
        <v>63624</v>
      </c>
      <c r="E133" s="1">
        <f>Main_Data!E133</f>
        <v>6.7</v>
      </c>
      <c r="F133" s="1">
        <f>Main_Data!F133</f>
        <v>73</v>
      </c>
      <c r="G133" s="1">
        <f>Main_Data!G133</f>
        <v>1486862463</v>
      </c>
      <c r="H133" s="1">
        <f>Main_Data!H133</f>
        <v>70</v>
      </c>
      <c r="I133" s="1">
        <f>Main_Data!I133</f>
        <v>3.5</v>
      </c>
      <c r="J133" s="1">
        <f>Main_Data!J133</f>
        <v>98</v>
      </c>
      <c r="K133" s="1">
        <f>Main_Data!K133</f>
        <v>53</v>
      </c>
      <c r="L133" s="1" t="str">
        <f>Main_Data!L133</f>
        <v>North America</v>
      </c>
      <c r="M133" s="1" t="str">
        <f>PROPER(TRIM(Main_Data!A133))</f>
        <v>Usa</v>
      </c>
      <c r="N133" s="1" t="str">
        <f>PROPER(TRIM(Main_Data!B133))</f>
        <v>North America</v>
      </c>
      <c r="O133" s="1" t="str" cm="1">
        <f t="array" ref="O133">_xlfn.IFS(F133&gt;=80,"Very High",F133&gt;=70,"High",F133&gt;=60,"Medium",TRUE,"Low")</f>
        <v>High</v>
      </c>
      <c r="P133" s="1" t="str" cm="1">
        <f t="array" ref="P133">_xlfn.IFS(D133&gt;=40000,"High Income",D133&gt;=15000,"Middle Income",TRUE,"Low Income")</f>
        <v>High Income</v>
      </c>
      <c r="Q133" s="1" t="str">
        <f t="shared" si="2"/>
        <v>Duplicate</v>
      </c>
    </row>
    <row r="134" spans="1:17" x14ac:dyDescent="0.25">
      <c r="A134" s="1" t="str">
        <f>Main_Data!A134</f>
        <v>Germany</v>
      </c>
      <c r="B134" s="1" t="str">
        <f>Main_Data!B134</f>
        <v>Europe</v>
      </c>
      <c r="C134" s="1">
        <f>Main_Data!C134</f>
        <v>2021</v>
      </c>
      <c r="D134" s="1">
        <f>Main_Data!D134</f>
        <v>61951</v>
      </c>
      <c r="E134" s="1">
        <f>Main_Data!E134</f>
        <v>5.0999999999999996</v>
      </c>
      <c r="F134" s="1">
        <f>Main_Data!F134</f>
        <v>78</v>
      </c>
      <c r="G134" s="1">
        <f>Main_Data!G134</f>
        <v>1014131872</v>
      </c>
      <c r="H134" s="1">
        <f>Main_Data!H134</f>
        <v>68</v>
      </c>
      <c r="I134" s="1">
        <f>Main_Data!I134</f>
        <v>2.4</v>
      </c>
      <c r="J134" s="1">
        <f>Main_Data!J134</f>
        <v>85</v>
      </c>
      <c r="K134" s="1">
        <f>Main_Data!K134</f>
        <v>78</v>
      </c>
      <c r="L134" s="1" t="str">
        <f>Main_Data!L134</f>
        <v>Europe</v>
      </c>
      <c r="M134" s="1" t="str">
        <f>PROPER(TRIM(Main_Data!A134))</f>
        <v>Germany</v>
      </c>
      <c r="N134" s="1" t="str">
        <f>PROPER(TRIM(Main_Data!B134))</f>
        <v>Europe</v>
      </c>
      <c r="O134" s="1" t="str" cm="1">
        <f t="array" ref="O134">_xlfn.IFS(F134&gt;=80,"Very High",F134&gt;=70,"High",F134&gt;=60,"Medium",TRUE,"Low")</f>
        <v>High</v>
      </c>
      <c r="P134" s="1" t="str" cm="1">
        <f t="array" ref="P134">_xlfn.IFS(D134&gt;=40000,"High Income",D134&gt;=15000,"Middle Income",TRUE,"Low Income")</f>
        <v>High Income</v>
      </c>
      <c r="Q134" s="1" t="str">
        <f t="shared" si="2"/>
        <v>Duplicate</v>
      </c>
    </row>
    <row r="135" spans="1:17" x14ac:dyDescent="0.25">
      <c r="A135" s="1" t="str">
        <f>Main_Data!A135</f>
        <v>Brazil</v>
      </c>
      <c r="B135" s="1" t="str">
        <f>Main_Data!B135</f>
        <v>South America</v>
      </c>
      <c r="C135" s="1">
        <f>Main_Data!C135</f>
        <v>2021</v>
      </c>
      <c r="D135" s="1">
        <f>Main_Data!D135</f>
        <v>40181</v>
      </c>
      <c r="E135" s="1">
        <f>Main_Data!E135</f>
        <v>8.5</v>
      </c>
      <c r="F135" s="1">
        <f>Main_Data!F135</f>
        <v>67</v>
      </c>
      <c r="G135" s="1">
        <f>Main_Data!G135</f>
        <v>237806698</v>
      </c>
      <c r="H135" s="1">
        <f>Main_Data!H135</f>
        <v>59</v>
      </c>
      <c r="I135" s="1">
        <f>Main_Data!I135</f>
        <v>18.399999999999999</v>
      </c>
      <c r="J135" s="1">
        <f>Main_Data!J135</f>
        <v>77</v>
      </c>
      <c r="K135" s="1">
        <f>Main_Data!K135</f>
        <v>84</v>
      </c>
      <c r="L135" s="1" t="str">
        <f>Main_Data!L135</f>
        <v>South America</v>
      </c>
      <c r="M135" s="1" t="str">
        <f>PROPER(TRIM(Main_Data!A135))</f>
        <v>Brazil</v>
      </c>
      <c r="N135" s="1" t="str">
        <f>PROPER(TRIM(Main_Data!B135))</f>
        <v>South America</v>
      </c>
      <c r="O135" s="1" t="str" cm="1">
        <f t="array" ref="O135">_xlfn.IFS(F135&gt;=80,"Very High",F135&gt;=70,"High",F135&gt;=60,"Medium",TRUE,"Low")</f>
        <v>Medium</v>
      </c>
      <c r="P135" s="1" t="str" cm="1">
        <f t="array" ref="P135">_xlfn.IFS(D135&gt;=40000,"High Income",D135&gt;=15000,"Middle Income",TRUE,"Low Income")</f>
        <v>High Income</v>
      </c>
      <c r="Q135" s="1" t="str">
        <f t="shared" si="2"/>
        <v>Duplicate</v>
      </c>
    </row>
    <row r="136" spans="1:17" x14ac:dyDescent="0.25">
      <c r="A136" s="1" t="str">
        <f>Main_Data!A136</f>
        <v>China</v>
      </c>
      <c r="B136" s="1" t="str">
        <f>Main_Data!B136</f>
        <v>East Asia</v>
      </c>
      <c r="C136" s="1">
        <f>Main_Data!C136</f>
        <v>2020</v>
      </c>
      <c r="D136" s="1">
        <f>Main_Data!D136</f>
        <v>17879</v>
      </c>
      <c r="E136" s="1">
        <f>Main_Data!E136</f>
        <v>10.5</v>
      </c>
      <c r="F136" s="1">
        <f>Main_Data!F136</f>
        <v>61</v>
      </c>
      <c r="G136" s="1">
        <f>Main_Data!G136</f>
        <v>1022788930</v>
      </c>
      <c r="H136" s="1">
        <f>Main_Data!H136</f>
        <v>60</v>
      </c>
      <c r="I136" s="1">
        <f>Main_Data!I136</f>
        <v>18.2</v>
      </c>
      <c r="J136" s="1">
        <f>Main_Data!J136</f>
        <v>82</v>
      </c>
      <c r="K136" s="1">
        <f>Main_Data!K136</f>
        <v>89</v>
      </c>
      <c r="L136" s="1" t="str">
        <f>Main_Data!L136</f>
        <v>Asia</v>
      </c>
      <c r="M136" s="1" t="str">
        <f>PROPER(TRIM(Main_Data!A136))</f>
        <v>China</v>
      </c>
      <c r="N136" s="1" t="str">
        <f>PROPER(TRIM(Main_Data!B136))</f>
        <v>East Asia</v>
      </c>
      <c r="O136" s="1" t="str" cm="1">
        <f t="array" ref="O136">_xlfn.IFS(F136&gt;=80,"Very High",F136&gt;=70,"High",F136&gt;=60,"Medium",TRUE,"Low")</f>
        <v>Medium</v>
      </c>
      <c r="P136" s="1" t="str" cm="1">
        <f t="array" ref="P136">_xlfn.IFS(D136&gt;=40000,"High Income",D136&gt;=15000,"Middle Income",TRUE,"Low Income")</f>
        <v>Middle Income</v>
      </c>
      <c r="Q136" s="1" t="str">
        <f t="shared" si="2"/>
        <v>Duplicate</v>
      </c>
    </row>
    <row r="137" spans="1:17" x14ac:dyDescent="0.25">
      <c r="A137" s="1" t="str">
        <f>Main_Data!A137</f>
        <v>UK</v>
      </c>
      <c r="B137" s="1" t="str">
        <f>Main_Data!B137</f>
        <v>Europe</v>
      </c>
      <c r="C137" s="1">
        <f>Main_Data!C137</f>
        <v>2020</v>
      </c>
      <c r="D137" s="1">
        <f>Main_Data!D137</f>
        <v>23500</v>
      </c>
      <c r="E137" s="1">
        <f>Main_Data!E137</f>
        <v>16.899999999999999</v>
      </c>
      <c r="F137" s="1">
        <f>Main_Data!F137</f>
        <v>75</v>
      </c>
      <c r="G137" s="1">
        <f>Main_Data!G137</f>
        <v>1440086596</v>
      </c>
      <c r="H137" s="1">
        <f>Main_Data!H137</f>
        <v>85</v>
      </c>
      <c r="I137" s="1">
        <f>Main_Data!I137</f>
        <v>7.2</v>
      </c>
      <c r="J137" s="1">
        <f>Main_Data!J137</f>
        <v>83</v>
      </c>
      <c r="K137" s="1">
        <f>Main_Data!K137</f>
        <v>39</v>
      </c>
      <c r="L137" s="1" t="str">
        <f>Main_Data!L137</f>
        <v>Europe</v>
      </c>
      <c r="M137" s="1" t="str">
        <f>PROPER(TRIM(Main_Data!A137))</f>
        <v>Uk</v>
      </c>
      <c r="N137" s="1" t="str">
        <f>PROPER(TRIM(Main_Data!B137))</f>
        <v>Europe</v>
      </c>
      <c r="O137" s="1" t="str" cm="1">
        <f t="array" ref="O137">_xlfn.IFS(F137&gt;=80,"Very High",F137&gt;=70,"High",F137&gt;=60,"Medium",TRUE,"Low")</f>
        <v>High</v>
      </c>
      <c r="P137" s="1" t="str" cm="1">
        <f t="array" ref="P137">_xlfn.IFS(D137&gt;=40000,"High Income",D137&gt;=15000,"Middle Income",TRUE,"Low Income")</f>
        <v>Middle Income</v>
      </c>
      <c r="Q137" s="1" t="str">
        <f t="shared" si="2"/>
        <v>Duplicate</v>
      </c>
    </row>
    <row r="138" spans="1:17" x14ac:dyDescent="0.25">
      <c r="A138" s="1" t="str">
        <f>Main_Data!A138</f>
        <v>Canada</v>
      </c>
      <c r="B138" s="1" t="str">
        <f>Main_Data!B138</f>
        <v>North America</v>
      </c>
      <c r="C138" s="1">
        <f>Main_Data!C138</f>
        <v>2022</v>
      </c>
      <c r="D138" s="1">
        <f>Main_Data!D138</f>
        <v>6329</v>
      </c>
      <c r="E138" s="1">
        <f>Main_Data!E138</f>
        <v>3.9</v>
      </c>
      <c r="F138" s="1">
        <f>Main_Data!F138</f>
        <v>69</v>
      </c>
      <c r="G138" s="1">
        <f>Main_Data!G138</f>
        <v>973035484</v>
      </c>
      <c r="H138" s="1">
        <f>Main_Data!H138</f>
        <v>82</v>
      </c>
      <c r="I138" s="1">
        <f>Main_Data!I138</f>
        <v>12.3</v>
      </c>
      <c r="J138" s="1">
        <f>Main_Data!J138</f>
        <v>71</v>
      </c>
      <c r="K138" s="1">
        <f>Main_Data!K138</f>
        <v>48</v>
      </c>
      <c r="L138" s="1" t="str">
        <f>Main_Data!L138</f>
        <v>North America</v>
      </c>
      <c r="M138" s="1" t="str">
        <f>PROPER(TRIM(Main_Data!A138))</f>
        <v>Canada</v>
      </c>
      <c r="N138" s="1" t="str">
        <f>PROPER(TRIM(Main_Data!B138))</f>
        <v>North America</v>
      </c>
      <c r="O138" s="1" t="str" cm="1">
        <f t="array" ref="O138">_xlfn.IFS(F138&gt;=80,"Very High",F138&gt;=70,"High",F138&gt;=60,"Medium",TRUE,"Low")</f>
        <v>Medium</v>
      </c>
      <c r="P138" s="1" t="str" cm="1">
        <f t="array" ref="P138">_xlfn.IFS(D138&gt;=40000,"High Income",D138&gt;=15000,"Middle Income",TRUE,"Low Income")</f>
        <v>Low Income</v>
      </c>
      <c r="Q138" s="1" t="str">
        <f t="shared" si="2"/>
        <v>Duplicate</v>
      </c>
    </row>
    <row r="139" spans="1:17" x14ac:dyDescent="0.25">
      <c r="A139" s="1" t="str">
        <f>Main_Data!A139</f>
        <v>Australia</v>
      </c>
      <c r="B139" s="1" t="str">
        <f>Main_Data!B139</f>
        <v>Oceania</v>
      </c>
      <c r="C139" s="1">
        <f>Main_Data!C139</f>
        <v>2022</v>
      </c>
      <c r="D139" s="1">
        <f>Main_Data!D139</f>
        <v>36754</v>
      </c>
      <c r="E139" s="1">
        <f>Main_Data!E139</f>
        <v>12.7</v>
      </c>
      <c r="F139" s="1">
        <f>Main_Data!F139</f>
        <v>77</v>
      </c>
      <c r="G139" s="1">
        <f>Main_Data!G139</f>
        <v>440245090</v>
      </c>
      <c r="H139" s="1">
        <f>Main_Data!H139</f>
        <v>63</v>
      </c>
      <c r="I139" s="1">
        <f>Main_Data!I139</f>
        <v>14.6</v>
      </c>
      <c r="J139" s="1">
        <f>Main_Data!J139</f>
        <v>82</v>
      </c>
      <c r="K139" s="1">
        <f>Main_Data!K139</f>
        <v>69</v>
      </c>
      <c r="L139" s="1" t="str">
        <f>Main_Data!L139</f>
        <v>Oceania</v>
      </c>
      <c r="M139" s="1" t="str">
        <f>PROPER(TRIM(Main_Data!A139))</f>
        <v>Australia</v>
      </c>
      <c r="N139" s="1" t="str">
        <f>PROPER(TRIM(Main_Data!B139))</f>
        <v>Oceania</v>
      </c>
      <c r="O139" s="1" t="str" cm="1">
        <f t="array" ref="O139">_xlfn.IFS(F139&gt;=80,"Very High",F139&gt;=70,"High",F139&gt;=60,"Medium",TRUE,"Low")</f>
        <v>High</v>
      </c>
      <c r="P139" s="1" t="str" cm="1">
        <f t="array" ref="P139">_xlfn.IFS(D139&gt;=40000,"High Income",D139&gt;=15000,"Middle Income",TRUE,"Low Income")</f>
        <v>Middle Income</v>
      </c>
      <c r="Q139" s="1" t="str">
        <f t="shared" si="2"/>
        <v>Duplicate</v>
      </c>
    </row>
    <row r="140" spans="1:17" x14ac:dyDescent="0.25">
      <c r="A140" s="1" t="str">
        <f>Main_Data!A140</f>
        <v>Japan</v>
      </c>
      <c r="B140" s="1" t="str">
        <f>Main_Data!B140</f>
        <v>East Asia</v>
      </c>
      <c r="C140" s="1">
        <f>Main_Data!C140</f>
        <v>2021</v>
      </c>
      <c r="D140" s="1">
        <f>Main_Data!D140</f>
        <v>34898</v>
      </c>
      <c r="E140" s="1">
        <f>Main_Data!E140</f>
        <v>14.9</v>
      </c>
      <c r="F140" s="1">
        <f>Main_Data!F140</f>
        <v>60</v>
      </c>
      <c r="G140" s="1">
        <f>Main_Data!G140</f>
        <v>1497795557</v>
      </c>
      <c r="H140" s="1">
        <f>Main_Data!H140</f>
        <v>72</v>
      </c>
      <c r="I140" s="1">
        <f>Main_Data!I140</f>
        <v>25</v>
      </c>
      <c r="J140" s="1">
        <f>Main_Data!J140</f>
        <v>96</v>
      </c>
      <c r="K140" s="1">
        <f>Main_Data!K140</f>
        <v>68</v>
      </c>
      <c r="L140" s="1" t="str">
        <f>Main_Data!L140</f>
        <v>Asia</v>
      </c>
      <c r="M140" s="1" t="str">
        <f>PROPER(TRIM(Main_Data!A140))</f>
        <v>Japan</v>
      </c>
      <c r="N140" s="1" t="str">
        <f>PROPER(TRIM(Main_Data!B140))</f>
        <v>East Asia</v>
      </c>
      <c r="O140" s="1" t="str" cm="1">
        <f t="array" ref="O140">_xlfn.IFS(F140&gt;=80,"Very High",F140&gt;=70,"High",F140&gt;=60,"Medium",TRUE,"Low")</f>
        <v>Medium</v>
      </c>
      <c r="P140" s="1" t="str" cm="1">
        <f t="array" ref="P140">_xlfn.IFS(D140&gt;=40000,"High Income",D140&gt;=15000,"Middle Income",TRUE,"Low Income")</f>
        <v>Middle Income</v>
      </c>
      <c r="Q140" s="1" t="str">
        <f t="shared" si="2"/>
        <v>Duplicate</v>
      </c>
    </row>
    <row r="141" spans="1:17" x14ac:dyDescent="0.25">
      <c r="A141" s="1" t="str">
        <f>Main_Data!A141</f>
        <v>South Africa</v>
      </c>
      <c r="B141" s="1" t="str">
        <f>Main_Data!B141</f>
        <v>Africa</v>
      </c>
      <c r="C141" s="1">
        <f>Main_Data!C141</f>
        <v>2022</v>
      </c>
      <c r="D141" s="1">
        <f>Main_Data!D141</f>
        <v>25722</v>
      </c>
      <c r="E141" s="1">
        <f>Main_Data!E141</f>
        <v>5.9</v>
      </c>
      <c r="F141" s="1">
        <f>Main_Data!F141</f>
        <v>82</v>
      </c>
      <c r="G141" s="1">
        <f>Main_Data!G141</f>
        <v>1399135794</v>
      </c>
      <c r="H141" s="1">
        <f>Main_Data!H141</f>
        <v>74</v>
      </c>
      <c r="I141" s="1">
        <f>Main_Data!I141</f>
        <v>7</v>
      </c>
      <c r="J141" s="1">
        <f>Main_Data!J141</f>
        <v>94</v>
      </c>
      <c r="K141" s="1">
        <f>Main_Data!K141</f>
        <v>31</v>
      </c>
      <c r="L141" s="1" t="str">
        <f>Main_Data!L141</f>
        <v>Africa</v>
      </c>
      <c r="M141" s="1" t="str">
        <f>PROPER(TRIM(Main_Data!A141))</f>
        <v>South Africa</v>
      </c>
      <c r="N141" s="1" t="str">
        <f>PROPER(TRIM(Main_Data!B141))</f>
        <v>Africa</v>
      </c>
      <c r="O141" s="1" t="str" cm="1">
        <f t="array" ref="O141">_xlfn.IFS(F141&gt;=80,"Very High",F141&gt;=70,"High",F141&gt;=60,"Medium",TRUE,"Low")</f>
        <v>Very High</v>
      </c>
      <c r="P141" s="1" t="str" cm="1">
        <f t="array" ref="P141">_xlfn.IFS(D141&gt;=40000,"High Income",D141&gt;=15000,"Middle Income",TRUE,"Low Income")</f>
        <v>Middle Income</v>
      </c>
      <c r="Q141" s="1" t="str">
        <f t="shared" si="2"/>
        <v>Duplicate</v>
      </c>
    </row>
    <row r="142" spans="1:17" x14ac:dyDescent="0.25">
      <c r="A142" s="1" t="str">
        <f>Main_Data!A142</f>
        <v>India</v>
      </c>
      <c r="B142" s="1" t="str">
        <f>Main_Data!B142</f>
        <v>South Asia</v>
      </c>
      <c r="C142" s="1">
        <f>Main_Data!C142</f>
        <v>2022</v>
      </c>
      <c r="D142" s="1">
        <f>Main_Data!D142</f>
        <v>11914</v>
      </c>
      <c r="E142" s="1">
        <f>Main_Data!E142</f>
        <v>17</v>
      </c>
      <c r="F142" s="1">
        <f>Main_Data!F142</f>
        <v>69</v>
      </c>
      <c r="G142" s="1">
        <f>Main_Data!G142</f>
        <v>1020220619</v>
      </c>
      <c r="H142" s="1">
        <f>Main_Data!H142</f>
        <v>74</v>
      </c>
      <c r="I142" s="1">
        <f>Main_Data!I142</f>
        <v>12.7</v>
      </c>
      <c r="J142" s="1">
        <f>Main_Data!J142</f>
        <v>94</v>
      </c>
      <c r="K142" s="1">
        <f>Main_Data!K142</f>
        <v>64</v>
      </c>
      <c r="L142" s="1" t="str">
        <f>Main_Data!L142</f>
        <v>Asia</v>
      </c>
      <c r="M142" s="1" t="str">
        <f>PROPER(TRIM(Main_Data!A142))</f>
        <v>India</v>
      </c>
      <c r="N142" s="1" t="str">
        <f>PROPER(TRIM(Main_Data!B142))</f>
        <v>South Asia</v>
      </c>
      <c r="O142" s="1" t="str" cm="1">
        <f t="array" ref="O142">_xlfn.IFS(F142&gt;=80,"Very High",F142&gt;=70,"High",F142&gt;=60,"Medium",TRUE,"Low")</f>
        <v>Medium</v>
      </c>
      <c r="P142" s="1" t="str" cm="1">
        <f t="array" ref="P142">_xlfn.IFS(D142&gt;=40000,"High Income",D142&gt;=15000,"Middle Income",TRUE,"Low Income")</f>
        <v>Low Income</v>
      </c>
      <c r="Q142" s="1" t="str">
        <f t="shared" si="2"/>
        <v>Duplicate</v>
      </c>
    </row>
    <row r="143" spans="1:17" x14ac:dyDescent="0.25">
      <c r="A143" s="1" t="str">
        <f>Main_Data!A143</f>
        <v>USA</v>
      </c>
      <c r="B143" s="1" t="str">
        <f>Main_Data!B143</f>
        <v>North America</v>
      </c>
      <c r="C143" s="1">
        <f>Main_Data!C143</f>
        <v>2020</v>
      </c>
      <c r="D143" s="1">
        <f>Main_Data!D143</f>
        <v>55057</v>
      </c>
      <c r="E143" s="1">
        <f>Main_Data!E143</f>
        <v>15.6</v>
      </c>
      <c r="F143" s="1">
        <f>Main_Data!F143</f>
        <v>72</v>
      </c>
      <c r="G143" s="1">
        <f>Main_Data!G143</f>
        <v>221324641</v>
      </c>
      <c r="H143" s="1">
        <f>Main_Data!H143</f>
        <v>59</v>
      </c>
      <c r="I143" s="1">
        <f>Main_Data!I143</f>
        <v>15.8</v>
      </c>
      <c r="J143" s="1">
        <f>Main_Data!J143</f>
        <v>86</v>
      </c>
      <c r="K143" s="1">
        <f>Main_Data!K143</f>
        <v>88</v>
      </c>
      <c r="L143" s="1" t="str">
        <f>Main_Data!L143</f>
        <v>North America</v>
      </c>
      <c r="M143" s="1" t="str">
        <f>PROPER(TRIM(Main_Data!A143))</f>
        <v>Usa</v>
      </c>
      <c r="N143" s="1" t="str">
        <f>PROPER(TRIM(Main_Data!B143))</f>
        <v>North America</v>
      </c>
      <c r="O143" s="1" t="str" cm="1">
        <f t="array" ref="O143">_xlfn.IFS(F143&gt;=80,"Very High",F143&gt;=70,"High",F143&gt;=60,"Medium",TRUE,"Low")</f>
        <v>High</v>
      </c>
      <c r="P143" s="1" t="str" cm="1">
        <f t="array" ref="P143">_xlfn.IFS(D143&gt;=40000,"High Income",D143&gt;=15000,"Middle Income",TRUE,"Low Income")</f>
        <v>High Income</v>
      </c>
      <c r="Q143" s="1" t="str">
        <f t="shared" si="2"/>
        <v>Duplicate</v>
      </c>
    </row>
    <row r="144" spans="1:17" x14ac:dyDescent="0.25">
      <c r="A144" s="1" t="str">
        <f>Main_Data!A144</f>
        <v>Germany</v>
      </c>
      <c r="B144" s="1" t="str">
        <f>Main_Data!B144</f>
        <v>Europe</v>
      </c>
      <c r="C144" s="1">
        <f>Main_Data!C144</f>
        <v>2022</v>
      </c>
      <c r="D144" s="1">
        <f>Main_Data!D144</f>
        <v>62703</v>
      </c>
      <c r="E144" s="1">
        <f>Main_Data!E144</f>
        <v>8.3000000000000007</v>
      </c>
      <c r="F144" s="1">
        <f>Main_Data!F144</f>
        <v>83</v>
      </c>
      <c r="G144" s="1">
        <f>Main_Data!G144</f>
        <v>10083916</v>
      </c>
      <c r="H144" s="1">
        <f>Main_Data!H144</f>
        <v>66</v>
      </c>
      <c r="I144" s="1">
        <f>Main_Data!I144</f>
        <v>9.5</v>
      </c>
      <c r="J144" s="1">
        <f>Main_Data!J144</f>
        <v>95</v>
      </c>
      <c r="K144" s="1">
        <f>Main_Data!K144</f>
        <v>57</v>
      </c>
      <c r="L144" s="1" t="str">
        <f>Main_Data!L144</f>
        <v>Europe</v>
      </c>
      <c r="M144" s="1" t="str">
        <f>PROPER(TRIM(Main_Data!A144))</f>
        <v>Germany</v>
      </c>
      <c r="N144" s="1" t="str">
        <f>PROPER(TRIM(Main_Data!B144))</f>
        <v>Europe</v>
      </c>
      <c r="O144" s="1" t="str" cm="1">
        <f t="array" ref="O144">_xlfn.IFS(F144&gt;=80,"Very High",F144&gt;=70,"High",F144&gt;=60,"Medium",TRUE,"Low")</f>
        <v>Very High</v>
      </c>
      <c r="P144" s="1" t="str" cm="1">
        <f t="array" ref="P144">_xlfn.IFS(D144&gt;=40000,"High Income",D144&gt;=15000,"Middle Income",TRUE,"Low Income")</f>
        <v>High Income</v>
      </c>
      <c r="Q144" s="1" t="str">
        <f t="shared" si="2"/>
        <v>Duplicate</v>
      </c>
    </row>
    <row r="145" spans="1:17" x14ac:dyDescent="0.25">
      <c r="A145" s="1" t="str">
        <f>Main_Data!A145</f>
        <v>Brazil</v>
      </c>
      <c r="B145" s="1" t="str">
        <f>Main_Data!B145</f>
        <v>South America</v>
      </c>
      <c r="C145" s="1">
        <f>Main_Data!C145</f>
        <v>2022</v>
      </c>
      <c r="D145" s="1">
        <f>Main_Data!D145</f>
        <v>56031</v>
      </c>
      <c r="E145" s="1">
        <f>Main_Data!E145</f>
        <v>7.6</v>
      </c>
      <c r="F145" s="1">
        <f>Main_Data!F145</f>
        <v>81</v>
      </c>
      <c r="G145" s="1">
        <f>Main_Data!G145</f>
        <v>652094772</v>
      </c>
      <c r="H145" s="1">
        <f>Main_Data!H145</f>
        <v>69</v>
      </c>
      <c r="I145" s="1">
        <f>Main_Data!I145</f>
        <v>22.2</v>
      </c>
      <c r="J145" s="1">
        <f>Main_Data!J145</f>
        <v>93</v>
      </c>
      <c r="K145" s="1">
        <f>Main_Data!K145</f>
        <v>85</v>
      </c>
      <c r="L145" s="1" t="str">
        <f>Main_Data!L145</f>
        <v>South America</v>
      </c>
      <c r="M145" s="1" t="str">
        <f>PROPER(TRIM(Main_Data!A145))</f>
        <v>Brazil</v>
      </c>
      <c r="N145" s="1" t="str">
        <f>PROPER(TRIM(Main_Data!B145))</f>
        <v>South America</v>
      </c>
      <c r="O145" s="1" t="str" cm="1">
        <f t="array" ref="O145">_xlfn.IFS(F145&gt;=80,"Very High",F145&gt;=70,"High",F145&gt;=60,"Medium",TRUE,"Low")</f>
        <v>Very High</v>
      </c>
      <c r="P145" s="1" t="str" cm="1">
        <f t="array" ref="P145">_xlfn.IFS(D145&gt;=40000,"High Income",D145&gt;=15000,"Middle Income",TRUE,"Low Income")</f>
        <v>High Income</v>
      </c>
      <c r="Q145" s="1" t="str">
        <f t="shared" si="2"/>
        <v>Duplicate</v>
      </c>
    </row>
    <row r="146" spans="1:17" x14ac:dyDescent="0.25">
      <c r="A146" s="1" t="str">
        <f>Main_Data!A146</f>
        <v>China</v>
      </c>
      <c r="B146" s="1" t="str">
        <f>Main_Data!B146</f>
        <v>East Asia</v>
      </c>
      <c r="C146" s="1">
        <f>Main_Data!C146</f>
        <v>2020</v>
      </c>
      <c r="D146" s="1">
        <f>Main_Data!D146</f>
        <v>25323</v>
      </c>
      <c r="E146" s="1">
        <f>Main_Data!E146</f>
        <v>11.6</v>
      </c>
      <c r="F146" s="1">
        <f>Main_Data!F146</f>
        <v>63</v>
      </c>
      <c r="G146" s="1">
        <f>Main_Data!G146</f>
        <v>645067425</v>
      </c>
      <c r="H146" s="1">
        <f>Main_Data!H146</f>
        <v>94</v>
      </c>
      <c r="I146" s="1">
        <f>Main_Data!I146</f>
        <v>16.8</v>
      </c>
      <c r="J146" s="1">
        <f>Main_Data!J146</f>
        <v>91</v>
      </c>
      <c r="K146" s="1">
        <f>Main_Data!K146</f>
        <v>62</v>
      </c>
      <c r="L146" s="1" t="str">
        <f>Main_Data!L146</f>
        <v>Asia</v>
      </c>
      <c r="M146" s="1" t="str">
        <f>PROPER(TRIM(Main_Data!A146))</f>
        <v>China</v>
      </c>
      <c r="N146" s="1" t="str">
        <f>PROPER(TRIM(Main_Data!B146))</f>
        <v>East Asia</v>
      </c>
      <c r="O146" s="1" t="str" cm="1">
        <f t="array" ref="O146">_xlfn.IFS(F146&gt;=80,"Very High",F146&gt;=70,"High",F146&gt;=60,"Medium",TRUE,"Low")</f>
        <v>Medium</v>
      </c>
      <c r="P146" s="1" t="str" cm="1">
        <f t="array" ref="P146">_xlfn.IFS(D146&gt;=40000,"High Income",D146&gt;=15000,"Middle Income",TRUE,"Low Income")</f>
        <v>Middle Income</v>
      </c>
      <c r="Q146" s="1" t="str">
        <f t="shared" si="2"/>
        <v>Duplicate</v>
      </c>
    </row>
    <row r="147" spans="1:17" x14ac:dyDescent="0.25">
      <c r="A147" s="1" t="str">
        <f>Main_Data!A147</f>
        <v>UK</v>
      </c>
      <c r="B147" s="1" t="str">
        <f>Main_Data!B147</f>
        <v>Europe</v>
      </c>
      <c r="C147" s="1">
        <f>Main_Data!C147</f>
        <v>2021</v>
      </c>
      <c r="D147" s="1">
        <f>Main_Data!D147</f>
        <v>41284</v>
      </c>
      <c r="E147" s="1">
        <f>Main_Data!E147</f>
        <v>13.5</v>
      </c>
      <c r="F147" s="1">
        <f>Main_Data!F147</f>
        <v>66</v>
      </c>
      <c r="G147" s="1">
        <f>Main_Data!G147</f>
        <v>755660317</v>
      </c>
      <c r="H147" s="1">
        <f>Main_Data!H147</f>
        <v>65</v>
      </c>
      <c r="I147" s="1">
        <f>Main_Data!I147</f>
        <v>19.100000000000001</v>
      </c>
      <c r="J147" s="1">
        <f>Main_Data!J147</f>
        <v>79</v>
      </c>
      <c r="K147" s="1">
        <f>Main_Data!K147</f>
        <v>83</v>
      </c>
      <c r="L147" s="1" t="str">
        <f>Main_Data!L147</f>
        <v>Europe</v>
      </c>
      <c r="M147" s="1" t="str">
        <f>PROPER(TRIM(Main_Data!A147))</f>
        <v>Uk</v>
      </c>
      <c r="N147" s="1" t="str">
        <f>PROPER(TRIM(Main_Data!B147))</f>
        <v>Europe</v>
      </c>
      <c r="O147" s="1" t="str" cm="1">
        <f t="array" ref="O147">_xlfn.IFS(F147&gt;=80,"Very High",F147&gt;=70,"High",F147&gt;=60,"Medium",TRUE,"Low")</f>
        <v>Medium</v>
      </c>
      <c r="P147" s="1" t="str" cm="1">
        <f t="array" ref="P147">_xlfn.IFS(D147&gt;=40000,"High Income",D147&gt;=15000,"Middle Income",TRUE,"Low Income")</f>
        <v>High Income</v>
      </c>
      <c r="Q147" s="1" t="str">
        <f t="shared" si="2"/>
        <v>Duplicate</v>
      </c>
    </row>
    <row r="148" spans="1:17" x14ac:dyDescent="0.25">
      <c r="A148" s="1" t="str">
        <f>Main_Data!A148</f>
        <v>Canada</v>
      </c>
      <c r="B148" s="1" t="str">
        <f>Main_Data!B148</f>
        <v>North America</v>
      </c>
      <c r="C148" s="1">
        <f>Main_Data!C148</f>
        <v>2021</v>
      </c>
      <c r="D148" s="1">
        <f>Main_Data!D148</f>
        <v>28148</v>
      </c>
      <c r="E148" s="1">
        <f>Main_Data!E148</f>
        <v>4.0999999999999996</v>
      </c>
      <c r="F148" s="1">
        <f>Main_Data!F148</f>
        <v>70</v>
      </c>
      <c r="G148" s="1">
        <f>Main_Data!G148</f>
        <v>108421953</v>
      </c>
      <c r="H148" s="1">
        <f>Main_Data!H148</f>
        <v>73</v>
      </c>
      <c r="I148" s="1">
        <f>Main_Data!I148</f>
        <v>20</v>
      </c>
      <c r="J148" s="1">
        <f>Main_Data!J148</f>
        <v>91</v>
      </c>
      <c r="K148" s="1">
        <f>Main_Data!K148</f>
        <v>77</v>
      </c>
      <c r="L148" s="1" t="str">
        <f>Main_Data!L148</f>
        <v>North America</v>
      </c>
      <c r="M148" s="1" t="str">
        <f>PROPER(TRIM(Main_Data!A148))</f>
        <v>Canada</v>
      </c>
      <c r="N148" s="1" t="str">
        <f>PROPER(TRIM(Main_Data!B148))</f>
        <v>North America</v>
      </c>
      <c r="O148" s="1" t="str" cm="1">
        <f t="array" ref="O148">_xlfn.IFS(F148&gt;=80,"Very High",F148&gt;=70,"High",F148&gt;=60,"Medium",TRUE,"Low")</f>
        <v>High</v>
      </c>
      <c r="P148" s="1" t="str" cm="1">
        <f t="array" ref="P148">_xlfn.IFS(D148&gt;=40000,"High Income",D148&gt;=15000,"Middle Income",TRUE,"Low Income")</f>
        <v>Middle Income</v>
      </c>
      <c r="Q148" s="1" t="str">
        <f t="shared" si="2"/>
        <v>Duplicate</v>
      </c>
    </row>
    <row r="149" spans="1:17" x14ac:dyDescent="0.25">
      <c r="A149" s="1" t="str">
        <f>Main_Data!A149</f>
        <v>Australia</v>
      </c>
      <c r="B149" s="1" t="str">
        <f>Main_Data!B149</f>
        <v>Oceania</v>
      </c>
      <c r="C149" s="1">
        <f>Main_Data!C149</f>
        <v>2021</v>
      </c>
      <c r="D149" s="1">
        <f>Main_Data!D149</f>
        <v>45232</v>
      </c>
      <c r="E149" s="1">
        <f>Main_Data!E149</f>
        <v>5.8</v>
      </c>
      <c r="F149" s="1">
        <f>Main_Data!F149</f>
        <v>81</v>
      </c>
      <c r="G149" s="1">
        <f>Main_Data!G149</f>
        <v>898601262</v>
      </c>
      <c r="H149" s="1">
        <f>Main_Data!H149</f>
        <v>92</v>
      </c>
      <c r="I149" s="1">
        <f>Main_Data!I149</f>
        <v>19.7</v>
      </c>
      <c r="J149" s="1">
        <f>Main_Data!J149</f>
        <v>81</v>
      </c>
      <c r="K149" s="1">
        <f>Main_Data!K149</f>
        <v>76</v>
      </c>
      <c r="L149" s="1" t="str">
        <f>Main_Data!L149</f>
        <v>Oceania</v>
      </c>
      <c r="M149" s="1" t="str">
        <f>PROPER(TRIM(Main_Data!A149))</f>
        <v>Australia</v>
      </c>
      <c r="N149" s="1" t="str">
        <f>PROPER(TRIM(Main_Data!B149))</f>
        <v>Oceania</v>
      </c>
      <c r="O149" s="1" t="str" cm="1">
        <f t="array" ref="O149">_xlfn.IFS(F149&gt;=80,"Very High",F149&gt;=70,"High",F149&gt;=60,"Medium",TRUE,"Low")</f>
        <v>Very High</v>
      </c>
      <c r="P149" s="1" t="str" cm="1">
        <f t="array" ref="P149">_xlfn.IFS(D149&gt;=40000,"High Income",D149&gt;=15000,"Middle Income",TRUE,"Low Income")</f>
        <v>High Income</v>
      </c>
      <c r="Q149" s="1" t="str">
        <f t="shared" si="2"/>
        <v>Duplicate</v>
      </c>
    </row>
    <row r="150" spans="1:17" x14ac:dyDescent="0.25">
      <c r="A150" s="1" t="str">
        <f>Main_Data!A150</f>
        <v>Japan</v>
      </c>
      <c r="B150" s="1" t="str">
        <f>Main_Data!B150</f>
        <v>East Asia</v>
      </c>
      <c r="C150" s="1">
        <f>Main_Data!C150</f>
        <v>2021</v>
      </c>
      <c r="D150" s="1">
        <f>Main_Data!D150</f>
        <v>26077</v>
      </c>
      <c r="E150" s="1">
        <f>Main_Data!E150</f>
        <v>15.2</v>
      </c>
      <c r="F150" s="1">
        <f>Main_Data!F150</f>
        <v>67</v>
      </c>
      <c r="G150" s="1">
        <f>Main_Data!G150</f>
        <v>329255553</v>
      </c>
      <c r="H150" s="1">
        <f>Main_Data!H150</f>
        <v>66</v>
      </c>
      <c r="I150" s="1">
        <f>Main_Data!I150</f>
        <v>6.2</v>
      </c>
      <c r="J150" s="1">
        <f>Main_Data!J150</f>
        <v>72</v>
      </c>
      <c r="K150" s="1">
        <f>Main_Data!K150</f>
        <v>90</v>
      </c>
      <c r="L150" s="1" t="str">
        <f>Main_Data!L150</f>
        <v>Asia</v>
      </c>
      <c r="M150" s="1" t="str">
        <f>PROPER(TRIM(Main_Data!A150))</f>
        <v>Japan</v>
      </c>
      <c r="N150" s="1" t="str">
        <f>PROPER(TRIM(Main_Data!B150))</f>
        <v>East Asia</v>
      </c>
      <c r="O150" s="1" t="str" cm="1">
        <f t="array" ref="O150">_xlfn.IFS(F150&gt;=80,"Very High",F150&gt;=70,"High",F150&gt;=60,"Medium",TRUE,"Low")</f>
        <v>Medium</v>
      </c>
      <c r="P150" s="1" t="str" cm="1">
        <f t="array" ref="P150">_xlfn.IFS(D150&gt;=40000,"High Income",D150&gt;=15000,"Middle Income",TRUE,"Low Income")</f>
        <v>Middle Income</v>
      </c>
      <c r="Q150" s="1" t="str">
        <f t="shared" si="2"/>
        <v>Duplicate</v>
      </c>
    </row>
    <row r="151" spans="1:17" x14ac:dyDescent="0.25">
      <c r="A151" s="1" t="str">
        <f>Main_Data!A151</f>
        <v>South Africa</v>
      </c>
      <c r="B151" s="1" t="str">
        <f>Main_Data!B151</f>
        <v>Africa</v>
      </c>
      <c r="C151" s="1">
        <f>Main_Data!C151</f>
        <v>2022</v>
      </c>
      <c r="D151" s="1">
        <f>Main_Data!D151</f>
        <v>2675</v>
      </c>
      <c r="E151" s="1">
        <f>Main_Data!E151</f>
        <v>11.3</v>
      </c>
      <c r="F151" s="1">
        <f>Main_Data!F151</f>
        <v>83</v>
      </c>
      <c r="G151" s="1">
        <f>Main_Data!G151</f>
        <v>730563524</v>
      </c>
      <c r="H151" s="1">
        <f>Main_Data!H151</f>
        <v>83</v>
      </c>
      <c r="I151" s="1">
        <f>Main_Data!I151</f>
        <v>6.2</v>
      </c>
      <c r="J151" s="1">
        <f>Main_Data!J151</f>
        <v>79</v>
      </c>
      <c r="K151" s="1">
        <f>Main_Data!K151</f>
        <v>48</v>
      </c>
      <c r="L151" s="1" t="str">
        <f>Main_Data!L151</f>
        <v>Africa</v>
      </c>
      <c r="M151" s="1" t="str">
        <f>PROPER(TRIM(Main_Data!A151))</f>
        <v>South Africa</v>
      </c>
      <c r="N151" s="1" t="str">
        <f>PROPER(TRIM(Main_Data!B151))</f>
        <v>Africa</v>
      </c>
      <c r="O151" s="1" t="str" cm="1">
        <f t="array" ref="O151">_xlfn.IFS(F151&gt;=80,"Very High",F151&gt;=70,"High",F151&gt;=60,"Medium",TRUE,"Low")</f>
        <v>Very High</v>
      </c>
      <c r="P151" s="1" t="str" cm="1">
        <f t="array" ref="P151">_xlfn.IFS(D151&gt;=40000,"High Income",D151&gt;=15000,"Middle Income",TRUE,"Low Income")</f>
        <v>Low Income</v>
      </c>
      <c r="Q151" s="1" t="str">
        <f t="shared" si="2"/>
        <v>Duplicate</v>
      </c>
    </row>
    <row r="152" spans="1:17" x14ac:dyDescent="0.25">
      <c r="A152" s="1" t="str">
        <f>Main_Data!A152</f>
        <v>India</v>
      </c>
      <c r="B152" s="1" t="str">
        <f>Main_Data!B152</f>
        <v>South Asia</v>
      </c>
      <c r="C152" s="1">
        <f>Main_Data!C152</f>
        <v>2021</v>
      </c>
      <c r="D152" s="1">
        <f>Main_Data!D152</f>
        <v>48345</v>
      </c>
      <c r="E152" s="1">
        <f>Main_Data!E152</f>
        <v>16.100000000000001</v>
      </c>
      <c r="F152" s="1">
        <f>Main_Data!F152</f>
        <v>85</v>
      </c>
      <c r="G152" s="1">
        <f>Main_Data!G152</f>
        <v>886428599</v>
      </c>
      <c r="H152" s="1">
        <f>Main_Data!H152</f>
        <v>69</v>
      </c>
      <c r="I152" s="1">
        <f>Main_Data!I152</f>
        <v>12.8</v>
      </c>
      <c r="J152" s="1">
        <f>Main_Data!J152</f>
        <v>83</v>
      </c>
      <c r="K152" s="1">
        <f>Main_Data!K152</f>
        <v>66</v>
      </c>
      <c r="L152" s="1" t="str">
        <f>Main_Data!L152</f>
        <v>Asia</v>
      </c>
      <c r="M152" s="1" t="str">
        <f>PROPER(TRIM(Main_Data!A152))</f>
        <v>India</v>
      </c>
      <c r="N152" s="1" t="str">
        <f>PROPER(TRIM(Main_Data!B152))</f>
        <v>South Asia</v>
      </c>
      <c r="O152" s="1" t="str" cm="1">
        <f t="array" ref="O152">_xlfn.IFS(F152&gt;=80,"Very High",F152&gt;=70,"High",F152&gt;=60,"Medium",TRUE,"Low")</f>
        <v>Very High</v>
      </c>
      <c r="P152" s="1" t="str" cm="1">
        <f t="array" ref="P152">_xlfn.IFS(D152&gt;=40000,"High Income",D152&gt;=15000,"Middle Income",TRUE,"Low Income")</f>
        <v>High Income</v>
      </c>
      <c r="Q152" s="1" t="str">
        <f t="shared" si="2"/>
        <v>Duplicate</v>
      </c>
    </row>
    <row r="153" spans="1:17" x14ac:dyDescent="0.25">
      <c r="A153" s="1" t="str">
        <f>Main_Data!A153</f>
        <v>USA</v>
      </c>
      <c r="B153" s="1" t="str">
        <f>Main_Data!B153</f>
        <v>North America</v>
      </c>
      <c r="C153" s="1">
        <f>Main_Data!C153</f>
        <v>2020</v>
      </c>
      <c r="D153" s="1">
        <f>Main_Data!D153</f>
        <v>57055</v>
      </c>
      <c r="E153" s="1">
        <f>Main_Data!E153</f>
        <v>12.4</v>
      </c>
      <c r="F153" s="1">
        <f>Main_Data!F153</f>
        <v>63</v>
      </c>
      <c r="G153" s="1">
        <f>Main_Data!G153</f>
        <v>825895517</v>
      </c>
      <c r="H153" s="1">
        <f>Main_Data!H153</f>
        <v>76</v>
      </c>
      <c r="I153" s="1">
        <f>Main_Data!I153</f>
        <v>20.2</v>
      </c>
      <c r="J153" s="1">
        <f>Main_Data!J153</f>
        <v>86</v>
      </c>
      <c r="K153" s="1">
        <f>Main_Data!K153</f>
        <v>65</v>
      </c>
      <c r="L153" s="1" t="str">
        <f>Main_Data!L153</f>
        <v>North America</v>
      </c>
      <c r="M153" s="1" t="str">
        <f>PROPER(TRIM(Main_Data!A153))</f>
        <v>Usa</v>
      </c>
      <c r="N153" s="1" t="str">
        <f>PROPER(TRIM(Main_Data!B153))</f>
        <v>North America</v>
      </c>
      <c r="O153" s="1" t="str" cm="1">
        <f t="array" ref="O153">_xlfn.IFS(F153&gt;=80,"Very High",F153&gt;=70,"High",F153&gt;=60,"Medium",TRUE,"Low")</f>
        <v>Medium</v>
      </c>
      <c r="P153" s="1" t="str" cm="1">
        <f t="array" ref="P153">_xlfn.IFS(D153&gt;=40000,"High Income",D153&gt;=15000,"Middle Income",TRUE,"Low Income")</f>
        <v>High Income</v>
      </c>
      <c r="Q153" s="1" t="str">
        <f t="shared" si="2"/>
        <v>Duplicate</v>
      </c>
    </row>
    <row r="154" spans="1:17" x14ac:dyDescent="0.25">
      <c r="A154" s="1" t="str">
        <f>Main_Data!A154</f>
        <v>Germany</v>
      </c>
      <c r="B154" s="1" t="str">
        <f>Main_Data!B154</f>
        <v>Europe</v>
      </c>
      <c r="C154" s="1">
        <f>Main_Data!C154</f>
        <v>2020</v>
      </c>
      <c r="D154" s="1">
        <f>Main_Data!D154</f>
        <v>10534</v>
      </c>
      <c r="E154" s="1">
        <f>Main_Data!E154</f>
        <v>13.7</v>
      </c>
      <c r="F154" s="1">
        <f>Main_Data!F154</f>
        <v>64</v>
      </c>
      <c r="G154" s="1">
        <f>Main_Data!G154</f>
        <v>1452520322</v>
      </c>
      <c r="H154" s="1">
        <f>Main_Data!H154</f>
        <v>61</v>
      </c>
      <c r="I154" s="1">
        <f>Main_Data!I154</f>
        <v>21.4</v>
      </c>
      <c r="J154" s="1">
        <f>Main_Data!J154</f>
        <v>76</v>
      </c>
      <c r="K154" s="1">
        <f>Main_Data!K154</f>
        <v>35</v>
      </c>
      <c r="L154" s="1" t="str">
        <f>Main_Data!L154</f>
        <v>Europe</v>
      </c>
      <c r="M154" s="1" t="str">
        <f>PROPER(TRIM(Main_Data!A154))</f>
        <v>Germany</v>
      </c>
      <c r="N154" s="1" t="str">
        <f>PROPER(TRIM(Main_Data!B154))</f>
        <v>Europe</v>
      </c>
      <c r="O154" s="1" t="str" cm="1">
        <f t="array" ref="O154">_xlfn.IFS(F154&gt;=80,"Very High",F154&gt;=70,"High",F154&gt;=60,"Medium",TRUE,"Low")</f>
        <v>Medium</v>
      </c>
      <c r="P154" s="1" t="str" cm="1">
        <f t="array" ref="P154">_xlfn.IFS(D154&gt;=40000,"High Income",D154&gt;=15000,"Middle Income",TRUE,"Low Income")</f>
        <v>Low Income</v>
      </c>
      <c r="Q154" s="1" t="str">
        <f t="shared" si="2"/>
        <v>Duplicate</v>
      </c>
    </row>
    <row r="155" spans="1:17" x14ac:dyDescent="0.25">
      <c r="A155" s="1" t="str">
        <f>Main_Data!A155</f>
        <v>Brazil</v>
      </c>
      <c r="B155" s="1" t="str">
        <f>Main_Data!B155</f>
        <v>South America</v>
      </c>
      <c r="C155" s="1">
        <f>Main_Data!C155</f>
        <v>2022</v>
      </c>
      <c r="D155" s="1">
        <f>Main_Data!D155</f>
        <v>17522</v>
      </c>
      <c r="E155" s="1">
        <f>Main_Data!E155</f>
        <v>9.3000000000000007</v>
      </c>
      <c r="F155" s="1">
        <f>Main_Data!F155</f>
        <v>76</v>
      </c>
      <c r="G155" s="1">
        <f>Main_Data!G155</f>
        <v>1130161606</v>
      </c>
      <c r="H155" s="1">
        <f>Main_Data!H155</f>
        <v>89</v>
      </c>
      <c r="I155" s="1">
        <f>Main_Data!I155</f>
        <v>10.3</v>
      </c>
      <c r="J155" s="1">
        <f>Main_Data!J155</f>
        <v>76</v>
      </c>
      <c r="K155" s="1">
        <f>Main_Data!K155</f>
        <v>68</v>
      </c>
      <c r="L155" s="1" t="str">
        <f>Main_Data!L155</f>
        <v>South America</v>
      </c>
      <c r="M155" s="1" t="str">
        <f>PROPER(TRIM(Main_Data!A155))</f>
        <v>Brazil</v>
      </c>
      <c r="N155" s="1" t="str">
        <f>PROPER(TRIM(Main_Data!B155))</f>
        <v>South America</v>
      </c>
      <c r="O155" s="1" t="str" cm="1">
        <f t="array" ref="O155">_xlfn.IFS(F155&gt;=80,"Very High",F155&gt;=70,"High",F155&gt;=60,"Medium",TRUE,"Low")</f>
        <v>High</v>
      </c>
      <c r="P155" s="1" t="str" cm="1">
        <f t="array" ref="P155">_xlfn.IFS(D155&gt;=40000,"High Income",D155&gt;=15000,"Middle Income",TRUE,"Low Income")</f>
        <v>Middle Income</v>
      </c>
      <c r="Q155" s="1" t="str">
        <f t="shared" si="2"/>
        <v>Duplicate</v>
      </c>
    </row>
    <row r="156" spans="1:17" x14ac:dyDescent="0.25">
      <c r="A156" s="1" t="str">
        <f>Main_Data!A156</f>
        <v>China</v>
      </c>
      <c r="B156" s="1" t="str">
        <f>Main_Data!B156</f>
        <v>East Asia</v>
      </c>
      <c r="C156" s="1">
        <f>Main_Data!C156</f>
        <v>2022</v>
      </c>
      <c r="D156" s="1">
        <f>Main_Data!D156</f>
        <v>56100</v>
      </c>
      <c r="E156" s="1">
        <f>Main_Data!E156</f>
        <v>12</v>
      </c>
      <c r="F156" s="1">
        <f>Main_Data!F156</f>
        <v>61</v>
      </c>
      <c r="G156" s="1">
        <f>Main_Data!G156</f>
        <v>1074972358</v>
      </c>
      <c r="H156" s="1">
        <f>Main_Data!H156</f>
        <v>64</v>
      </c>
      <c r="I156" s="1">
        <f>Main_Data!I156</f>
        <v>15.5</v>
      </c>
      <c r="J156" s="1">
        <f>Main_Data!J156</f>
        <v>71</v>
      </c>
      <c r="K156" s="1">
        <f>Main_Data!K156</f>
        <v>40</v>
      </c>
      <c r="L156" s="1" t="str">
        <f>Main_Data!L156</f>
        <v>Asia</v>
      </c>
      <c r="M156" s="1" t="str">
        <f>PROPER(TRIM(Main_Data!A156))</f>
        <v>China</v>
      </c>
      <c r="N156" s="1" t="str">
        <f>PROPER(TRIM(Main_Data!B156))</f>
        <v>East Asia</v>
      </c>
      <c r="O156" s="1" t="str" cm="1">
        <f t="array" ref="O156">_xlfn.IFS(F156&gt;=80,"Very High",F156&gt;=70,"High",F156&gt;=60,"Medium",TRUE,"Low")</f>
        <v>Medium</v>
      </c>
      <c r="P156" s="1" t="str" cm="1">
        <f t="array" ref="P156">_xlfn.IFS(D156&gt;=40000,"High Income",D156&gt;=15000,"Middle Income",TRUE,"Low Income")</f>
        <v>High Income</v>
      </c>
      <c r="Q156" s="1" t="str">
        <f t="shared" si="2"/>
        <v>Duplicate</v>
      </c>
    </row>
    <row r="157" spans="1:17" x14ac:dyDescent="0.25">
      <c r="A157" s="1" t="str">
        <f>Main_Data!A157</f>
        <v>UK</v>
      </c>
      <c r="B157" s="1" t="str">
        <f>Main_Data!B157</f>
        <v>Europe</v>
      </c>
      <c r="C157" s="1">
        <f>Main_Data!C157</f>
        <v>2022</v>
      </c>
      <c r="D157" s="1">
        <f>Main_Data!D157</f>
        <v>3956</v>
      </c>
      <c r="E157" s="1">
        <f>Main_Data!E157</f>
        <v>11.4</v>
      </c>
      <c r="F157" s="1">
        <f>Main_Data!F157</f>
        <v>73</v>
      </c>
      <c r="G157" s="1">
        <f>Main_Data!G157</f>
        <v>182949889</v>
      </c>
      <c r="H157" s="1">
        <f>Main_Data!H157</f>
        <v>75</v>
      </c>
      <c r="I157" s="1">
        <f>Main_Data!I157</f>
        <v>16.3</v>
      </c>
      <c r="J157" s="1">
        <f>Main_Data!J157</f>
        <v>94</v>
      </c>
      <c r="K157" s="1">
        <f>Main_Data!K157</f>
        <v>39</v>
      </c>
      <c r="L157" s="1" t="str">
        <f>Main_Data!L157</f>
        <v>Europe</v>
      </c>
      <c r="M157" s="1" t="str">
        <f>PROPER(TRIM(Main_Data!A157))</f>
        <v>Uk</v>
      </c>
      <c r="N157" s="1" t="str">
        <f>PROPER(TRIM(Main_Data!B157))</f>
        <v>Europe</v>
      </c>
      <c r="O157" s="1" t="str" cm="1">
        <f t="array" ref="O157">_xlfn.IFS(F157&gt;=80,"Very High",F157&gt;=70,"High",F157&gt;=60,"Medium",TRUE,"Low")</f>
        <v>High</v>
      </c>
      <c r="P157" s="1" t="str" cm="1">
        <f t="array" ref="P157">_xlfn.IFS(D157&gt;=40000,"High Income",D157&gt;=15000,"Middle Income",TRUE,"Low Income")</f>
        <v>Low Income</v>
      </c>
      <c r="Q157" s="1" t="str">
        <f t="shared" si="2"/>
        <v>Duplicate</v>
      </c>
    </row>
    <row r="158" spans="1:17" x14ac:dyDescent="0.25">
      <c r="A158" s="1" t="str">
        <f>Main_Data!A158</f>
        <v>Canada</v>
      </c>
      <c r="B158" s="1" t="str">
        <f>Main_Data!B158</f>
        <v>North America</v>
      </c>
      <c r="C158" s="1">
        <f>Main_Data!C158</f>
        <v>2020</v>
      </c>
      <c r="D158" s="1">
        <f>Main_Data!D158</f>
        <v>35456</v>
      </c>
      <c r="E158" s="1">
        <f>Main_Data!E158</f>
        <v>15.2</v>
      </c>
      <c r="F158" s="1">
        <f>Main_Data!F158</f>
        <v>82</v>
      </c>
      <c r="G158" s="1">
        <f>Main_Data!G158</f>
        <v>692897189</v>
      </c>
      <c r="H158" s="1">
        <f>Main_Data!H158</f>
        <v>61</v>
      </c>
      <c r="I158" s="1">
        <f>Main_Data!I158</f>
        <v>3.6</v>
      </c>
      <c r="J158" s="1">
        <f>Main_Data!J158</f>
        <v>91</v>
      </c>
      <c r="K158" s="1">
        <f>Main_Data!K158</f>
        <v>37</v>
      </c>
      <c r="L158" s="1" t="str">
        <f>Main_Data!L158</f>
        <v>North America</v>
      </c>
      <c r="M158" s="1" t="str">
        <f>PROPER(TRIM(Main_Data!A158))</f>
        <v>Canada</v>
      </c>
      <c r="N158" s="1" t="str">
        <f>PROPER(TRIM(Main_Data!B158))</f>
        <v>North America</v>
      </c>
      <c r="O158" s="1" t="str" cm="1">
        <f t="array" ref="O158">_xlfn.IFS(F158&gt;=80,"Very High",F158&gt;=70,"High",F158&gt;=60,"Medium",TRUE,"Low")</f>
        <v>Very High</v>
      </c>
      <c r="P158" s="1" t="str" cm="1">
        <f t="array" ref="P158">_xlfn.IFS(D158&gt;=40000,"High Income",D158&gt;=15000,"Middle Income",TRUE,"Low Income")</f>
        <v>Middle Income</v>
      </c>
      <c r="Q158" s="1" t="str">
        <f t="shared" si="2"/>
        <v>Duplicate</v>
      </c>
    </row>
    <row r="159" spans="1:17" x14ac:dyDescent="0.25">
      <c r="A159" s="1" t="str">
        <f>Main_Data!A159</f>
        <v>Australia</v>
      </c>
      <c r="B159" s="1" t="str">
        <f>Main_Data!B159</f>
        <v>Oceania</v>
      </c>
      <c r="C159" s="1">
        <f>Main_Data!C159</f>
        <v>2021</v>
      </c>
      <c r="D159" s="1">
        <f>Main_Data!D159</f>
        <v>15072</v>
      </c>
      <c r="E159" s="1">
        <f>Main_Data!E159</f>
        <v>16.899999999999999</v>
      </c>
      <c r="F159" s="1">
        <f>Main_Data!F159</f>
        <v>83</v>
      </c>
      <c r="G159" s="1">
        <f>Main_Data!G159</f>
        <v>1052294506</v>
      </c>
      <c r="H159" s="1">
        <f>Main_Data!H159</f>
        <v>90</v>
      </c>
      <c r="I159" s="1">
        <f>Main_Data!I159</f>
        <v>2.2000000000000002</v>
      </c>
      <c r="J159" s="1">
        <f>Main_Data!J159</f>
        <v>76</v>
      </c>
      <c r="K159" s="1">
        <f>Main_Data!K159</f>
        <v>79</v>
      </c>
      <c r="L159" s="1" t="str">
        <f>Main_Data!L159</f>
        <v>Oceania</v>
      </c>
      <c r="M159" s="1" t="str">
        <f>PROPER(TRIM(Main_Data!A159))</f>
        <v>Australia</v>
      </c>
      <c r="N159" s="1" t="str">
        <f>PROPER(TRIM(Main_Data!B159))</f>
        <v>Oceania</v>
      </c>
      <c r="O159" s="1" t="str" cm="1">
        <f t="array" ref="O159">_xlfn.IFS(F159&gt;=80,"Very High",F159&gt;=70,"High",F159&gt;=60,"Medium",TRUE,"Low")</f>
        <v>Very High</v>
      </c>
      <c r="P159" s="1" t="str" cm="1">
        <f t="array" ref="P159">_xlfn.IFS(D159&gt;=40000,"High Income",D159&gt;=15000,"Middle Income",TRUE,"Low Income")</f>
        <v>Middle Income</v>
      </c>
      <c r="Q159" s="1" t="str">
        <f t="shared" si="2"/>
        <v>Duplicate</v>
      </c>
    </row>
    <row r="160" spans="1:17" x14ac:dyDescent="0.25">
      <c r="A160" s="1" t="str">
        <f>Main_Data!A160</f>
        <v>Japan</v>
      </c>
      <c r="B160" s="1" t="str">
        <f>Main_Data!B160</f>
        <v>East Asia</v>
      </c>
      <c r="C160" s="1">
        <f>Main_Data!C160</f>
        <v>2020</v>
      </c>
      <c r="D160" s="1">
        <f>Main_Data!D160</f>
        <v>40722</v>
      </c>
      <c r="E160" s="1">
        <f>Main_Data!E160</f>
        <v>7.3</v>
      </c>
      <c r="F160" s="1">
        <f>Main_Data!F160</f>
        <v>75</v>
      </c>
      <c r="G160" s="1">
        <f>Main_Data!G160</f>
        <v>469191272</v>
      </c>
      <c r="H160" s="1">
        <f>Main_Data!H160</f>
        <v>51</v>
      </c>
      <c r="I160" s="1">
        <f>Main_Data!I160</f>
        <v>22</v>
      </c>
      <c r="J160" s="1">
        <f>Main_Data!J160</f>
        <v>86</v>
      </c>
      <c r="K160" s="1">
        <f>Main_Data!K160</f>
        <v>42</v>
      </c>
      <c r="L160" s="1" t="str">
        <f>Main_Data!L160</f>
        <v>Asia</v>
      </c>
      <c r="M160" s="1" t="str">
        <f>PROPER(TRIM(Main_Data!A160))</f>
        <v>Japan</v>
      </c>
      <c r="N160" s="1" t="str">
        <f>PROPER(TRIM(Main_Data!B160))</f>
        <v>East Asia</v>
      </c>
      <c r="O160" s="1" t="str" cm="1">
        <f t="array" ref="O160">_xlfn.IFS(F160&gt;=80,"Very High",F160&gt;=70,"High",F160&gt;=60,"Medium",TRUE,"Low")</f>
        <v>High</v>
      </c>
      <c r="P160" s="1" t="str" cm="1">
        <f t="array" ref="P160">_xlfn.IFS(D160&gt;=40000,"High Income",D160&gt;=15000,"Middle Income",TRUE,"Low Income")</f>
        <v>High Income</v>
      </c>
      <c r="Q160" s="1" t="str">
        <f t="shared" si="2"/>
        <v>Duplicate</v>
      </c>
    </row>
    <row r="161" spans="1:17" x14ac:dyDescent="0.25">
      <c r="A161" s="1" t="str">
        <f>Main_Data!A161</f>
        <v>South Africa</v>
      </c>
      <c r="B161" s="1" t="str">
        <f>Main_Data!B161</f>
        <v>Africa</v>
      </c>
      <c r="C161" s="1">
        <f>Main_Data!C161</f>
        <v>2020</v>
      </c>
      <c r="D161" s="1">
        <f>Main_Data!D161</f>
        <v>54920</v>
      </c>
      <c r="E161" s="1">
        <f>Main_Data!E161</f>
        <v>16.399999999999999</v>
      </c>
      <c r="F161" s="1">
        <f>Main_Data!F161</f>
        <v>75</v>
      </c>
      <c r="G161" s="1">
        <f>Main_Data!G161</f>
        <v>1286446927</v>
      </c>
      <c r="H161" s="1">
        <f>Main_Data!H161</f>
        <v>72</v>
      </c>
      <c r="I161" s="1">
        <f>Main_Data!I161</f>
        <v>10.4</v>
      </c>
      <c r="J161" s="1">
        <f>Main_Data!J161</f>
        <v>95</v>
      </c>
      <c r="K161" s="1">
        <f>Main_Data!K161</f>
        <v>83</v>
      </c>
      <c r="L161" s="1" t="str">
        <f>Main_Data!L161</f>
        <v>Africa</v>
      </c>
      <c r="M161" s="1" t="str">
        <f>PROPER(TRIM(Main_Data!A161))</f>
        <v>South Africa</v>
      </c>
      <c r="N161" s="1" t="str">
        <f>PROPER(TRIM(Main_Data!B161))</f>
        <v>Africa</v>
      </c>
      <c r="O161" s="1" t="str" cm="1">
        <f t="array" ref="O161">_xlfn.IFS(F161&gt;=80,"Very High",F161&gt;=70,"High",F161&gt;=60,"Medium",TRUE,"Low")</f>
        <v>High</v>
      </c>
      <c r="P161" s="1" t="str" cm="1">
        <f t="array" ref="P161">_xlfn.IFS(D161&gt;=40000,"High Income",D161&gt;=15000,"Middle Income",TRUE,"Low Income")</f>
        <v>High Income</v>
      </c>
      <c r="Q161" s="1" t="str">
        <f t="shared" si="2"/>
        <v>Duplicate</v>
      </c>
    </row>
    <row r="162" spans="1:17" x14ac:dyDescent="0.25">
      <c r="A162" s="1" t="str">
        <f>Main_Data!A162</f>
        <v>India</v>
      </c>
      <c r="B162" s="1" t="str">
        <f>Main_Data!B162</f>
        <v>South Asia</v>
      </c>
      <c r="C162" s="1">
        <f>Main_Data!C162</f>
        <v>2020</v>
      </c>
      <c r="D162" s="1">
        <f>Main_Data!D162</f>
        <v>31732</v>
      </c>
      <c r="E162" s="1">
        <f>Main_Data!E162</f>
        <v>10.9</v>
      </c>
      <c r="F162" s="1">
        <f>Main_Data!F162</f>
        <v>62</v>
      </c>
      <c r="G162" s="1">
        <f>Main_Data!G162</f>
        <v>338686805</v>
      </c>
      <c r="H162" s="1">
        <f>Main_Data!H162</f>
        <v>73</v>
      </c>
      <c r="I162" s="1">
        <f>Main_Data!I162</f>
        <v>4</v>
      </c>
      <c r="J162" s="1">
        <f>Main_Data!J162</f>
        <v>94</v>
      </c>
      <c r="K162" s="1">
        <f>Main_Data!K162</f>
        <v>55</v>
      </c>
      <c r="L162" s="1" t="str">
        <f>Main_Data!L162</f>
        <v>Asia</v>
      </c>
      <c r="M162" s="1" t="str">
        <f>PROPER(TRIM(Main_Data!A162))</f>
        <v>India</v>
      </c>
      <c r="N162" s="1" t="str">
        <f>PROPER(TRIM(Main_Data!B162))</f>
        <v>South Asia</v>
      </c>
      <c r="O162" s="1" t="str" cm="1">
        <f t="array" ref="O162">_xlfn.IFS(F162&gt;=80,"Very High",F162&gt;=70,"High",F162&gt;=60,"Medium",TRUE,"Low")</f>
        <v>Medium</v>
      </c>
      <c r="P162" s="1" t="str" cm="1">
        <f t="array" ref="P162">_xlfn.IFS(D162&gt;=40000,"High Income",D162&gt;=15000,"Middle Income",TRUE,"Low Income")</f>
        <v>Middle Income</v>
      </c>
      <c r="Q162" s="1" t="str">
        <f t="shared" si="2"/>
        <v>Duplicate</v>
      </c>
    </row>
    <row r="163" spans="1:17" x14ac:dyDescent="0.25">
      <c r="A163" s="1" t="str">
        <f>Main_Data!A163</f>
        <v>USA</v>
      </c>
      <c r="B163" s="1" t="str">
        <f>Main_Data!B163</f>
        <v>North America</v>
      </c>
      <c r="C163" s="1">
        <f>Main_Data!C163</f>
        <v>2021</v>
      </c>
      <c r="D163" s="1">
        <f>Main_Data!D163</f>
        <v>55853</v>
      </c>
      <c r="E163" s="1">
        <f>Main_Data!E163</f>
        <v>10.7</v>
      </c>
      <c r="F163" s="1">
        <f>Main_Data!F163</f>
        <v>65</v>
      </c>
      <c r="G163" s="1">
        <f>Main_Data!G163</f>
        <v>788953313</v>
      </c>
      <c r="H163" s="1">
        <f>Main_Data!H163</f>
        <v>64</v>
      </c>
      <c r="I163" s="1">
        <f>Main_Data!I163</f>
        <v>20.100000000000001</v>
      </c>
      <c r="J163" s="1">
        <f>Main_Data!J163</f>
        <v>70</v>
      </c>
      <c r="K163" s="1">
        <f>Main_Data!K163</f>
        <v>71</v>
      </c>
      <c r="L163" s="1" t="str">
        <f>Main_Data!L163</f>
        <v>North America</v>
      </c>
      <c r="M163" s="1" t="str">
        <f>PROPER(TRIM(Main_Data!A163))</f>
        <v>Usa</v>
      </c>
      <c r="N163" s="1" t="str">
        <f>PROPER(TRIM(Main_Data!B163))</f>
        <v>North America</v>
      </c>
      <c r="O163" s="1" t="str" cm="1">
        <f t="array" ref="O163">_xlfn.IFS(F163&gt;=80,"Very High",F163&gt;=70,"High",F163&gt;=60,"Medium",TRUE,"Low")</f>
        <v>Medium</v>
      </c>
      <c r="P163" s="1" t="str" cm="1">
        <f t="array" ref="P163">_xlfn.IFS(D163&gt;=40000,"High Income",D163&gt;=15000,"Middle Income",TRUE,"Low Income")</f>
        <v>High Income</v>
      </c>
      <c r="Q163" s="1" t="str">
        <f t="shared" si="2"/>
        <v>Duplicate</v>
      </c>
    </row>
    <row r="164" spans="1:17" x14ac:dyDescent="0.25">
      <c r="A164" s="1" t="str">
        <f>Main_Data!A164</f>
        <v>Germany</v>
      </c>
      <c r="B164" s="1" t="str">
        <f>Main_Data!B164</f>
        <v>Europe</v>
      </c>
      <c r="C164" s="1">
        <f>Main_Data!C164</f>
        <v>2020</v>
      </c>
      <c r="D164" s="1">
        <f>Main_Data!D164</f>
        <v>62631</v>
      </c>
      <c r="E164" s="1">
        <f>Main_Data!E164</f>
        <v>3.4</v>
      </c>
      <c r="F164" s="1">
        <f>Main_Data!F164</f>
        <v>74</v>
      </c>
      <c r="G164" s="1">
        <f>Main_Data!G164</f>
        <v>845115978</v>
      </c>
      <c r="H164" s="1">
        <f>Main_Data!H164</f>
        <v>65</v>
      </c>
      <c r="I164" s="1">
        <f>Main_Data!I164</f>
        <v>20.5</v>
      </c>
      <c r="J164" s="1">
        <f>Main_Data!J164</f>
        <v>84</v>
      </c>
      <c r="K164" s="1">
        <f>Main_Data!K164</f>
        <v>82</v>
      </c>
      <c r="L164" s="1" t="str">
        <f>Main_Data!L164</f>
        <v>Europe</v>
      </c>
      <c r="M164" s="1" t="str">
        <f>PROPER(TRIM(Main_Data!A164))</f>
        <v>Germany</v>
      </c>
      <c r="N164" s="1" t="str">
        <f>PROPER(TRIM(Main_Data!B164))</f>
        <v>Europe</v>
      </c>
      <c r="O164" s="1" t="str" cm="1">
        <f t="array" ref="O164">_xlfn.IFS(F164&gt;=80,"Very High",F164&gt;=70,"High",F164&gt;=60,"Medium",TRUE,"Low")</f>
        <v>High</v>
      </c>
      <c r="P164" s="1" t="str" cm="1">
        <f t="array" ref="P164">_xlfn.IFS(D164&gt;=40000,"High Income",D164&gt;=15000,"Middle Income",TRUE,"Low Income")</f>
        <v>High Income</v>
      </c>
      <c r="Q164" s="1" t="str">
        <f t="shared" si="2"/>
        <v>Duplicate</v>
      </c>
    </row>
    <row r="165" spans="1:17" x14ac:dyDescent="0.25">
      <c r="A165" s="1" t="str">
        <f>Main_Data!A165</f>
        <v>Brazil</v>
      </c>
      <c r="B165" s="1" t="str">
        <f>Main_Data!B165</f>
        <v>South America</v>
      </c>
      <c r="C165" s="1">
        <f>Main_Data!C165</f>
        <v>2020</v>
      </c>
      <c r="D165" s="1">
        <f>Main_Data!D165</f>
        <v>49753</v>
      </c>
      <c r="E165" s="1">
        <f>Main_Data!E165</f>
        <v>8</v>
      </c>
      <c r="F165" s="1">
        <f>Main_Data!F165</f>
        <v>69</v>
      </c>
      <c r="G165" s="1">
        <f>Main_Data!G165</f>
        <v>912188017</v>
      </c>
      <c r="H165" s="1">
        <f>Main_Data!H165</f>
        <v>78</v>
      </c>
      <c r="I165" s="1">
        <f>Main_Data!I165</f>
        <v>10.1</v>
      </c>
      <c r="J165" s="1">
        <f>Main_Data!J165</f>
        <v>91</v>
      </c>
      <c r="K165" s="1">
        <f>Main_Data!K165</f>
        <v>59</v>
      </c>
      <c r="L165" s="1" t="str">
        <f>Main_Data!L165</f>
        <v>South America</v>
      </c>
      <c r="M165" s="1" t="str">
        <f>PROPER(TRIM(Main_Data!A165))</f>
        <v>Brazil</v>
      </c>
      <c r="N165" s="1" t="str">
        <f>PROPER(TRIM(Main_Data!B165))</f>
        <v>South America</v>
      </c>
      <c r="O165" s="1" t="str" cm="1">
        <f t="array" ref="O165">_xlfn.IFS(F165&gt;=80,"Very High",F165&gt;=70,"High",F165&gt;=60,"Medium",TRUE,"Low")</f>
        <v>Medium</v>
      </c>
      <c r="P165" s="1" t="str" cm="1">
        <f t="array" ref="P165">_xlfn.IFS(D165&gt;=40000,"High Income",D165&gt;=15000,"Middle Income",TRUE,"Low Income")</f>
        <v>High Income</v>
      </c>
      <c r="Q165" s="1" t="str">
        <f t="shared" si="2"/>
        <v>Duplicate</v>
      </c>
    </row>
    <row r="166" spans="1:17" x14ac:dyDescent="0.25">
      <c r="A166" s="1" t="str">
        <f>Main_Data!A166</f>
        <v>China</v>
      </c>
      <c r="B166" s="1" t="str">
        <f>Main_Data!B166</f>
        <v>East Asia</v>
      </c>
      <c r="C166" s="1">
        <f>Main_Data!C166</f>
        <v>2022</v>
      </c>
      <c r="D166" s="1">
        <f>Main_Data!D166</f>
        <v>57942</v>
      </c>
      <c r="E166" s="1">
        <f>Main_Data!E166</f>
        <v>15.8</v>
      </c>
      <c r="F166" s="1">
        <f>Main_Data!F166</f>
        <v>74</v>
      </c>
      <c r="G166" s="1">
        <f>Main_Data!G166</f>
        <v>990445706</v>
      </c>
      <c r="H166" s="1">
        <f>Main_Data!H166</f>
        <v>80</v>
      </c>
      <c r="I166" s="1">
        <f>Main_Data!I166</f>
        <v>12.4</v>
      </c>
      <c r="J166" s="1">
        <f>Main_Data!J166</f>
        <v>99</v>
      </c>
      <c r="K166" s="1">
        <f>Main_Data!K166</f>
        <v>54</v>
      </c>
      <c r="L166" s="1" t="str">
        <f>Main_Data!L166</f>
        <v>Asia</v>
      </c>
      <c r="M166" s="1" t="str">
        <f>PROPER(TRIM(Main_Data!A166))</f>
        <v>China</v>
      </c>
      <c r="N166" s="1" t="str">
        <f>PROPER(TRIM(Main_Data!B166))</f>
        <v>East Asia</v>
      </c>
      <c r="O166" s="1" t="str" cm="1">
        <f t="array" ref="O166">_xlfn.IFS(F166&gt;=80,"Very High",F166&gt;=70,"High",F166&gt;=60,"Medium",TRUE,"Low")</f>
        <v>High</v>
      </c>
      <c r="P166" s="1" t="str" cm="1">
        <f t="array" ref="P166">_xlfn.IFS(D166&gt;=40000,"High Income",D166&gt;=15000,"Middle Income",TRUE,"Low Income")</f>
        <v>High Income</v>
      </c>
      <c r="Q166" s="1" t="str">
        <f t="shared" si="2"/>
        <v>Duplicate</v>
      </c>
    </row>
    <row r="167" spans="1:17" x14ac:dyDescent="0.25">
      <c r="A167" s="1" t="str">
        <f>Main_Data!A167</f>
        <v>UK</v>
      </c>
      <c r="B167" s="1" t="str">
        <f>Main_Data!B167</f>
        <v>Europe</v>
      </c>
      <c r="C167" s="1">
        <f>Main_Data!C167</f>
        <v>2022</v>
      </c>
      <c r="D167" s="1">
        <f>Main_Data!D167</f>
        <v>43245</v>
      </c>
      <c r="E167" s="1">
        <f>Main_Data!E167</f>
        <v>11.3</v>
      </c>
      <c r="F167" s="1">
        <f>Main_Data!F167</f>
        <v>61</v>
      </c>
      <c r="G167" s="1">
        <f>Main_Data!G167</f>
        <v>1412620642</v>
      </c>
      <c r="H167" s="1">
        <f>Main_Data!H167</f>
        <v>51</v>
      </c>
      <c r="I167" s="1">
        <f>Main_Data!I167</f>
        <v>24.3</v>
      </c>
      <c r="J167" s="1">
        <f>Main_Data!J167</f>
        <v>97</v>
      </c>
      <c r="K167" s="1">
        <f>Main_Data!K167</f>
        <v>49</v>
      </c>
      <c r="L167" s="1" t="str">
        <f>Main_Data!L167</f>
        <v>Europe</v>
      </c>
      <c r="M167" s="1" t="str">
        <f>PROPER(TRIM(Main_Data!A167))</f>
        <v>Uk</v>
      </c>
      <c r="N167" s="1" t="str">
        <f>PROPER(TRIM(Main_Data!B167))</f>
        <v>Europe</v>
      </c>
      <c r="O167" s="1" t="str" cm="1">
        <f t="array" ref="O167">_xlfn.IFS(F167&gt;=80,"Very High",F167&gt;=70,"High",F167&gt;=60,"Medium",TRUE,"Low")</f>
        <v>Medium</v>
      </c>
      <c r="P167" s="1" t="str" cm="1">
        <f t="array" ref="P167">_xlfn.IFS(D167&gt;=40000,"High Income",D167&gt;=15000,"Middle Income",TRUE,"Low Income")</f>
        <v>High Income</v>
      </c>
      <c r="Q167" s="1" t="str">
        <f t="shared" si="2"/>
        <v>Duplicate</v>
      </c>
    </row>
    <row r="168" spans="1:17" x14ac:dyDescent="0.25">
      <c r="A168" s="1" t="str">
        <f>Main_Data!A168</f>
        <v>Canada</v>
      </c>
      <c r="B168" s="1" t="str">
        <f>Main_Data!B168</f>
        <v>North America</v>
      </c>
      <c r="C168" s="1">
        <f>Main_Data!C168</f>
        <v>2020</v>
      </c>
      <c r="D168" s="1">
        <f>Main_Data!D168</f>
        <v>63160</v>
      </c>
      <c r="E168" s="1">
        <f>Main_Data!E168</f>
        <v>12.3</v>
      </c>
      <c r="F168" s="1">
        <f>Main_Data!F168</f>
        <v>83</v>
      </c>
      <c r="G168" s="1">
        <f>Main_Data!G168</f>
        <v>1020747967</v>
      </c>
      <c r="H168" s="1">
        <f>Main_Data!H168</f>
        <v>63</v>
      </c>
      <c r="I168" s="1">
        <f>Main_Data!I168</f>
        <v>10.3</v>
      </c>
      <c r="J168" s="1">
        <f>Main_Data!J168</f>
        <v>79</v>
      </c>
      <c r="K168" s="1">
        <f>Main_Data!K168</f>
        <v>66</v>
      </c>
      <c r="L168" s="1" t="str">
        <f>Main_Data!L168</f>
        <v>North America</v>
      </c>
      <c r="M168" s="1" t="str">
        <f>PROPER(TRIM(Main_Data!A168))</f>
        <v>Canada</v>
      </c>
      <c r="N168" s="1" t="str">
        <f>PROPER(TRIM(Main_Data!B168))</f>
        <v>North America</v>
      </c>
      <c r="O168" s="1" t="str" cm="1">
        <f t="array" ref="O168">_xlfn.IFS(F168&gt;=80,"Very High",F168&gt;=70,"High",F168&gt;=60,"Medium",TRUE,"Low")</f>
        <v>Very High</v>
      </c>
      <c r="P168" s="1" t="str" cm="1">
        <f t="array" ref="P168">_xlfn.IFS(D168&gt;=40000,"High Income",D168&gt;=15000,"Middle Income",TRUE,"Low Income")</f>
        <v>High Income</v>
      </c>
      <c r="Q168" s="1" t="str">
        <f t="shared" si="2"/>
        <v>Duplicate</v>
      </c>
    </row>
    <row r="169" spans="1:17" x14ac:dyDescent="0.25">
      <c r="A169" s="1" t="str">
        <f>Main_Data!A169</f>
        <v>Australia</v>
      </c>
      <c r="B169" s="1" t="str">
        <f>Main_Data!B169</f>
        <v>Oceania</v>
      </c>
      <c r="C169" s="1">
        <f>Main_Data!C169</f>
        <v>2022</v>
      </c>
      <c r="D169" s="1">
        <f>Main_Data!D169</f>
        <v>66907</v>
      </c>
      <c r="E169" s="1">
        <f>Main_Data!E169</f>
        <v>10</v>
      </c>
      <c r="F169" s="1">
        <f>Main_Data!F169</f>
        <v>61</v>
      </c>
      <c r="G169" s="1">
        <f>Main_Data!G169</f>
        <v>971814165</v>
      </c>
      <c r="H169" s="1">
        <f>Main_Data!H169</f>
        <v>60</v>
      </c>
      <c r="I169" s="1">
        <f>Main_Data!I169</f>
        <v>10.7</v>
      </c>
      <c r="J169" s="1">
        <f>Main_Data!J169</f>
        <v>88</v>
      </c>
      <c r="K169" s="1">
        <f>Main_Data!K169</f>
        <v>46</v>
      </c>
      <c r="L169" s="1" t="str">
        <f>Main_Data!L169</f>
        <v>Oceania</v>
      </c>
      <c r="M169" s="1" t="str">
        <f>PROPER(TRIM(Main_Data!A169))</f>
        <v>Australia</v>
      </c>
      <c r="N169" s="1" t="str">
        <f>PROPER(TRIM(Main_Data!B169))</f>
        <v>Oceania</v>
      </c>
      <c r="O169" s="1" t="str" cm="1">
        <f t="array" ref="O169">_xlfn.IFS(F169&gt;=80,"Very High",F169&gt;=70,"High",F169&gt;=60,"Medium",TRUE,"Low")</f>
        <v>Medium</v>
      </c>
      <c r="P169" s="1" t="str" cm="1">
        <f t="array" ref="P169">_xlfn.IFS(D169&gt;=40000,"High Income",D169&gt;=15000,"Middle Income",TRUE,"Low Income")</f>
        <v>High Income</v>
      </c>
      <c r="Q169" s="1" t="str">
        <f t="shared" si="2"/>
        <v>Duplicate</v>
      </c>
    </row>
    <row r="170" spans="1:17" x14ac:dyDescent="0.25">
      <c r="A170" s="1" t="str">
        <f>Main_Data!A170</f>
        <v>Japan</v>
      </c>
      <c r="B170" s="1" t="str">
        <f>Main_Data!B170</f>
        <v>East Asia</v>
      </c>
      <c r="C170" s="1">
        <f>Main_Data!C170</f>
        <v>2022</v>
      </c>
      <c r="D170" s="1">
        <f>Main_Data!D170</f>
        <v>34182</v>
      </c>
      <c r="E170" s="1">
        <f>Main_Data!E170</f>
        <v>5.3</v>
      </c>
      <c r="F170" s="1">
        <f>Main_Data!F170</f>
        <v>79</v>
      </c>
      <c r="G170" s="1">
        <f>Main_Data!G170</f>
        <v>376416404</v>
      </c>
      <c r="H170" s="1">
        <f>Main_Data!H170</f>
        <v>61</v>
      </c>
      <c r="I170" s="1">
        <f>Main_Data!I170</f>
        <v>8.6999999999999993</v>
      </c>
      <c r="J170" s="1">
        <f>Main_Data!J170</f>
        <v>77</v>
      </c>
      <c r="K170" s="1">
        <f>Main_Data!K170</f>
        <v>52</v>
      </c>
      <c r="L170" s="1" t="str">
        <f>Main_Data!L170</f>
        <v>Asia</v>
      </c>
      <c r="M170" s="1" t="str">
        <f>PROPER(TRIM(Main_Data!A170))</f>
        <v>Japan</v>
      </c>
      <c r="N170" s="1" t="str">
        <f>PROPER(TRIM(Main_Data!B170))</f>
        <v>East Asia</v>
      </c>
      <c r="O170" s="1" t="str" cm="1">
        <f t="array" ref="O170">_xlfn.IFS(F170&gt;=80,"Very High",F170&gt;=70,"High",F170&gt;=60,"Medium",TRUE,"Low")</f>
        <v>High</v>
      </c>
      <c r="P170" s="1" t="str" cm="1">
        <f t="array" ref="P170">_xlfn.IFS(D170&gt;=40000,"High Income",D170&gt;=15000,"Middle Income",TRUE,"Low Income")</f>
        <v>Middle Income</v>
      </c>
      <c r="Q170" s="1" t="str">
        <f t="shared" si="2"/>
        <v>Duplicate</v>
      </c>
    </row>
    <row r="171" spans="1:17" x14ac:dyDescent="0.25">
      <c r="A171" s="1" t="str">
        <f>Main_Data!A171</f>
        <v>South Africa</v>
      </c>
      <c r="B171" s="1" t="str">
        <f>Main_Data!B171</f>
        <v>Africa</v>
      </c>
      <c r="C171" s="1">
        <f>Main_Data!C171</f>
        <v>2022</v>
      </c>
      <c r="D171" s="1">
        <f>Main_Data!D171</f>
        <v>28031</v>
      </c>
      <c r="E171" s="1">
        <f>Main_Data!E171</f>
        <v>8.6</v>
      </c>
      <c r="F171" s="1">
        <f>Main_Data!F171</f>
        <v>68</v>
      </c>
      <c r="G171" s="1">
        <f>Main_Data!G171</f>
        <v>1299472365</v>
      </c>
      <c r="H171" s="1">
        <f>Main_Data!H171</f>
        <v>64</v>
      </c>
      <c r="I171" s="1">
        <f>Main_Data!I171</f>
        <v>9</v>
      </c>
      <c r="J171" s="1">
        <f>Main_Data!J171</f>
        <v>95</v>
      </c>
      <c r="K171" s="1">
        <f>Main_Data!K171</f>
        <v>75</v>
      </c>
      <c r="L171" s="1" t="str">
        <f>Main_Data!L171</f>
        <v>Africa</v>
      </c>
      <c r="M171" s="1" t="str">
        <f>PROPER(TRIM(Main_Data!A171))</f>
        <v>South Africa</v>
      </c>
      <c r="N171" s="1" t="str">
        <f>PROPER(TRIM(Main_Data!B171))</f>
        <v>Africa</v>
      </c>
      <c r="O171" s="1" t="str" cm="1">
        <f t="array" ref="O171">_xlfn.IFS(F171&gt;=80,"Very High",F171&gt;=70,"High",F171&gt;=60,"Medium",TRUE,"Low")</f>
        <v>Medium</v>
      </c>
      <c r="P171" s="1" t="str" cm="1">
        <f t="array" ref="P171">_xlfn.IFS(D171&gt;=40000,"High Income",D171&gt;=15000,"Middle Income",TRUE,"Low Income")</f>
        <v>Middle Income</v>
      </c>
      <c r="Q171" s="1" t="str">
        <f t="shared" si="2"/>
        <v>Duplicate</v>
      </c>
    </row>
    <row r="172" spans="1:17" x14ac:dyDescent="0.25">
      <c r="A172" s="1" t="str">
        <f>Main_Data!A172</f>
        <v>India</v>
      </c>
      <c r="B172" s="1" t="str">
        <f>Main_Data!B172</f>
        <v>South Asia</v>
      </c>
      <c r="C172" s="1">
        <f>Main_Data!C172</f>
        <v>2022</v>
      </c>
      <c r="D172" s="1">
        <f>Main_Data!D172</f>
        <v>10207</v>
      </c>
      <c r="E172" s="1">
        <f>Main_Data!E172</f>
        <v>12.4</v>
      </c>
      <c r="F172" s="1">
        <f>Main_Data!F172</f>
        <v>63</v>
      </c>
      <c r="G172" s="1">
        <f>Main_Data!G172</f>
        <v>1154961859</v>
      </c>
      <c r="H172" s="1">
        <f>Main_Data!H172</f>
        <v>85</v>
      </c>
      <c r="I172" s="1">
        <f>Main_Data!I172</f>
        <v>13.8</v>
      </c>
      <c r="J172" s="1">
        <f>Main_Data!J172</f>
        <v>76</v>
      </c>
      <c r="K172" s="1">
        <f>Main_Data!K172</f>
        <v>44</v>
      </c>
      <c r="L172" s="1" t="str">
        <f>Main_Data!L172</f>
        <v>Asia</v>
      </c>
      <c r="M172" s="1" t="str">
        <f>PROPER(TRIM(Main_Data!A172))</f>
        <v>India</v>
      </c>
      <c r="N172" s="1" t="str">
        <f>PROPER(TRIM(Main_Data!B172))</f>
        <v>South Asia</v>
      </c>
      <c r="O172" s="1" t="str" cm="1">
        <f t="array" ref="O172">_xlfn.IFS(F172&gt;=80,"Very High",F172&gt;=70,"High",F172&gt;=60,"Medium",TRUE,"Low")</f>
        <v>Medium</v>
      </c>
      <c r="P172" s="1" t="str" cm="1">
        <f t="array" ref="P172">_xlfn.IFS(D172&gt;=40000,"High Income",D172&gt;=15000,"Middle Income",TRUE,"Low Income")</f>
        <v>Low Income</v>
      </c>
      <c r="Q172" s="1" t="str">
        <f t="shared" si="2"/>
        <v>Duplicate</v>
      </c>
    </row>
    <row r="173" spans="1:17" x14ac:dyDescent="0.25">
      <c r="A173" s="1" t="str">
        <f>Main_Data!A173</f>
        <v>USA</v>
      </c>
      <c r="B173" s="1" t="str">
        <f>Main_Data!B173</f>
        <v>North America</v>
      </c>
      <c r="C173" s="1">
        <f>Main_Data!C173</f>
        <v>2022</v>
      </c>
      <c r="D173" s="1">
        <f>Main_Data!D173</f>
        <v>7044</v>
      </c>
      <c r="E173" s="1">
        <f>Main_Data!E173</f>
        <v>9.9</v>
      </c>
      <c r="F173" s="1">
        <f>Main_Data!F173</f>
        <v>62</v>
      </c>
      <c r="G173" s="1">
        <f>Main_Data!G173</f>
        <v>608301177</v>
      </c>
      <c r="H173" s="1">
        <f>Main_Data!H173</f>
        <v>56</v>
      </c>
      <c r="I173" s="1">
        <f>Main_Data!I173</f>
        <v>16</v>
      </c>
      <c r="J173" s="1">
        <f>Main_Data!J173</f>
        <v>93</v>
      </c>
      <c r="K173" s="1">
        <f>Main_Data!K173</f>
        <v>39</v>
      </c>
      <c r="L173" s="1" t="str">
        <f>Main_Data!L173</f>
        <v>North America</v>
      </c>
      <c r="M173" s="1" t="str">
        <f>PROPER(TRIM(Main_Data!A173))</f>
        <v>Usa</v>
      </c>
      <c r="N173" s="1" t="str">
        <f>PROPER(TRIM(Main_Data!B173))</f>
        <v>North America</v>
      </c>
      <c r="O173" s="1" t="str" cm="1">
        <f t="array" ref="O173">_xlfn.IFS(F173&gt;=80,"Very High",F173&gt;=70,"High",F173&gt;=60,"Medium",TRUE,"Low")</f>
        <v>Medium</v>
      </c>
      <c r="P173" s="1" t="str" cm="1">
        <f t="array" ref="P173">_xlfn.IFS(D173&gt;=40000,"High Income",D173&gt;=15000,"Middle Income",TRUE,"Low Income")</f>
        <v>Low Income</v>
      </c>
      <c r="Q173" s="1" t="str">
        <f t="shared" si="2"/>
        <v>Duplicate</v>
      </c>
    </row>
    <row r="174" spans="1:17" x14ac:dyDescent="0.25">
      <c r="A174" s="1" t="str">
        <f>Main_Data!A174</f>
        <v>Germany</v>
      </c>
      <c r="B174" s="1" t="str">
        <f>Main_Data!B174</f>
        <v>Europe</v>
      </c>
      <c r="C174" s="1">
        <f>Main_Data!C174</f>
        <v>2020</v>
      </c>
      <c r="D174" s="1">
        <f>Main_Data!D174</f>
        <v>50855</v>
      </c>
      <c r="E174" s="1">
        <f>Main_Data!E174</f>
        <v>7.1</v>
      </c>
      <c r="F174" s="1">
        <f>Main_Data!F174</f>
        <v>60</v>
      </c>
      <c r="G174" s="1">
        <f>Main_Data!G174</f>
        <v>61454792</v>
      </c>
      <c r="H174" s="1">
        <f>Main_Data!H174</f>
        <v>80</v>
      </c>
      <c r="I174" s="1">
        <f>Main_Data!I174</f>
        <v>13.2</v>
      </c>
      <c r="J174" s="1">
        <f>Main_Data!J174</f>
        <v>91</v>
      </c>
      <c r="K174" s="1">
        <f>Main_Data!K174</f>
        <v>89</v>
      </c>
      <c r="L174" s="1" t="str">
        <f>Main_Data!L174</f>
        <v>Europe</v>
      </c>
      <c r="M174" s="1" t="str">
        <f>PROPER(TRIM(Main_Data!A174))</f>
        <v>Germany</v>
      </c>
      <c r="N174" s="1" t="str">
        <f>PROPER(TRIM(Main_Data!B174))</f>
        <v>Europe</v>
      </c>
      <c r="O174" s="1" t="str" cm="1">
        <f t="array" ref="O174">_xlfn.IFS(F174&gt;=80,"Very High",F174&gt;=70,"High",F174&gt;=60,"Medium",TRUE,"Low")</f>
        <v>Medium</v>
      </c>
      <c r="P174" s="1" t="str" cm="1">
        <f t="array" ref="P174">_xlfn.IFS(D174&gt;=40000,"High Income",D174&gt;=15000,"Middle Income",TRUE,"Low Income")</f>
        <v>High Income</v>
      </c>
      <c r="Q174" s="1" t="str">
        <f t="shared" si="2"/>
        <v>Duplicate</v>
      </c>
    </row>
    <row r="175" spans="1:17" x14ac:dyDescent="0.25">
      <c r="A175" s="1" t="str">
        <f>Main_Data!A175</f>
        <v>Brazil</v>
      </c>
      <c r="B175" s="1" t="str">
        <f>Main_Data!B175</f>
        <v>South America</v>
      </c>
      <c r="C175" s="1">
        <f>Main_Data!C175</f>
        <v>2022</v>
      </c>
      <c r="D175" s="1">
        <f>Main_Data!D175</f>
        <v>40043</v>
      </c>
      <c r="E175" s="1">
        <f>Main_Data!E175</f>
        <v>5.8</v>
      </c>
      <c r="F175" s="1">
        <f>Main_Data!F175</f>
        <v>85</v>
      </c>
      <c r="G175" s="1">
        <f>Main_Data!G175</f>
        <v>318027567</v>
      </c>
      <c r="H175" s="1">
        <f>Main_Data!H175</f>
        <v>94</v>
      </c>
      <c r="I175" s="1">
        <f>Main_Data!I175</f>
        <v>24.9</v>
      </c>
      <c r="J175" s="1">
        <f>Main_Data!J175</f>
        <v>90</v>
      </c>
      <c r="K175" s="1">
        <f>Main_Data!K175</f>
        <v>80</v>
      </c>
      <c r="L175" s="1" t="str">
        <f>Main_Data!L175</f>
        <v>South America</v>
      </c>
      <c r="M175" s="1" t="str">
        <f>PROPER(TRIM(Main_Data!A175))</f>
        <v>Brazil</v>
      </c>
      <c r="N175" s="1" t="str">
        <f>PROPER(TRIM(Main_Data!B175))</f>
        <v>South America</v>
      </c>
      <c r="O175" s="1" t="str" cm="1">
        <f t="array" ref="O175">_xlfn.IFS(F175&gt;=80,"Very High",F175&gt;=70,"High",F175&gt;=60,"Medium",TRUE,"Low")</f>
        <v>Very High</v>
      </c>
      <c r="P175" s="1" t="str" cm="1">
        <f t="array" ref="P175">_xlfn.IFS(D175&gt;=40000,"High Income",D175&gt;=15000,"Middle Income",TRUE,"Low Income")</f>
        <v>High Income</v>
      </c>
      <c r="Q175" s="1" t="str">
        <f t="shared" si="2"/>
        <v>Duplicate</v>
      </c>
    </row>
    <row r="176" spans="1:17" x14ac:dyDescent="0.25">
      <c r="A176" s="1" t="str">
        <f>Main_Data!A176</f>
        <v>China</v>
      </c>
      <c r="B176" s="1" t="str">
        <f>Main_Data!B176</f>
        <v>East Asia</v>
      </c>
      <c r="C176" s="1">
        <f>Main_Data!C176</f>
        <v>2022</v>
      </c>
      <c r="D176" s="1">
        <f>Main_Data!D176</f>
        <v>58750</v>
      </c>
      <c r="E176" s="1">
        <f>Main_Data!E176</f>
        <v>14.5</v>
      </c>
      <c r="F176" s="1">
        <f>Main_Data!F176</f>
        <v>71</v>
      </c>
      <c r="G176" s="1">
        <f>Main_Data!G176</f>
        <v>272097796</v>
      </c>
      <c r="H176" s="1">
        <f>Main_Data!H176</f>
        <v>73</v>
      </c>
      <c r="I176" s="1">
        <f>Main_Data!I176</f>
        <v>15.7</v>
      </c>
      <c r="J176" s="1">
        <f>Main_Data!J176</f>
        <v>89</v>
      </c>
      <c r="K176" s="1">
        <f>Main_Data!K176</f>
        <v>68</v>
      </c>
      <c r="L176" s="1" t="str">
        <f>Main_Data!L176</f>
        <v>Asia</v>
      </c>
      <c r="M176" s="1" t="str">
        <f>PROPER(TRIM(Main_Data!A176))</f>
        <v>China</v>
      </c>
      <c r="N176" s="1" t="str">
        <f>PROPER(TRIM(Main_Data!B176))</f>
        <v>East Asia</v>
      </c>
      <c r="O176" s="1" t="str" cm="1">
        <f t="array" ref="O176">_xlfn.IFS(F176&gt;=80,"Very High",F176&gt;=70,"High",F176&gt;=60,"Medium",TRUE,"Low")</f>
        <v>High</v>
      </c>
      <c r="P176" s="1" t="str" cm="1">
        <f t="array" ref="P176">_xlfn.IFS(D176&gt;=40000,"High Income",D176&gt;=15000,"Middle Income",TRUE,"Low Income")</f>
        <v>High Income</v>
      </c>
      <c r="Q176" s="1" t="str">
        <f t="shared" si="2"/>
        <v>Duplicate</v>
      </c>
    </row>
    <row r="177" spans="1:17" x14ac:dyDescent="0.25">
      <c r="A177" s="1" t="str">
        <f>Main_Data!A177</f>
        <v>UK</v>
      </c>
      <c r="B177" s="1" t="str">
        <f>Main_Data!B177</f>
        <v>Europe</v>
      </c>
      <c r="C177" s="1">
        <f>Main_Data!C177</f>
        <v>2021</v>
      </c>
      <c r="D177" s="1">
        <f>Main_Data!D177</f>
        <v>12451</v>
      </c>
      <c r="E177" s="1">
        <f>Main_Data!E177</f>
        <v>14.6</v>
      </c>
      <c r="F177" s="1">
        <f>Main_Data!F177</f>
        <v>81</v>
      </c>
      <c r="G177" s="1">
        <f>Main_Data!G177</f>
        <v>891304499</v>
      </c>
      <c r="H177" s="1">
        <f>Main_Data!H177</f>
        <v>52</v>
      </c>
      <c r="I177" s="1">
        <f>Main_Data!I177</f>
        <v>2.4</v>
      </c>
      <c r="J177" s="1">
        <f>Main_Data!J177</f>
        <v>91</v>
      </c>
      <c r="K177" s="1">
        <f>Main_Data!K177</f>
        <v>61</v>
      </c>
      <c r="L177" s="1" t="str">
        <f>Main_Data!L177</f>
        <v>Europe</v>
      </c>
      <c r="M177" s="1" t="str">
        <f>PROPER(TRIM(Main_Data!A177))</f>
        <v>Uk</v>
      </c>
      <c r="N177" s="1" t="str">
        <f>PROPER(TRIM(Main_Data!B177))</f>
        <v>Europe</v>
      </c>
      <c r="O177" s="1" t="str" cm="1">
        <f t="array" ref="O177">_xlfn.IFS(F177&gt;=80,"Very High",F177&gt;=70,"High",F177&gt;=60,"Medium",TRUE,"Low")</f>
        <v>Very High</v>
      </c>
      <c r="P177" s="1" t="str" cm="1">
        <f t="array" ref="P177">_xlfn.IFS(D177&gt;=40000,"High Income",D177&gt;=15000,"Middle Income",TRUE,"Low Income")</f>
        <v>Low Income</v>
      </c>
      <c r="Q177" s="1" t="str">
        <f t="shared" si="2"/>
        <v>Duplicate</v>
      </c>
    </row>
    <row r="178" spans="1:17" x14ac:dyDescent="0.25">
      <c r="A178" s="1" t="str">
        <f>Main_Data!A178</f>
        <v>Canada</v>
      </c>
      <c r="B178" s="1" t="str">
        <f>Main_Data!B178</f>
        <v>North America</v>
      </c>
      <c r="C178" s="1">
        <f>Main_Data!C178</f>
        <v>2021</v>
      </c>
      <c r="D178" s="1">
        <f>Main_Data!D178</f>
        <v>50398</v>
      </c>
      <c r="E178" s="1">
        <f>Main_Data!E178</f>
        <v>12.2</v>
      </c>
      <c r="F178" s="1">
        <f>Main_Data!F178</f>
        <v>80</v>
      </c>
      <c r="G178" s="1">
        <f>Main_Data!G178</f>
        <v>832785898</v>
      </c>
      <c r="H178" s="1">
        <f>Main_Data!H178</f>
        <v>54</v>
      </c>
      <c r="I178" s="1">
        <f>Main_Data!I178</f>
        <v>6.9</v>
      </c>
      <c r="J178" s="1">
        <f>Main_Data!J178</f>
        <v>72</v>
      </c>
      <c r="K178" s="1">
        <f>Main_Data!K178</f>
        <v>64</v>
      </c>
      <c r="L178" s="1" t="str">
        <f>Main_Data!L178</f>
        <v>North America</v>
      </c>
      <c r="M178" s="1" t="str">
        <f>PROPER(TRIM(Main_Data!A178))</f>
        <v>Canada</v>
      </c>
      <c r="N178" s="1" t="str">
        <f>PROPER(TRIM(Main_Data!B178))</f>
        <v>North America</v>
      </c>
      <c r="O178" s="1" t="str" cm="1">
        <f t="array" ref="O178">_xlfn.IFS(F178&gt;=80,"Very High",F178&gt;=70,"High",F178&gt;=60,"Medium",TRUE,"Low")</f>
        <v>Very High</v>
      </c>
      <c r="P178" s="1" t="str" cm="1">
        <f t="array" ref="P178">_xlfn.IFS(D178&gt;=40000,"High Income",D178&gt;=15000,"Middle Income",TRUE,"Low Income")</f>
        <v>High Income</v>
      </c>
      <c r="Q178" s="1" t="str">
        <f t="shared" si="2"/>
        <v>Duplicate</v>
      </c>
    </row>
    <row r="179" spans="1:17" x14ac:dyDescent="0.25">
      <c r="A179" s="1" t="str">
        <f>Main_Data!A179</f>
        <v>Australia</v>
      </c>
      <c r="B179" s="1" t="str">
        <f>Main_Data!B179</f>
        <v>Oceania</v>
      </c>
      <c r="C179" s="1">
        <f>Main_Data!C179</f>
        <v>2022</v>
      </c>
      <c r="D179" s="1">
        <f>Main_Data!D179</f>
        <v>18981</v>
      </c>
      <c r="E179" s="1">
        <f>Main_Data!E179</f>
        <v>8.1</v>
      </c>
      <c r="F179" s="1">
        <f>Main_Data!F179</f>
        <v>78</v>
      </c>
      <c r="G179" s="1">
        <f>Main_Data!G179</f>
        <v>1182968414</v>
      </c>
      <c r="H179" s="1">
        <f>Main_Data!H179</f>
        <v>71</v>
      </c>
      <c r="I179" s="1">
        <f>Main_Data!I179</f>
        <v>17.8</v>
      </c>
      <c r="J179" s="1">
        <f>Main_Data!J179</f>
        <v>95</v>
      </c>
      <c r="K179" s="1">
        <f>Main_Data!K179</f>
        <v>58</v>
      </c>
      <c r="L179" s="1" t="str">
        <f>Main_Data!L179</f>
        <v>Oceania</v>
      </c>
      <c r="M179" s="1" t="str">
        <f>PROPER(TRIM(Main_Data!A179))</f>
        <v>Australia</v>
      </c>
      <c r="N179" s="1" t="str">
        <f>PROPER(TRIM(Main_Data!B179))</f>
        <v>Oceania</v>
      </c>
      <c r="O179" s="1" t="str" cm="1">
        <f t="array" ref="O179">_xlfn.IFS(F179&gt;=80,"Very High",F179&gt;=70,"High",F179&gt;=60,"Medium",TRUE,"Low")</f>
        <v>High</v>
      </c>
      <c r="P179" s="1" t="str" cm="1">
        <f t="array" ref="P179">_xlfn.IFS(D179&gt;=40000,"High Income",D179&gt;=15000,"Middle Income",TRUE,"Low Income")</f>
        <v>Middle Income</v>
      </c>
      <c r="Q179" s="1" t="str">
        <f t="shared" si="2"/>
        <v>Duplicate</v>
      </c>
    </row>
    <row r="180" spans="1:17" x14ac:dyDescent="0.25">
      <c r="A180" s="1" t="str">
        <f>Main_Data!A180</f>
        <v>Japan</v>
      </c>
      <c r="B180" s="1" t="str">
        <f>Main_Data!B180</f>
        <v>East Asia</v>
      </c>
      <c r="C180" s="1">
        <f>Main_Data!C180</f>
        <v>2020</v>
      </c>
      <c r="D180" s="1">
        <f>Main_Data!D180</f>
        <v>51440</v>
      </c>
      <c r="E180" s="1">
        <f>Main_Data!E180</f>
        <v>12.7</v>
      </c>
      <c r="F180" s="1">
        <f>Main_Data!F180</f>
        <v>70</v>
      </c>
      <c r="G180" s="1">
        <f>Main_Data!G180</f>
        <v>1357629067</v>
      </c>
      <c r="H180" s="1">
        <f>Main_Data!H180</f>
        <v>51</v>
      </c>
      <c r="I180" s="1">
        <f>Main_Data!I180</f>
        <v>16</v>
      </c>
      <c r="J180" s="1">
        <f>Main_Data!J180</f>
        <v>83</v>
      </c>
      <c r="K180" s="1">
        <f>Main_Data!K180</f>
        <v>54</v>
      </c>
      <c r="L180" s="1" t="str">
        <f>Main_Data!L180</f>
        <v>Asia</v>
      </c>
      <c r="M180" s="1" t="str">
        <f>PROPER(TRIM(Main_Data!A180))</f>
        <v>Japan</v>
      </c>
      <c r="N180" s="1" t="str">
        <f>PROPER(TRIM(Main_Data!B180))</f>
        <v>East Asia</v>
      </c>
      <c r="O180" s="1" t="str" cm="1">
        <f t="array" ref="O180">_xlfn.IFS(F180&gt;=80,"Very High",F180&gt;=70,"High",F180&gt;=60,"Medium",TRUE,"Low")</f>
        <v>High</v>
      </c>
      <c r="P180" s="1" t="str" cm="1">
        <f t="array" ref="P180">_xlfn.IFS(D180&gt;=40000,"High Income",D180&gt;=15000,"Middle Income",TRUE,"Low Income")</f>
        <v>High Income</v>
      </c>
      <c r="Q180" s="1" t="str">
        <f t="shared" si="2"/>
        <v>Duplicate</v>
      </c>
    </row>
    <row r="181" spans="1:17" x14ac:dyDescent="0.25">
      <c r="A181" s="1" t="str">
        <f>Main_Data!A181</f>
        <v>South Africa</v>
      </c>
      <c r="B181" s="1" t="str">
        <f>Main_Data!B181</f>
        <v>Africa</v>
      </c>
      <c r="C181" s="1">
        <f>Main_Data!C181</f>
        <v>2020</v>
      </c>
      <c r="D181" s="1">
        <f>Main_Data!D181</f>
        <v>5647</v>
      </c>
      <c r="E181" s="1">
        <f>Main_Data!E181</f>
        <v>16</v>
      </c>
      <c r="F181" s="1">
        <f>Main_Data!F181</f>
        <v>81</v>
      </c>
      <c r="G181" s="1">
        <f>Main_Data!G181</f>
        <v>1128296545</v>
      </c>
      <c r="H181" s="1">
        <f>Main_Data!H181</f>
        <v>61</v>
      </c>
      <c r="I181" s="1">
        <f>Main_Data!I181</f>
        <v>4.5</v>
      </c>
      <c r="J181" s="1">
        <f>Main_Data!J181</f>
        <v>82</v>
      </c>
      <c r="K181" s="1">
        <f>Main_Data!K181</f>
        <v>35</v>
      </c>
      <c r="L181" s="1" t="str">
        <f>Main_Data!L181</f>
        <v>Africa</v>
      </c>
      <c r="M181" s="1" t="str">
        <f>PROPER(TRIM(Main_Data!A181))</f>
        <v>South Africa</v>
      </c>
      <c r="N181" s="1" t="str">
        <f>PROPER(TRIM(Main_Data!B181))</f>
        <v>Africa</v>
      </c>
      <c r="O181" s="1" t="str" cm="1">
        <f t="array" ref="O181">_xlfn.IFS(F181&gt;=80,"Very High",F181&gt;=70,"High",F181&gt;=60,"Medium",TRUE,"Low")</f>
        <v>Very High</v>
      </c>
      <c r="P181" s="1" t="str" cm="1">
        <f t="array" ref="P181">_xlfn.IFS(D181&gt;=40000,"High Income",D181&gt;=15000,"Middle Income",TRUE,"Low Income")</f>
        <v>Low Income</v>
      </c>
      <c r="Q181" s="1" t="str">
        <f t="shared" si="2"/>
        <v>Duplicate</v>
      </c>
    </row>
    <row r="182" spans="1:17" x14ac:dyDescent="0.25">
      <c r="A182" s="1" t="str">
        <f>Main_Data!A182</f>
        <v>India</v>
      </c>
      <c r="B182" s="1" t="str">
        <f>Main_Data!B182</f>
        <v>South Asia</v>
      </c>
      <c r="C182" s="1">
        <f>Main_Data!C182</f>
        <v>2020</v>
      </c>
      <c r="D182" s="1">
        <f>Main_Data!D182</f>
        <v>44970</v>
      </c>
      <c r="E182" s="1">
        <f>Main_Data!E182</f>
        <v>5.7</v>
      </c>
      <c r="F182" s="1">
        <f>Main_Data!F182</f>
        <v>71</v>
      </c>
      <c r="G182" s="1">
        <f>Main_Data!G182</f>
        <v>1040378217</v>
      </c>
      <c r="H182" s="1">
        <f>Main_Data!H182</f>
        <v>76</v>
      </c>
      <c r="I182" s="1">
        <f>Main_Data!I182</f>
        <v>12.6</v>
      </c>
      <c r="J182" s="1">
        <f>Main_Data!J182</f>
        <v>98</v>
      </c>
      <c r="K182" s="1">
        <f>Main_Data!K182</f>
        <v>37</v>
      </c>
      <c r="L182" s="1" t="str">
        <f>Main_Data!L182</f>
        <v>Asia</v>
      </c>
      <c r="M182" s="1" t="str">
        <f>PROPER(TRIM(Main_Data!A182))</f>
        <v>India</v>
      </c>
      <c r="N182" s="1" t="str">
        <f>PROPER(TRIM(Main_Data!B182))</f>
        <v>South Asia</v>
      </c>
      <c r="O182" s="1" t="str" cm="1">
        <f t="array" ref="O182">_xlfn.IFS(F182&gt;=80,"Very High",F182&gt;=70,"High",F182&gt;=60,"Medium",TRUE,"Low")</f>
        <v>High</v>
      </c>
      <c r="P182" s="1" t="str" cm="1">
        <f t="array" ref="P182">_xlfn.IFS(D182&gt;=40000,"High Income",D182&gt;=15000,"Middle Income",TRUE,"Low Income")</f>
        <v>High Income</v>
      </c>
      <c r="Q182" s="1" t="str">
        <f t="shared" si="2"/>
        <v>Duplicate</v>
      </c>
    </row>
    <row r="183" spans="1:17" x14ac:dyDescent="0.25">
      <c r="A183" s="1" t="str">
        <f>Main_Data!A183</f>
        <v>USA</v>
      </c>
      <c r="B183" s="1" t="str">
        <f>Main_Data!B183</f>
        <v>North America</v>
      </c>
      <c r="C183" s="1">
        <f>Main_Data!C183</f>
        <v>2021</v>
      </c>
      <c r="D183" s="1">
        <f>Main_Data!D183</f>
        <v>9438</v>
      </c>
      <c r="E183" s="1">
        <f>Main_Data!E183</f>
        <v>7.4</v>
      </c>
      <c r="F183" s="1">
        <f>Main_Data!F183</f>
        <v>76</v>
      </c>
      <c r="G183" s="1">
        <f>Main_Data!G183</f>
        <v>1209766516</v>
      </c>
      <c r="H183" s="1">
        <f>Main_Data!H183</f>
        <v>54</v>
      </c>
      <c r="I183" s="1">
        <f>Main_Data!I183</f>
        <v>9.6</v>
      </c>
      <c r="J183" s="1">
        <f>Main_Data!J183</f>
        <v>71</v>
      </c>
      <c r="K183" s="1">
        <f>Main_Data!K183</f>
        <v>89</v>
      </c>
      <c r="L183" s="1" t="str">
        <f>Main_Data!L183</f>
        <v>North America</v>
      </c>
      <c r="M183" s="1" t="str">
        <f>PROPER(TRIM(Main_Data!A183))</f>
        <v>Usa</v>
      </c>
      <c r="N183" s="1" t="str">
        <f>PROPER(TRIM(Main_Data!B183))</f>
        <v>North America</v>
      </c>
      <c r="O183" s="1" t="str" cm="1">
        <f t="array" ref="O183">_xlfn.IFS(F183&gt;=80,"Very High",F183&gt;=70,"High",F183&gt;=60,"Medium",TRUE,"Low")</f>
        <v>High</v>
      </c>
      <c r="P183" s="1" t="str" cm="1">
        <f t="array" ref="P183">_xlfn.IFS(D183&gt;=40000,"High Income",D183&gt;=15000,"Middle Income",TRUE,"Low Income")</f>
        <v>Low Income</v>
      </c>
      <c r="Q183" s="1" t="str">
        <f t="shared" si="2"/>
        <v>Duplicate</v>
      </c>
    </row>
    <row r="184" spans="1:17" x14ac:dyDescent="0.25">
      <c r="A184" s="1" t="str">
        <f>Main_Data!A184</f>
        <v>Germany</v>
      </c>
      <c r="B184" s="1" t="str">
        <f>Main_Data!B184</f>
        <v>Europe</v>
      </c>
      <c r="C184" s="1">
        <f>Main_Data!C184</f>
        <v>2022</v>
      </c>
      <c r="D184" s="1">
        <f>Main_Data!D184</f>
        <v>5107</v>
      </c>
      <c r="E184" s="1">
        <f>Main_Data!E184</f>
        <v>3</v>
      </c>
      <c r="F184" s="1">
        <f>Main_Data!F184</f>
        <v>79</v>
      </c>
      <c r="G184" s="1">
        <f>Main_Data!G184</f>
        <v>700117256</v>
      </c>
      <c r="H184" s="1">
        <f>Main_Data!H184</f>
        <v>84</v>
      </c>
      <c r="I184" s="1">
        <f>Main_Data!I184</f>
        <v>12.3</v>
      </c>
      <c r="J184" s="1">
        <f>Main_Data!J184</f>
        <v>89</v>
      </c>
      <c r="K184" s="1">
        <f>Main_Data!K184</f>
        <v>68</v>
      </c>
      <c r="L184" s="1" t="str">
        <f>Main_Data!L184</f>
        <v>Europe</v>
      </c>
      <c r="M184" s="1" t="str">
        <f>PROPER(TRIM(Main_Data!A184))</f>
        <v>Germany</v>
      </c>
      <c r="N184" s="1" t="str">
        <f>PROPER(TRIM(Main_Data!B184))</f>
        <v>Europe</v>
      </c>
      <c r="O184" s="1" t="str" cm="1">
        <f t="array" ref="O184">_xlfn.IFS(F184&gt;=80,"Very High",F184&gt;=70,"High",F184&gt;=60,"Medium",TRUE,"Low")</f>
        <v>High</v>
      </c>
      <c r="P184" s="1" t="str" cm="1">
        <f t="array" ref="P184">_xlfn.IFS(D184&gt;=40000,"High Income",D184&gt;=15000,"Middle Income",TRUE,"Low Income")</f>
        <v>Low Income</v>
      </c>
      <c r="Q184" s="1" t="str">
        <f t="shared" si="2"/>
        <v>Duplicate</v>
      </c>
    </row>
    <row r="185" spans="1:17" x14ac:dyDescent="0.25">
      <c r="A185" s="1" t="str">
        <f>Main_Data!A185</f>
        <v>Brazil</v>
      </c>
      <c r="B185" s="1" t="str">
        <f>Main_Data!B185</f>
        <v>South America</v>
      </c>
      <c r="C185" s="1">
        <f>Main_Data!C185</f>
        <v>2020</v>
      </c>
      <c r="D185" s="1">
        <f>Main_Data!D185</f>
        <v>47147</v>
      </c>
      <c r="E185" s="1">
        <f>Main_Data!E185</f>
        <v>8.6999999999999993</v>
      </c>
      <c r="F185" s="1">
        <f>Main_Data!F185</f>
        <v>66</v>
      </c>
      <c r="G185" s="1">
        <f>Main_Data!G185</f>
        <v>375225188</v>
      </c>
      <c r="H185" s="1">
        <f>Main_Data!H185</f>
        <v>77</v>
      </c>
      <c r="I185" s="1">
        <f>Main_Data!I185</f>
        <v>7.3</v>
      </c>
      <c r="J185" s="1">
        <f>Main_Data!J185</f>
        <v>80</v>
      </c>
      <c r="K185" s="1">
        <f>Main_Data!K185</f>
        <v>75</v>
      </c>
      <c r="L185" s="1" t="str">
        <f>Main_Data!L185</f>
        <v>South America</v>
      </c>
      <c r="M185" s="1" t="str">
        <f>PROPER(TRIM(Main_Data!A185))</f>
        <v>Brazil</v>
      </c>
      <c r="N185" s="1" t="str">
        <f>PROPER(TRIM(Main_Data!B185))</f>
        <v>South America</v>
      </c>
      <c r="O185" s="1" t="str" cm="1">
        <f t="array" ref="O185">_xlfn.IFS(F185&gt;=80,"Very High",F185&gt;=70,"High",F185&gt;=60,"Medium",TRUE,"Low")</f>
        <v>Medium</v>
      </c>
      <c r="P185" s="1" t="str" cm="1">
        <f t="array" ref="P185">_xlfn.IFS(D185&gt;=40000,"High Income",D185&gt;=15000,"Middle Income",TRUE,"Low Income")</f>
        <v>High Income</v>
      </c>
      <c r="Q185" s="1" t="str">
        <f t="shared" si="2"/>
        <v>Duplicate</v>
      </c>
    </row>
    <row r="186" spans="1:17" x14ac:dyDescent="0.25">
      <c r="A186" s="1" t="str">
        <f>Main_Data!A186</f>
        <v>China</v>
      </c>
      <c r="B186" s="1" t="str">
        <f>Main_Data!B186</f>
        <v>East Asia</v>
      </c>
      <c r="C186" s="1">
        <f>Main_Data!C186</f>
        <v>2021</v>
      </c>
      <c r="D186" s="1">
        <f>Main_Data!D186</f>
        <v>69904</v>
      </c>
      <c r="E186" s="1">
        <f>Main_Data!E186</f>
        <v>14</v>
      </c>
      <c r="F186" s="1">
        <f>Main_Data!F186</f>
        <v>67</v>
      </c>
      <c r="G186" s="1">
        <f>Main_Data!G186</f>
        <v>678719207</v>
      </c>
      <c r="H186" s="1">
        <f>Main_Data!H186</f>
        <v>89</v>
      </c>
      <c r="I186" s="1">
        <f>Main_Data!I186</f>
        <v>14.9</v>
      </c>
      <c r="J186" s="1">
        <f>Main_Data!J186</f>
        <v>90</v>
      </c>
      <c r="K186" s="1">
        <f>Main_Data!K186</f>
        <v>83</v>
      </c>
      <c r="L186" s="1" t="str">
        <f>Main_Data!L186</f>
        <v>Asia</v>
      </c>
      <c r="M186" s="1" t="str">
        <f>PROPER(TRIM(Main_Data!A186))</f>
        <v>China</v>
      </c>
      <c r="N186" s="1" t="str">
        <f>PROPER(TRIM(Main_Data!B186))</f>
        <v>East Asia</v>
      </c>
      <c r="O186" s="1" t="str" cm="1">
        <f t="array" ref="O186">_xlfn.IFS(F186&gt;=80,"Very High",F186&gt;=70,"High",F186&gt;=60,"Medium",TRUE,"Low")</f>
        <v>Medium</v>
      </c>
      <c r="P186" s="1" t="str" cm="1">
        <f t="array" ref="P186">_xlfn.IFS(D186&gt;=40000,"High Income",D186&gt;=15000,"Middle Income",TRUE,"Low Income")</f>
        <v>High Income</v>
      </c>
      <c r="Q186" s="1" t="str">
        <f t="shared" si="2"/>
        <v>Duplicate</v>
      </c>
    </row>
    <row r="187" spans="1:17" x14ac:dyDescent="0.25">
      <c r="A187" s="1" t="str">
        <f>Main_Data!A187</f>
        <v>UK</v>
      </c>
      <c r="B187" s="1" t="str">
        <f>Main_Data!B187</f>
        <v>Europe</v>
      </c>
      <c r="C187" s="1">
        <f>Main_Data!C187</f>
        <v>2022</v>
      </c>
      <c r="D187" s="1">
        <f>Main_Data!D187</f>
        <v>60039</v>
      </c>
      <c r="E187" s="1">
        <f>Main_Data!E187</f>
        <v>13.8</v>
      </c>
      <c r="F187" s="1">
        <f>Main_Data!F187</f>
        <v>76</v>
      </c>
      <c r="G187" s="1">
        <f>Main_Data!G187</f>
        <v>1244251061</v>
      </c>
      <c r="H187" s="1">
        <f>Main_Data!H187</f>
        <v>82</v>
      </c>
      <c r="I187" s="1">
        <f>Main_Data!I187</f>
        <v>15.4</v>
      </c>
      <c r="J187" s="1">
        <f>Main_Data!J187</f>
        <v>80</v>
      </c>
      <c r="K187" s="1">
        <f>Main_Data!K187</f>
        <v>83</v>
      </c>
      <c r="L187" s="1" t="str">
        <f>Main_Data!L187</f>
        <v>Europe</v>
      </c>
      <c r="M187" s="1" t="str">
        <f>PROPER(TRIM(Main_Data!A187))</f>
        <v>Uk</v>
      </c>
      <c r="N187" s="1" t="str">
        <f>PROPER(TRIM(Main_Data!B187))</f>
        <v>Europe</v>
      </c>
      <c r="O187" s="1" t="str" cm="1">
        <f t="array" ref="O187">_xlfn.IFS(F187&gt;=80,"Very High",F187&gt;=70,"High",F187&gt;=60,"Medium",TRUE,"Low")</f>
        <v>High</v>
      </c>
      <c r="P187" s="1" t="str" cm="1">
        <f t="array" ref="P187">_xlfn.IFS(D187&gt;=40000,"High Income",D187&gt;=15000,"Middle Income",TRUE,"Low Income")</f>
        <v>High Income</v>
      </c>
      <c r="Q187" s="1" t="str">
        <f t="shared" si="2"/>
        <v>Duplicate</v>
      </c>
    </row>
    <row r="188" spans="1:17" x14ac:dyDescent="0.25">
      <c r="A188" s="1" t="str">
        <f>Main_Data!A188</f>
        <v>Canada</v>
      </c>
      <c r="B188" s="1" t="str">
        <f>Main_Data!B188</f>
        <v>North America</v>
      </c>
      <c r="C188" s="1">
        <f>Main_Data!C188</f>
        <v>2020</v>
      </c>
      <c r="D188" s="1">
        <f>Main_Data!D188</f>
        <v>33608</v>
      </c>
      <c r="E188" s="1">
        <f>Main_Data!E188</f>
        <v>9.6999999999999993</v>
      </c>
      <c r="F188" s="1">
        <f>Main_Data!F188</f>
        <v>69</v>
      </c>
      <c r="G188" s="1">
        <f>Main_Data!G188</f>
        <v>1058080092</v>
      </c>
      <c r="H188" s="1">
        <f>Main_Data!H188</f>
        <v>78</v>
      </c>
      <c r="I188" s="1">
        <f>Main_Data!I188</f>
        <v>14</v>
      </c>
      <c r="J188" s="1">
        <f>Main_Data!J188</f>
        <v>72</v>
      </c>
      <c r="K188" s="1">
        <f>Main_Data!K188</f>
        <v>53</v>
      </c>
      <c r="L188" s="1" t="str">
        <f>Main_Data!L188</f>
        <v>North America</v>
      </c>
      <c r="M188" s="1" t="str">
        <f>PROPER(TRIM(Main_Data!A188))</f>
        <v>Canada</v>
      </c>
      <c r="N188" s="1" t="str">
        <f>PROPER(TRIM(Main_Data!B188))</f>
        <v>North America</v>
      </c>
      <c r="O188" s="1" t="str" cm="1">
        <f t="array" ref="O188">_xlfn.IFS(F188&gt;=80,"Very High",F188&gt;=70,"High",F188&gt;=60,"Medium",TRUE,"Low")</f>
        <v>Medium</v>
      </c>
      <c r="P188" s="1" t="str" cm="1">
        <f t="array" ref="P188">_xlfn.IFS(D188&gt;=40000,"High Income",D188&gt;=15000,"Middle Income",TRUE,"Low Income")</f>
        <v>Middle Income</v>
      </c>
      <c r="Q188" s="1" t="str">
        <f t="shared" si="2"/>
        <v>Duplicate</v>
      </c>
    </row>
    <row r="189" spans="1:17" x14ac:dyDescent="0.25">
      <c r="A189" s="1" t="str">
        <f>Main_Data!A189</f>
        <v>Australia</v>
      </c>
      <c r="B189" s="1" t="str">
        <f>Main_Data!B189</f>
        <v>Oceania</v>
      </c>
      <c r="C189" s="1">
        <f>Main_Data!C189</f>
        <v>2020</v>
      </c>
      <c r="D189" s="1">
        <f>Main_Data!D189</f>
        <v>20686</v>
      </c>
      <c r="E189" s="1">
        <f>Main_Data!E189</f>
        <v>9.1</v>
      </c>
      <c r="F189" s="1">
        <f>Main_Data!F189</f>
        <v>62</v>
      </c>
      <c r="G189" s="1">
        <f>Main_Data!G189</f>
        <v>157876896</v>
      </c>
      <c r="H189" s="1">
        <f>Main_Data!H189</f>
        <v>64</v>
      </c>
      <c r="I189" s="1">
        <f>Main_Data!I189</f>
        <v>5.3</v>
      </c>
      <c r="J189" s="1">
        <f>Main_Data!J189</f>
        <v>85</v>
      </c>
      <c r="K189" s="1">
        <f>Main_Data!K189</f>
        <v>67</v>
      </c>
      <c r="L189" s="1" t="str">
        <f>Main_Data!L189</f>
        <v>Oceania</v>
      </c>
      <c r="M189" s="1" t="str">
        <f>PROPER(TRIM(Main_Data!A189))</f>
        <v>Australia</v>
      </c>
      <c r="N189" s="1" t="str">
        <f>PROPER(TRIM(Main_Data!B189))</f>
        <v>Oceania</v>
      </c>
      <c r="O189" s="1" t="str" cm="1">
        <f t="array" ref="O189">_xlfn.IFS(F189&gt;=80,"Very High",F189&gt;=70,"High",F189&gt;=60,"Medium",TRUE,"Low")</f>
        <v>Medium</v>
      </c>
      <c r="P189" s="1" t="str" cm="1">
        <f t="array" ref="P189">_xlfn.IFS(D189&gt;=40000,"High Income",D189&gt;=15000,"Middle Income",TRUE,"Low Income")</f>
        <v>Middle Income</v>
      </c>
      <c r="Q189" s="1" t="str">
        <f t="shared" si="2"/>
        <v>Duplicate</v>
      </c>
    </row>
    <row r="190" spans="1:17" x14ac:dyDescent="0.25">
      <c r="A190" s="1" t="str">
        <f>Main_Data!A190</f>
        <v>Japan</v>
      </c>
      <c r="B190" s="1" t="str">
        <f>Main_Data!B190</f>
        <v>East Asia</v>
      </c>
      <c r="C190" s="1">
        <f>Main_Data!C190</f>
        <v>2022</v>
      </c>
      <c r="D190" s="1">
        <f>Main_Data!D190</f>
        <v>15705</v>
      </c>
      <c r="E190" s="1">
        <f>Main_Data!E190</f>
        <v>7.9</v>
      </c>
      <c r="F190" s="1">
        <f>Main_Data!F190</f>
        <v>61</v>
      </c>
      <c r="G190" s="1">
        <f>Main_Data!G190</f>
        <v>1008291475</v>
      </c>
      <c r="H190" s="1">
        <f>Main_Data!H190</f>
        <v>85</v>
      </c>
      <c r="I190" s="1">
        <f>Main_Data!I190</f>
        <v>13.9</v>
      </c>
      <c r="J190" s="1">
        <f>Main_Data!J190</f>
        <v>70</v>
      </c>
      <c r="K190" s="1">
        <f>Main_Data!K190</f>
        <v>37</v>
      </c>
      <c r="L190" s="1" t="str">
        <f>Main_Data!L190</f>
        <v>Asia</v>
      </c>
      <c r="M190" s="1" t="str">
        <f>PROPER(TRIM(Main_Data!A190))</f>
        <v>Japan</v>
      </c>
      <c r="N190" s="1" t="str">
        <f>PROPER(TRIM(Main_Data!B190))</f>
        <v>East Asia</v>
      </c>
      <c r="O190" s="1" t="str" cm="1">
        <f t="array" ref="O190">_xlfn.IFS(F190&gt;=80,"Very High",F190&gt;=70,"High",F190&gt;=60,"Medium",TRUE,"Low")</f>
        <v>Medium</v>
      </c>
      <c r="P190" s="1" t="str" cm="1">
        <f t="array" ref="P190">_xlfn.IFS(D190&gt;=40000,"High Income",D190&gt;=15000,"Middle Income",TRUE,"Low Income")</f>
        <v>Middle Income</v>
      </c>
      <c r="Q190" s="1" t="str">
        <f t="shared" si="2"/>
        <v>Duplicate</v>
      </c>
    </row>
    <row r="191" spans="1:17" x14ac:dyDescent="0.25">
      <c r="A191" s="1" t="str">
        <f>Main_Data!A191</f>
        <v>South Africa</v>
      </c>
      <c r="B191" s="1" t="str">
        <f>Main_Data!B191</f>
        <v>Africa</v>
      </c>
      <c r="C191" s="1">
        <f>Main_Data!C191</f>
        <v>2020</v>
      </c>
      <c r="D191" s="1">
        <f>Main_Data!D191</f>
        <v>59875</v>
      </c>
      <c r="E191" s="1">
        <f>Main_Data!E191</f>
        <v>15.5</v>
      </c>
      <c r="F191" s="1">
        <f>Main_Data!F191</f>
        <v>79</v>
      </c>
      <c r="G191" s="1">
        <f>Main_Data!G191</f>
        <v>289188078</v>
      </c>
      <c r="H191" s="1">
        <f>Main_Data!H191</f>
        <v>62</v>
      </c>
      <c r="I191" s="1">
        <f>Main_Data!I191</f>
        <v>6.5</v>
      </c>
      <c r="J191" s="1">
        <f>Main_Data!J191</f>
        <v>100</v>
      </c>
      <c r="K191" s="1">
        <f>Main_Data!K191</f>
        <v>43</v>
      </c>
      <c r="L191" s="1" t="str">
        <f>Main_Data!L191</f>
        <v>Africa</v>
      </c>
      <c r="M191" s="1" t="str">
        <f>PROPER(TRIM(Main_Data!A191))</f>
        <v>South Africa</v>
      </c>
      <c r="N191" s="1" t="str">
        <f>PROPER(TRIM(Main_Data!B191))</f>
        <v>Africa</v>
      </c>
      <c r="O191" s="1" t="str" cm="1">
        <f t="array" ref="O191">_xlfn.IFS(F191&gt;=80,"Very High",F191&gt;=70,"High",F191&gt;=60,"Medium",TRUE,"Low")</f>
        <v>High</v>
      </c>
      <c r="P191" s="1" t="str" cm="1">
        <f t="array" ref="P191">_xlfn.IFS(D191&gt;=40000,"High Income",D191&gt;=15000,"Middle Income",TRUE,"Low Income")</f>
        <v>High Income</v>
      </c>
      <c r="Q191" s="1" t="str">
        <f t="shared" si="2"/>
        <v>Duplicate</v>
      </c>
    </row>
    <row r="192" spans="1:17" x14ac:dyDescent="0.25">
      <c r="A192" s="1" t="str">
        <f>Main_Data!A192</f>
        <v>India</v>
      </c>
      <c r="B192" s="1" t="str">
        <f>Main_Data!B192</f>
        <v>South Asia</v>
      </c>
      <c r="C192" s="1">
        <f>Main_Data!C192</f>
        <v>2022</v>
      </c>
      <c r="D192" s="1">
        <f>Main_Data!D192</f>
        <v>52069</v>
      </c>
      <c r="E192" s="1">
        <f>Main_Data!E192</f>
        <v>10.3</v>
      </c>
      <c r="F192" s="1">
        <f>Main_Data!F192</f>
        <v>74</v>
      </c>
      <c r="G192" s="1">
        <f>Main_Data!G192</f>
        <v>494801498</v>
      </c>
      <c r="H192" s="1">
        <f>Main_Data!H192</f>
        <v>53</v>
      </c>
      <c r="I192" s="1">
        <f>Main_Data!I192</f>
        <v>11.9</v>
      </c>
      <c r="J192" s="1">
        <f>Main_Data!J192</f>
        <v>94</v>
      </c>
      <c r="K192" s="1">
        <f>Main_Data!K192</f>
        <v>39</v>
      </c>
      <c r="L192" s="1" t="str">
        <f>Main_Data!L192</f>
        <v>Asia</v>
      </c>
      <c r="M192" s="1" t="str">
        <f>PROPER(TRIM(Main_Data!A192))</f>
        <v>India</v>
      </c>
      <c r="N192" s="1" t="str">
        <f>PROPER(TRIM(Main_Data!B192))</f>
        <v>South Asia</v>
      </c>
      <c r="O192" s="1" t="str" cm="1">
        <f t="array" ref="O192">_xlfn.IFS(F192&gt;=80,"Very High",F192&gt;=70,"High",F192&gt;=60,"Medium",TRUE,"Low")</f>
        <v>High</v>
      </c>
      <c r="P192" s="1" t="str" cm="1">
        <f t="array" ref="P192">_xlfn.IFS(D192&gt;=40000,"High Income",D192&gt;=15000,"Middle Income",TRUE,"Low Income")</f>
        <v>High Income</v>
      </c>
      <c r="Q192" s="1" t="str">
        <f t="shared" si="2"/>
        <v>Duplicate</v>
      </c>
    </row>
    <row r="193" spans="1:17" x14ac:dyDescent="0.25">
      <c r="A193" s="1" t="str">
        <f>Main_Data!A193</f>
        <v>USA</v>
      </c>
      <c r="B193" s="1" t="str">
        <f>Main_Data!B193</f>
        <v>North America</v>
      </c>
      <c r="C193" s="1">
        <f>Main_Data!C193</f>
        <v>2020</v>
      </c>
      <c r="D193" s="1">
        <f>Main_Data!D193</f>
        <v>68846</v>
      </c>
      <c r="E193" s="1">
        <f>Main_Data!E193</f>
        <v>15.4</v>
      </c>
      <c r="F193" s="1">
        <f>Main_Data!F193</f>
        <v>61</v>
      </c>
      <c r="G193" s="1">
        <f>Main_Data!G193</f>
        <v>1335714048</v>
      </c>
      <c r="H193" s="1">
        <f>Main_Data!H193</f>
        <v>90</v>
      </c>
      <c r="I193" s="1">
        <f>Main_Data!I193</f>
        <v>12.4</v>
      </c>
      <c r="J193" s="1">
        <f>Main_Data!J193</f>
        <v>95</v>
      </c>
      <c r="K193" s="1">
        <f>Main_Data!K193</f>
        <v>37</v>
      </c>
      <c r="L193" s="1" t="str">
        <f>Main_Data!L193</f>
        <v>North America</v>
      </c>
      <c r="M193" s="1" t="str">
        <f>PROPER(TRIM(Main_Data!A193))</f>
        <v>Usa</v>
      </c>
      <c r="N193" s="1" t="str">
        <f>PROPER(TRIM(Main_Data!B193))</f>
        <v>North America</v>
      </c>
      <c r="O193" s="1" t="str" cm="1">
        <f t="array" ref="O193">_xlfn.IFS(F193&gt;=80,"Very High",F193&gt;=70,"High",F193&gt;=60,"Medium",TRUE,"Low")</f>
        <v>Medium</v>
      </c>
      <c r="P193" s="1" t="str" cm="1">
        <f t="array" ref="P193">_xlfn.IFS(D193&gt;=40000,"High Income",D193&gt;=15000,"Middle Income",TRUE,"Low Income")</f>
        <v>High Income</v>
      </c>
      <c r="Q193" s="1" t="str">
        <f t="shared" si="2"/>
        <v>Duplicate</v>
      </c>
    </row>
    <row r="194" spans="1:17" x14ac:dyDescent="0.25">
      <c r="A194" s="1" t="str">
        <f>Main_Data!A194</f>
        <v>Germany</v>
      </c>
      <c r="B194" s="1" t="str">
        <f>Main_Data!B194</f>
        <v>Europe</v>
      </c>
      <c r="C194" s="1">
        <f>Main_Data!C194</f>
        <v>2022</v>
      </c>
      <c r="D194" s="1">
        <f>Main_Data!D194</f>
        <v>47895</v>
      </c>
      <c r="E194" s="1">
        <f>Main_Data!E194</f>
        <v>3.3</v>
      </c>
      <c r="F194" s="1">
        <f>Main_Data!F194</f>
        <v>62</v>
      </c>
      <c r="G194" s="1">
        <f>Main_Data!G194</f>
        <v>428458635</v>
      </c>
      <c r="H194" s="1">
        <f>Main_Data!H194</f>
        <v>71</v>
      </c>
      <c r="I194" s="1">
        <f>Main_Data!I194</f>
        <v>22.5</v>
      </c>
      <c r="J194" s="1">
        <f>Main_Data!J194</f>
        <v>96</v>
      </c>
      <c r="K194" s="1">
        <f>Main_Data!K194</f>
        <v>61</v>
      </c>
      <c r="L194" s="1" t="str">
        <f>Main_Data!L194</f>
        <v>Europe</v>
      </c>
      <c r="M194" s="1" t="str">
        <f>PROPER(TRIM(Main_Data!A194))</f>
        <v>Germany</v>
      </c>
      <c r="N194" s="1" t="str">
        <f>PROPER(TRIM(Main_Data!B194))</f>
        <v>Europe</v>
      </c>
      <c r="O194" s="1" t="str" cm="1">
        <f t="array" ref="O194">_xlfn.IFS(F194&gt;=80,"Very High",F194&gt;=70,"High",F194&gt;=60,"Medium",TRUE,"Low")</f>
        <v>Medium</v>
      </c>
      <c r="P194" s="1" t="str" cm="1">
        <f t="array" ref="P194">_xlfn.IFS(D194&gt;=40000,"High Income",D194&gt;=15000,"Middle Income",TRUE,"Low Income")</f>
        <v>High Income</v>
      </c>
      <c r="Q194" s="1" t="str">
        <f t="shared" si="2"/>
        <v>Duplicate</v>
      </c>
    </row>
    <row r="195" spans="1:17" x14ac:dyDescent="0.25">
      <c r="A195" s="1" t="str">
        <f>Main_Data!A195</f>
        <v>Brazil</v>
      </c>
      <c r="B195" s="1" t="str">
        <f>Main_Data!B195</f>
        <v>South America</v>
      </c>
      <c r="C195" s="1">
        <f>Main_Data!C195</f>
        <v>2021</v>
      </c>
      <c r="D195" s="1">
        <f>Main_Data!D195</f>
        <v>58738</v>
      </c>
      <c r="E195" s="1">
        <f>Main_Data!E195</f>
        <v>6.8</v>
      </c>
      <c r="F195" s="1">
        <f>Main_Data!F195</f>
        <v>74</v>
      </c>
      <c r="G195" s="1">
        <f>Main_Data!G195</f>
        <v>103091358</v>
      </c>
      <c r="H195" s="1">
        <f>Main_Data!H195</f>
        <v>70</v>
      </c>
      <c r="I195" s="1">
        <f>Main_Data!I195</f>
        <v>13.3</v>
      </c>
      <c r="J195" s="1">
        <f>Main_Data!J195</f>
        <v>90</v>
      </c>
      <c r="K195" s="1">
        <f>Main_Data!K195</f>
        <v>68</v>
      </c>
      <c r="L195" s="1" t="str">
        <f>Main_Data!L195</f>
        <v>South America</v>
      </c>
      <c r="M195" s="1" t="str">
        <f>PROPER(TRIM(Main_Data!A195))</f>
        <v>Brazil</v>
      </c>
      <c r="N195" s="1" t="str">
        <f>PROPER(TRIM(Main_Data!B195))</f>
        <v>South America</v>
      </c>
      <c r="O195" s="1" t="str" cm="1">
        <f t="array" ref="O195">_xlfn.IFS(F195&gt;=80,"Very High",F195&gt;=70,"High",F195&gt;=60,"Medium",TRUE,"Low")</f>
        <v>High</v>
      </c>
      <c r="P195" s="1" t="str" cm="1">
        <f t="array" ref="P195">_xlfn.IFS(D195&gt;=40000,"High Income",D195&gt;=15000,"Middle Income",TRUE,"Low Income")</f>
        <v>High Income</v>
      </c>
      <c r="Q195" s="1" t="str">
        <f t="shared" ref="Q195:Q258" si="3">IF(COUNTIFS(A:A,A195,C:C,C195)&gt;1,"Duplicate","OK")</f>
        <v>Duplicate</v>
      </c>
    </row>
    <row r="196" spans="1:17" x14ac:dyDescent="0.25">
      <c r="A196" s="1" t="str">
        <f>Main_Data!A196</f>
        <v>China</v>
      </c>
      <c r="B196" s="1" t="str">
        <f>Main_Data!B196</f>
        <v>East Asia</v>
      </c>
      <c r="C196" s="1">
        <f>Main_Data!C196</f>
        <v>2022</v>
      </c>
      <c r="D196" s="1">
        <f>Main_Data!D196</f>
        <v>60801</v>
      </c>
      <c r="E196" s="1">
        <f>Main_Data!E196</f>
        <v>4.4000000000000004</v>
      </c>
      <c r="F196" s="1">
        <f>Main_Data!F196</f>
        <v>66</v>
      </c>
      <c r="G196" s="1">
        <f>Main_Data!G196</f>
        <v>411470199</v>
      </c>
      <c r="H196" s="1">
        <f>Main_Data!H196</f>
        <v>86</v>
      </c>
      <c r="I196" s="1">
        <f>Main_Data!I196</f>
        <v>21.8</v>
      </c>
      <c r="J196" s="1">
        <f>Main_Data!J196</f>
        <v>94</v>
      </c>
      <c r="K196" s="1">
        <f>Main_Data!K196</f>
        <v>64</v>
      </c>
      <c r="L196" s="1" t="str">
        <f>Main_Data!L196</f>
        <v>Asia</v>
      </c>
      <c r="M196" s="1" t="str">
        <f>PROPER(TRIM(Main_Data!A196))</f>
        <v>China</v>
      </c>
      <c r="N196" s="1" t="str">
        <f>PROPER(TRIM(Main_Data!B196))</f>
        <v>East Asia</v>
      </c>
      <c r="O196" s="1" t="str" cm="1">
        <f t="array" ref="O196">_xlfn.IFS(F196&gt;=80,"Very High",F196&gt;=70,"High",F196&gt;=60,"Medium",TRUE,"Low")</f>
        <v>Medium</v>
      </c>
      <c r="P196" s="1" t="str" cm="1">
        <f t="array" ref="P196">_xlfn.IFS(D196&gt;=40000,"High Income",D196&gt;=15000,"Middle Income",TRUE,"Low Income")</f>
        <v>High Income</v>
      </c>
      <c r="Q196" s="1" t="str">
        <f t="shared" si="3"/>
        <v>Duplicate</v>
      </c>
    </row>
    <row r="197" spans="1:17" x14ac:dyDescent="0.25">
      <c r="A197" s="1" t="str">
        <f>Main_Data!A197</f>
        <v>UK</v>
      </c>
      <c r="B197" s="1" t="str">
        <f>Main_Data!B197</f>
        <v>Europe</v>
      </c>
      <c r="C197" s="1">
        <f>Main_Data!C197</f>
        <v>2022</v>
      </c>
      <c r="D197" s="1">
        <f>Main_Data!D197</f>
        <v>17470</v>
      </c>
      <c r="E197" s="1">
        <f>Main_Data!E197</f>
        <v>3.9</v>
      </c>
      <c r="F197" s="1">
        <f>Main_Data!F197</f>
        <v>82</v>
      </c>
      <c r="G197" s="1">
        <f>Main_Data!G197</f>
        <v>391131065</v>
      </c>
      <c r="H197" s="1">
        <f>Main_Data!H197</f>
        <v>65</v>
      </c>
      <c r="I197" s="1">
        <f>Main_Data!I197</f>
        <v>22.5</v>
      </c>
      <c r="J197" s="1">
        <f>Main_Data!J197</f>
        <v>99</v>
      </c>
      <c r="K197" s="1">
        <f>Main_Data!K197</f>
        <v>84</v>
      </c>
      <c r="L197" s="1" t="str">
        <f>Main_Data!L197</f>
        <v>Europe</v>
      </c>
      <c r="M197" s="1" t="str">
        <f>PROPER(TRIM(Main_Data!A197))</f>
        <v>Uk</v>
      </c>
      <c r="N197" s="1" t="str">
        <f>PROPER(TRIM(Main_Data!B197))</f>
        <v>Europe</v>
      </c>
      <c r="O197" s="1" t="str" cm="1">
        <f t="array" ref="O197">_xlfn.IFS(F197&gt;=80,"Very High",F197&gt;=70,"High",F197&gt;=60,"Medium",TRUE,"Low")</f>
        <v>Very High</v>
      </c>
      <c r="P197" s="1" t="str" cm="1">
        <f t="array" ref="P197">_xlfn.IFS(D197&gt;=40000,"High Income",D197&gt;=15000,"Middle Income",TRUE,"Low Income")</f>
        <v>Middle Income</v>
      </c>
      <c r="Q197" s="1" t="str">
        <f t="shared" si="3"/>
        <v>Duplicate</v>
      </c>
    </row>
    <row r="198" spans="1:17" x14ac:dyDescent="0.25">
      <c r="A198" s="1" t="str">
        <f>Main_Data!A198</f>
        <v>Canada</v>
      </c>
      <c r="B198" s="1" t="str">
        <f>Main_Data!B198</f>
        <v>North America</v>
      </c>
      <c r="C198" s="1">
        <f>Main_Data!C198</f>
        <v>2020</v>
      </c>
      <c r="D198" s="1">
        <f>Main_Data!D198</f>
        <v>30158</v>
      </c>
      <c r="E198" s="1">
        <f>Main_Data!E198</f>
        <v>15.2</v>
      </c>
      <c r="F198" s="1">
        <f>Main_Data!F198</f>
        <v>63</v>
      </c>
      <c r="G198" s="1">
        <f>Main_Data!G198</f>
        <v>331730279</v>
      </c>
      <c r="H198" s="1">
        <f>Main_Data!H198</f>
        <v>52</v>
      </c>
      <c r="I198" s="1">
        <f>Main_Data!I198</f>
        <v>13.4</v>
      </c>
      <c r="J198" s="1">
        <f>Main_Data!J198</f>
        <v>71</v>
      </c>
      <c r="K198" s="1">
        <f>Main_Data!K198</f>
        <v>83</v>
      </c>
      <c r="L198" s="1" t="str">
        <f>Main_Data!L198</f>
        <v>North America</v>
      </c>
      <c r="M198" s="1" t="str">
        <f>PROPER(TRIM(Main_Data!A198))</f>
        <v>Canada</v>
      </c>
      <c r="N198" s="1" t="str">
        <f>PROPER(TRIM(Main_Data!B198))</f>
        <v>North America</v>
      </c>
      <c r="O198" s="1" t="str" cm="1">
        <f t="array" ref="O198">_xlfn.IFS(F198&gt;=80,"Very High",F198&gt;=70,"High",F198&gt;=60,"Medium",TRUE,"Low")</f>
        <v>Medium</v>
      </c>
      <c r="P198" s="1" t="str" cm="1">
        <f t="array" ref="P198">_xlfn.IFS(D198&gt;=40000,"High Income",D198&gt;=15000,"Middle Income",TRUE,"Low Income")</f>
        <v>Middle Income</v>
      </c>
      <c r="Q198" s="1" t="str">
        <f t="shared" si="3"/>
        <v>Duplicate</v>
      </c>
    </row>
    <row r="199" spans="1:17" x14ac:dyDescent="0.25">
      <c r="A199" s="1" t="str">
        <f>Main_Data!A199</f>
        <v>Australia</v>
      </c>
      <c r="B199" s="1" t="str">
        <f>Main_Data!B199</f>
        <v>Oceania</v>
      </c>
      <c r="C199" s="1">
        <f>Main_Data!C199</f>
        <v>2021</v>
      </c>
      <c r="D199" s="1">
        <f>Main_Data!D199</f>
        <v>59823</v>
      </c>
      <c r="E199" s="1">
        <f>Main_Data!E199</f>
        <v>10</v>
      </c>
      <c r="F199" s="1">
        <f>Main_Data!F199</f>
        <v>75</v>
      </c>
      <c r="G199" s="1">
        <f>Main_Data!G199</f>
        <v>981118344</v>
      </c>
      <c r="H199" s="1">
        <f>Main_Data!H199</f>
        <v>60</v>
      </c>
      <c r="I199" s="1">
        <f>Main_Data!I199</f>
        <v>9.3000000000000007</v>
      </c>
      <c r="J199" s="1">
        <f>Main_Data!J199</f>
        <v>83</v>
      </c>
      <c r="K199" s="1">
        <f>Main_Data!K199</f>
        <v>79</v>
      </c>
      <c r="L199" s="1" t="str">
        <f>Main_Data!L199</f>
        <v>Oceania</v>
      </c>
      <c r="M199" s="1" t="str">
        <f>PROPER(TRIM(Main_Data!A199))</f>
        <v>Australia</v>
      </c>
      <c r="N199" s="1" t="str">
        <f>PROPER(TRIM(Main_Data!B199))</f>
        <v>Oceania</v>
      </c>
      <c r="O199" s="1" t="str" cm="1">
        <f t="array" ref="O199">_xlfn.IFS(F199&gt;=80,"Very High",F199&gt;=70,"High",F199&gt;=60,"Medium",TRUE,"Low")</f>
        <v>High</v>
      </c>
      <c r="P199" s="1" t="str" cm="1">
        <f t="array" ref="P199">_xlfn.IFS(D199&gt;=40000,"High Income",D199&gt;=15000,"Middle Income",TRUE,"Low Income")</f>
        <v>High Income</v>
      </c>
      <c r="Q199" s="1" t="str">
        <f t="shared" si="3"/>
        <v>Duplicate</v>
      </c>
    </row>
    <row r="200" spans="1:17" x14ac:dyDescent="0.25">
      <c r="A200" s="1" t="str">
        <f>Main_Data!A200</f>
        <v>Japan</v>
      </c>
      <c r="B200" s="1" t="str">
        <f>Main_Data!B200</f>
        <v>East Asia</v>
      </c>
      <c r="C200" s="1">
        <f>Main_Data!C200</f>
        <v>2020</v>
      </c>
      <c r="D200" s="1">
        <f>Main_Data!D200</f>
        <v>62496</v>
      </c>
      <c r="E200" s="1">
        <f>Main_Data!E200</f>
        <v>4.7</v>
      </c>
      <c r="F200" s="1">
        <f>Main_Data!F200</f>
        <v>76</v>
      </c>
      <c r="G200" s="1">
        <f>Main_Data!G200</f>
        <v>1143301030</v>
      </c>
      <c r="H200" s="1">
        <f>Main_Data!H200</f>
        <v>76</v>
      </c>
      <c r="I200" s="1">
        <f>Main_Data!I200</f>
        <v>24.8</v>
      </c>
      <c r="J200" s="1">
        <f>Main_Data!J200</f>
        <v>84</v>
      </c>
      <c r="K200" s="1">
        <f>Main_Data!K200</f>
        <v>64</v>
      </c>
      <c r="L200" s="1" t="str">
        <f>Main_Data!L200</f>
        <v>Asia</v>
      </c>
      <c r="M200" s="1" t="str">
        <f>PROPER(TRIM(Main_Data!A200))</f>
        <v>Japan</v>
      </c>
      <c r="N200" s="1" t="str">
        <f>PROPER(TRIM(Main_Data!B200))</f>
        <v>East Asia</v>
      </c>
      <c r="O200" s="1" t="str" cm="1">
        <f t="array" ref="O200">_xlfn.IFS(F200&gt;=80,"Very High",F200&gt;=70,"High",F200&gt;=60,"Medium",TRUE,"Low")</f>
        <v>High</v>
      </c>
      <c r="P200" s="1" t="str" cm="1">
        <f t="array" ref="P200">_xlfn.IFS(D200&gt;=40000,"High Income",D200&gt;=15000,"Middle Income",TRUE,"Low Income")</f>
        <v>High Income</v>
      </c>
      <c r="Q200" s="1" t="str">
        <f t="shared" si="3"/>
        <v>Duplicate</v>
      </c>
    </row>
    <row r="201" spans="1:17" x14ac:dyDescent="0.25">
      <c r="A201" s="1" t="str">
        <f>Main_Data!A201</f>
        <v>South Africa</v>
      </c>
      <c r="B201" s="1" t="str">
        <f>Main_Data!B201</f>
        <v>Africa</v>
      </c>
      <c r="C201" s="1">
        <f>Main_Data!C201</f>
        <v>2022</v>
      </c>
      <c r="D201" s="1">
        <f>Main_Data!D201</f>
        <v>57594</v>
      </c>
      <c r="E201" s="1">
        <f>Main_Data!E201</f>
        <v>15.7</v>
      </c>
      <c r="F201" s="1">
        <f>Main_Data!F201</f>
        <v>79</v>
      </c>
      <c r="G201" s="1">
        <f>Main_Data!G201</f>
        <v>124442783</v>
      </c>
      <c r="H201" s="1">
        <f>Main_Data!H201</f>
        <v>55</v>
      </c>
      <c r="I201" s="1">
        <f>Main_Data!I201</f>
        <v>6.2</v>
      </c>
      <c r="J201" s="1">
        <f>Main_Data!J201</f>
        <v>70</v>
      </c>
      <c r="K201" s="1">
        <f>Main_Data!K201</f>
        <v>42</v>
      </c>
      <c r="L201" s="1" t="str">
        <f>Main_Data!L201</f>
        <v>Africa</v>
      </c>
      <c r="M201" s="1" t="str">
        <f>PROPER(TRIM(Main_Data!A201))</f>
        <v>South Africa</v>
      </c>
      <c r="N201" s="1" t="str">
        <f>PROPER(TRIM(Main_Data!B201))</f>
        <v>Africa</v>
      </c>
      <c r="O201" s="1" t="str" cm="1">
        <f t="array" ref="O201">_xlfn.IFS(F201&gt;=80,"Very High",F201&gt;=70,"High",F201&gt;=60,"Medium",TRUE,"Low")</f>
        <v>High</v>
      </c>
      <c r="P201" s="1" t="str" cm="1">
        <f t="array" ref="P201">_xlfn.IFS(D201&gt;=40000,"High Income",D201&gt;=15000,"Middle Income",TRUE,"Low Income")</f>
        <v>High Income</v>
      </c>
      <c r="Q201" s="1" t="str">
        <f t="shared" si="3"/>
        <v>Duplicate</v>
      </c>
    </row>
    <row r="202" spans="1:17" x14ac:dyDescent="0.25">
      <c r="A202" s="1" t="str">
        <f>Main_Data!A202</f>
        <v>India</v>
      </c>
      <c r="B202" s="1" t="str">
        <f>Main_Data!B202</f>
        <v>South Asia</v>
      </c>
      <c r="C202" s="1">
        <f>Main_Data!C202</f>
        <v>2021</v>
      </c>
      <c r="D202" s="1">
        <f>Main_Data!D202</f>
        <v>65364</v>
      </c>
      <c r="E202" s="1">
        <f>Main_Data!E202</f>
        <v>6.3</v>
      </c>
      <c r="F202" s="1">
        <f>Main_Data!F202</f>
        <v>69</v>
      </c>
      <c r="G202" s="1">
        <f>Main_Data!G202</f>
        <v>613657900</v>
      </c>
      <c r="H202" s="1">
        <f>Main_Data!H202</f>
        <v>65</v>
      </c>
      <c r="I202" s="1">
        <f>Main_Data!I202</f>
        <v>3</v>
      </c>
      <c r="J202" s="1">
        <f>Main_Data!J202</f>
        <v>92</v>
      </c>
      <c r="K202" s="1">
        <f>Main_Data!K202</f>
        <v>76</v>
      </c>
      <c r="L202" s="1" t="str">
        <f>Main_Data!L202</f>
        <v>Asia</v>
      </c>
      <c r="M202" s="1" t="str">
        <f>PROPER(TRIM(Main_Data!A202))</f>
        <v>India</v>
      </c>
      <c r="N202" s="1" t="str">
        <f>PROPER(TRIM(Main_Data!B202))</f>
        <v>South Asia</v>
      </c>
      <c r="O202" s="1" t="str" cm="1">
        <f t="array" ref="O202">_xlfn.IFS(F202&gt;=80,"Very High",F202&gt;=70,"High",F202&gt;=60,"Medium",TRUE,"Low")</f>
        <v>Medium</v>
      </c>
      <c r="P202" s="1" t="str" cm="1">
        <f t="array" ref="P202">_xlfn.IFS(D202&gt;=40000,"High Income",D202&gt;=15000,"Middle Income",TRUE,"Low Income")</f>
        <v>High Income</v>
      </c>
      <c r="Q202" s="1" t="str">
        <f t="shared" si="3"/>
        <v>Duplicate</v>
      </c>
    </row>
    <row r="203" spans="1:17" x14ac:dyDescent="0.25">
      <c r="A203" s="1" t="str">
        <f>Main_Data!A203</f>
        <v>USA</v>
      </c>
      <c r="B203" s="1" t="str">
        <f>Main_Data!B203</f>
        <v>North America</v>
      </c>
      <c r="C203" s="1">
        <f>Main_Data!C203</f>
        <v>2020</v>
      </c>
      <c r="D203" s="1">
        <f>Main_Data!D203</f>
        <v>25811</v>
      </c>
      <c r="E203" s="1">
        <f>Main_Data!E203</f>
        <v>5.2</v>
      </c>
      <c r="F203" s="1">
        <f>Main_Data!F203</f>
        <v>61</v>
      </c>
      <c r="G203" s="1">
        <f>Main_Data!G203</f>
        <v>1040959128</v>
      </c>
      <c r="H203" s="1">
        <f>Main_Data!H203</f>
        <v>72</v>
      </c>
      <c r="I203" s="1">
        <f>Main_Data!I203</f>
        <v>19.3</v>
      </c>
      <c r="J203" s="1">
        <f>Main_Data!J203</f>
        <v>70</v>
      </c>
      <c r="K203" s="1">
        <f>Main_Data!K203</f>
        <v>85</v>
      </c>
      <c r="L203" s="1" t="str">
        <f>Main_Data!L203</f>
        <v>North America</v>
      </c>
      <c r="M203" s="1" t="str">
        <f>PROPER(TRIM(Main_Data!A203))</f>
        <v>Usa</v>
      </c>
      <c r="N203" s="1" t="str">
        <f>PROPER(TRIM(Main_Data!B203))</f>
        <v>North America</v>
      </c>
      <c r="O203" s="1" t="str" cm="1">
        <f t="array" ref="O203">_xlfn.IFS(F203&gt;=80,"Very High",F203&gt;=70,"High",F203&gt;=60,"Medium",TRUE,"Low")</f>
        <v>Medium</v>
      </c>
      <c r="P203" s="1" t="str" cm="1">
        <f t="array" ref="P203">_xlfn.IFS(D203&gt;=40000,"High Income",D203&gt;=15000,"Middle Income",TRUE,"Low Income")</f>
        <v>Middle Income</v>
      </c>
      <c r="Q203" s="1" t="str">
        <f t="shared" si="3"/>
        <v>Duplicate</v>
      </c>
    </row>
    <row r="204" spans="1:17" x14ac:dyDescent="0.25">
      <c r="A204" s="1" t="str">
        <f>Main_Data!A204</f>
        <v>Germany</v>
      </c>
      <c r="B204" s="1" t="str">
        <f>Main_Data!B204</f>
        <v>Europe</v>
      </c>
      <c r="C204" s="1">
        <f>Main_Data!C204</f>
        <v>2022</v>
      </c>
      <c r="D204" s="1">
        <f>Main_Data!D204</f>
        <v>6682</v>
      </c>
      <c r="E204" s="1">
        <f>Main_Data!E204</f>
        <v>12.6</v>
      </c>
      <c r="F204" s="1">
        <f>Main_Data!F204</f>
        <v>64</v>
      </c>
      <c r="G204" s="1">
        <f>Main_Data!G204</f>
        <v>13341104</v>
      </c>
      <c r="H204" s="1">
        <f>Main_Data!H204</f>
        <v>76</v>
      </c>
      <c r="I204" s="1">
        <f>Main_Data!I204</f>
        <v>23.4</v>
      </c>
      <c r="J204" s="1">
        <f>Main_Data!J204</f>
        <v>80</v>
      </c>
      <c r="K204" s="1">
        <f>Main_Data!K204</f>
        <v>35</v>
      </c>
      <c r="L204" s="1" t="str">
        <f>Main_Data!L204</f>
        <v>Europe</v>
      </c>
      <c r="M204" s="1" t="str">
        <f>PROPER(TRIM(Main_Data!A204))</f>
        <v>Germany</v>
      </c>
      <c r="N204" s="1" t="str">
        <f>PROPER(TRIM(Main_Data!B204))</f>
        <v>Europe</v>
      </c>
      <c r="O204" s="1" t="str" cm="1">
        <f t="array" ref="O204">_xlfn.IFS(F204&gt;=80,"Very High",F204&gt;=70,"High",F204&gt;=60,"Medium",TRUE,"Low")</f>
        <v>Medium</v>
      </c>
      <c r="P204" s="1" t="str" cm="1">
        <f t="array" ref="P204">_xlfn.IFS(D204&gt;=40000,"High Income",D204&gt;=15000,"Middle Income",TRUE,"Low Income")</f>
        <v>Low Income</v>
      </c>
      <c r="Q204" s="1" t="str">
        <f t="shared" si="3"/>
        <v>Duplicate</v>
      </c>
    </row>
    <row r="205" spans="1:17" x14ac:dyDescent="0.25">
      <c r="A205" s="1" t="str">
        <f>Main_Data!A205</f>
        <v>Brazil</v>
      </c>
      <c r="B205" s="1" t="str">
        <f>Main_Data!B205</f>
        <v>South America</v>
      </c>
      <c r="C205" s="1">
        <f>Main_Data!C205</f>
        <v>2021</v>
      </c>
      <c r="D205" s="1">
        <f>Main_Data!D205</f>
        <v>50479</v>
      </c>
      <c r="E205" s="1">
        <f>Main_Data!E205</f>
        <v>14.4</v>
      </c>
      <c r="F205" s="1">
        <f>Main_Data!F205</f>
        <v>80</v>
      </c>
      <c r="G205" s="1">
        <f>Main_Data!G205</f>
        <v>773138670</v>
      </c>
      <c r="H205" s="1">
        <f>Main_Data!H205</f>
        <v>90</v>
      </c>
      <c r="I205" s="1">
        <f>Main_Data!I205</f>
        <v>5</v>
      </c>
      <c r="J205" s="1">
        <f>Main_Data!J205</f>
        <v>76</v>
      </c>
      <c r="K205" s="1">
        <f>Main_Data!K205</f>
        <v>70</v>
      </c>
      <c r="L205" s="1" t="str">
        <f>Main_Data!L205</f>
        <v>South America</v>
      </c>
      <c r="M205" s="1" t="str">
        <f>PROPER(TRIM(Main_Data!A205))</f>
        <v>Brazil</v>
      </c>
      <c r="N205" s="1" t="str">
        <f>PROPER(TRIM(Main_Data!B205))</f>
        <v>South America</v>
      </c>
      <c r="O205" s="1" t="str" cm="1">
        <f t="array" ref="O205">_xlfn.IFS(F205&gt;=80,"Very High",F205&gt;=70,"High",F205&gt;=60,"Medium",TRUE,"Low")</f>
        <v>Very High</v>
      </c>
      <c r="P205" s="1" t="str" cm="1">
        <f t="array" ref="P205">_xlfn.IFS(D205&gt;=40000,"High Income",D205&gt;=15000,"Middle Income",TRUE,"Low Income")</f>
        <v>High Income</v>
      </c>
      <c r="Q205" s="1" t="str">
        <f t="shared" si="3"/>
        <v>Duplicate</v>
      </c>
    </row>
    <row r="206" spans="1:17" x14ac:dyDescent="0.25">
      <c r="A206" s="1" t="str">
        <f>Main_Data!A206</f>
        <v>China</v>
      </c>
      <c r="B206" s="1" t="str">
        <f>Main_Data!B206</f>
        <v>East Asia</v>
      </c>
      <c r="C206" s="1">
        <f>Main_Data!C206</f>
        <v>2021</v>
      </c>
      <c r="D206" s="1">
        <f>Main_Data!D206</f>
        <v>40007</v>
      </c>
      <c r="E206" s="1">
        <f>Main_Data!E206</f>
        <v>6.7</v>
      </c>
      <c r="F206" s="1">
        <f>Main_Data!F206</f>
        <v>82</v>
      </c>
      <c r="G206" s="1">
        <f>Main_Data!G206</f>
        <v>1073901460</v>
      </c>
      <c r="H206" s="1">
        <f>Main_Data!H206</f>
        <v>50</v>
      </c>
      <c r="I206" s="1">
        <f>Main_Data!I206</f>
        <v>12.1</v>
      </c>
      <c r="J206" s="1">
        <f>Main_Data!J206</f>
        <v>97</v>
      </c>
      <c r="K206" s="1">
        <f>Main_Data!K206</f>
        <v>56</v>
      </c>
      <c r="L206" s="1" t="str">
        <f>Main_Data!L206</f>
        <v>Asia</v>
      </c>
      <c r="M206" s="1" t="str">
        <f>PROPER(TRIM(Main_Data!A206))</f>
        <v>China</v>
      </c>
      <c r="N206" s="1" t="str">
        <f>PROPER(TRIM(Main_Data!B206))</f>
        <v>East Asia</v>
      </c>
      <c r="O206" s="1" t="str" cm="1">
        <f t="array" ref="O206">_xlfn.IFS(F206&gt;=80,"Very High",F206&gt;=70,"High",F206&gt;=60,"Medium",TRUE,"Low")</f>
        <v>Very High</v>
      </c>
      <c r="P206" s="1" t="str" cm="1">
        <f t="array" ref="P206">_xlfn.IFS(D206&gt;=40000,"High Income",D206&gt;=15000,"Middle Income",TRUE,"Low Income")</f>
        <v>High Income</v>
      </c>
      <c r="Q206" s="1" t="str">
        <f t="shared" si="3"/>
        <v>Duplicate</v>
      </c>
    </row>
    <row r="207" spans="1:17" x14ac:dyDescent="0.25">
      <c r="A207" s="1" t="str">
        <f>Main_Data!A207</f>
        <v>UK</v>
      </c>
      <c r="B207" s="1" t="str">
        <f>Main_Data!B207</f>
        <v>Europe</v>
      </c>
      <c r="C207" s="1">
        <f>Main_Data!C207</f>
        <v>2021</v>
      </c>
      <c r="D207" s="1">
        <f>Main_Data!D207</f>
        <v>28234</v>
      </c>
      <c r="E207" s="1">
        <f>Main_Data!E207</f>
        <v>15.1</v>
      </c>
      <c r="F207" s="1">
        <f>Main_Data!F207</f>
        <v>70</v>
      </c>
      <c r="G207" s="1">
        <f>Main_Data!G207</f>
        <v>154075773</v>
      </c>
      <c r="H207" s="1">
        <f>Main_Data!H207</f>
        <v>91</v>
      </c>
      <c r="I207" s="1">
        <f>Main_Data!I207</f>
        <v>17.600000000000001</v>
      </c>
      <c r="J207" s="1">
        <f>Main_Data!J207</f>
        <v>79</v>
      </c>
      <c r="K207" s="1">
        <f>Main_Data!K207</f>
        <v>56</v>
      </c>
      <c r="L207" s="1" t="str">
        <f>Main_Data!L207</f>
        <v>Europe</v>
      </c>
      <c r="M207" s="1" t="str">
        <f>PROPER(TRIM(Main_Data!A207))</f>
        <v>Uk</v>
      </c>
      <c r="N207" s="1" t="str">
        <f>PROPER(TRIM(Main_Data!B207))</f>
        <v>Europe</v>
      </c>
      <c r="O207" s="1" t="str" cm="1">
        <f t="array" ref="O207">_xlfn.IFS(F207&gt;=80,"Very High",F207&gt;=70,"High",F207&gt;=60,"Medium",TRUE,"Low")</f>
        <v>High</v>
      </c>
      <c r="P207" s="1" t="str" cm="1">
        <f t="array" ref="P207">_xlfn.IFS(D207&gt;=40000,"High Income",D207&gt;=15000,"Middle Income",TRUE,"Low Income")</f>
        <v>Middle Income</v>
      </c>
      <c r="Q207" s="1" t="str">
        <f t="shared" si="3"/>
        <v>Duplicate</v>
      </c>
    </row>
    <row r="208" spans="1:17" x14ac:dyDescent="0.25">
      <c r="A208" s="1" t="str">
        <f>Main_Data!A208</f>
        <v>Canada</v>
      </c>
      <c r="B208" s="1" t="str">
        <f>Main_Data!B208</f>
        <v>North America</v>
      </c>
      <c r="C208" s="1">
        <f>Main_Data!C208</f>
        <v>2020</v>
      </c>
      <c r="D208" s="1">
        <f>Main_Data!D208</f>
        <v>64203</v>
      </c>
      <c r="E208" s="1">
        <f>Main_Data!E208</f>
        <v>9.1999999999999993</v>
      </c>
      <c r="F208" s="1">
        <f>Main_Data!F208</f>
        <v>62</v>
      </c>
      <c r="G208" s="1">
        <f>Main_Data!G208</f>
        <v>804347792</v>
      </c>
      <c r="H208" s="1">
        <f>Main_Data!H208</f>
        <v>58</v>
      </c>
      <c r="I208" s="1">
        <f>Main_Data!I208</f>
        <v>6.9</v>
      </c>
      <c r="J208" s="1">
        <f>Main_Data!J208</f>
        <v>75</v>
      </c>
      <c r="K208" s="1">
        <f>Main_Data!K208</f>
        <v>45</v>
      </c>
      <c r="L208" s="1" t="str">
        <f>Main_Data!L208</f>
        <v>North America</v>
      </c>
      <c r="M208" s="1" t="str">
        <f>PROPER(TRIM(Main_Data!A208))</f>
        <v>Canada</v>
      </c>
      <c r="N208" s="1" t="str">
        <f>PROPER(TRIM(Main_Data!B208))</f>
        <v>North America</v>
      </c>
      <c r="O208" s="1" t="str" cm="1">
        <f t="array" ref="O208">_xlfn.IFS(F208&gt;=80,"Very High",F208&gt;=70,"High",F208&gt;=60,"Medium",TRUE,"Low")</f>
        <v>Medium</v>
      </c>
      <c r="P208" s="1" t="str" cm="1">
        <f t="array" ref="P208">_xlfn.IFS(D208&gt;=40000,"High Income",D208&gt;=15000,"Middle Income",TRUE,"Low Income")</f>
        <v>High Income</v>
      </c>
      <c r="Q208" s="1" t="str">
        <f t="shared" si="3"/>
        <v>Duplicate</v>
      </c>
    </row>
    <row r="209" spans="1:17" x14ac:dyDescent="0.25">
      <c r="A209" s="1" t="str">
        <f>Main_Data!A209</f>
        <v>Australia</v>
      </c>
      <c r="B209" s="1" t="str">
        <f>Main_Data!B209</f>
        <v>Oceania</v>
      </c>
      <c r="C209" s="1">
        <f>Main_Data!C209</f>
        <v>2020</v>
      </c>
      <c r="D209" s="1">
        <f>Main_Data!D209</f>
        <v>18226</v>
      </c>
      <c r="E209" s="1">
        <f>Main_Data!E209</f>
        <v>13.3</v>
      </c>
      <c r="F209" s="1">
        <f>Main_Data!F209</f>
        <v>79</v>
      </c>
      <c r="G209" s="1">
        <f>Main_Data!G209</f>
        <v>10101523</v>
      </c>
      <c r="H209" s="1">
        <f>Main_Data!H209</f>
        <v>53</v>
      </c>
      <c r="I209" s="1">
        <f>Main_Data!I209</f>
        <v>11.5</v>
      </c>
      <c r="J209" s="1">
        <f>Main_Data!J209</f>
        <v>89</v>
      </c>
      <c r="K209" s="1">
        <f>Main_Data!K209</f>
        <v>45</v>
      </c>
      <c r="L209" s="1" t="str">
        <f>Main_Data!L209</f>
        <v>Oceania</v>
      </c>
      <c r="M209" s="1" t="str">
        <f>PROPER(TRIM(Main_Data!A209))</f>
        <v>Australia</v>
      </c>
      <c r="N209" s="1" t="str">
        <f>PROPER(TRIM(Main_Data!B209))</f>
        <v>Oceania</v>
      </c>
      <c r="O209" s="1" t="str" cm="1">
        <f t="array" ref="O209">_xlfn.IFS(F209&gt;=80,"Very High",F209&gt;=70,"High",F209&gt;=60,"Medium",TRUE,"Low")</f>
        <v>High</v>
      </c>
      <c r="P209" s="1" t="str" cm="1">
        <f t="array" ref="P209">_xlfn.IFS(D209&gt;=40000,"High Income",D209&gt;=15000,"Middle Income",TRUE,"Low Income")</f>
        <v>Middle Income</v>
      </c>
      <c r="Q209" s="1" t="str">
        <f t="shared" si="3"/>
        <v>Duplicate</v>
      </c>
    </row>
    <row r="210" spans="1:17" x14ac:dyDescent="0.25">
      <c r="A210" s="1" t="str">
        <f>Main_Data!A210</f>
        <v>Japan</v>
      </c>
      <c r="B210" s="1" t="str">
        <f>Main_Data!B210</f>
        <v>East Asia</v>
      </c>
      <c r="C210" s="1">
        <f>Main_Data!C210</f>
        <v>2020</v>
      </c>
      <c r="D210" s="1">
        <f>Main_Data!D210</f>
        <v>29364</v>
      </c>
      <c r="E210" s="1">
        <f>Main_Data!E210</f>
        <v>14</v>
      </c>
      <c r="F210" s="1">
        <f>Main_Data!F210</f>
        <v>84</v>
      </c>
      <c r="G210" s="1">
        <f>Main_Data!G210</f>
        <v>1098239651</v>
      </c>
      <c r="H210" s="1">
        <f>Main_Data!H210</f>
        <v>51</v>
      </c>
      <c r="I210" s="1">
        <f>Main_Data!I210</f>
        <v>14.1</v>
      </c>
      <c r="J210" s="1">
        <f>Main_Data!J210</f>
        <v>91</v>
      </c>
      <c r="K210" s="1">
        <f>Main_Data!K210</f>
        <v>72</v>
      </c>
      <c r="L210" s="1" t="str">
        <f>Main_Data!L210</f>
        <v>Asia</v>
      </c>
      <c r="M210" s="1" t="str">
        <f>PROPER(TRIM(Main_Data!A210))</f>
        <v>Japan</v>
      </c>
      <c r="N210" s="1" t="str">
        <f>PROPER(TRIM(Main_Data!B210))</f>
        <v>East Asia</v>
      </c>
      <c r="O210" s="1" t="str" cm="1">
        <f t="array" ref="O210">_xlfn.IFS(F210&gt;=80,"Very High",F210&gt;=70,"High",F210&gt;=60,"Medium",TRUE,"Low")</f>
        <v>Very High</v>
      </c>
      <c r="P210" s="1" t="str" cm="1">
        <f t="array" ref="P210">_xlfn.IFS(D210&gt;=40000,"High Income",D210&gt;=15000,"Middle Income",TRUE,"Low Income")</f>
        <v>Middle Income</v>
      </c>
      <c r="Q210" s="1" t="str">
        <f t="shared" si="3"/>
        <v>Duplicate</v>
      </c>
    </row>
    <row r="211" spans="1:17" x14ac:dyDescent="0.25">
      <c r="A211" s="1" t="str">
        <f>Main_Data!A211</f>
        <v>South Africa</v>
      </c>
      <c r="B211" s="1" t="str">
        <f>Main_Data!B211</f>
        <v>Africa</v>
      </c>
      <c r="C211" s="1">
        <f>Main_Data!C211</f>
        <v>2021</v>
      </c>
      <c r="D211" s="1">
        <f>Main_Data!D211</f>
        <v>56951</v>
      </c>
      <c r="E211" s="1">
        <f>Main_Data!E211</f>
        <v>4.4000000000000004</v>
      </c>
      <c r="F211" s="1">
        <f>Main_Data!F211</f>
        <v>72</v>
      </c>
      <c r="G211" s="1">
        <f>Main_Data!G211</f>
        <v>326854857</v>
      </c>
      <c r="H211" s="1">
        <f>Main_Data!H211</f>
        <v>75</v>
      </c>
      <c r="I211" s="1">
        <f>Main_Data!I211</f>
        <v>5.3</v>
      </c>
      <c r="J211" s="1">
        <f>Main_Data!J211</f>
        <v>96</v>
      </c>
      <c r="K211" s="1">
        <f>Main_Data!K211</f>
        <v>42</v>
      </c>
      <c r="L211" s="1" t="str">
        <f>Main_Data!L211</f>
        <v>Africa</v>
      </c>
      <c r="M211" s="1" t="str">
        <f>PROPER(TRIM(Main_Data!A211))</f>
        <v>South Africa</v>
      </c>
      <c r="N211" s="1" t="str">
        <f>PROPER(TRIM(Main_Data!B211))</f>
        <v>Africa</v>
      </c>
      <c r="O211" s="1" t="str" cm="1">
        <f t="array" ref="O211">_xlfn.IFS(F211&gt;=80,"Very High",F211&gt;=70,"High",F211&gt;=60,"Medium",TRUE,"Low")</f>
        <v>High</v>
      </c>
      <c r="P211" s="1" t="str" cm="1">
        <f t="array" ref="P211">_xlfn.IFS(D211&gt;=40000,"High Income",D211&gt;=15000,"Middle Income",TRUE,"Low Income")</f>
        <v>High Income</v>
      </c>
      <c r="Q211" s="1" t="str">
        <f t="shared" si="3"/>
        <v>Duplicate</v>
      </c>
    </row>
    <row r="212" spans="1:17" x14ac:dyDescent="0.25">
      <c r="A212" s="1" t="str">
        <f>Main_Data!A212</f>
        <v>India</v>
      </c>
      <c r="B212" s="1" t="str">
        <f>Main_Data!B212</f>
        <v>South Asia</v>
      </c>
      <c r="C212" s="1">
        <f>Main_Data!C212</f>
        <v>2021</v>
      </c>
      <c r="D212" s="1">
        <f>Main_Data!D212</f>
        <v>48719</v>
      </c>
      <c r="E212" s="1">
        <f>Main_Data!E212</f>
        <v>16.3</v>
      </c>
      <c r="F212" s="1">
        <f>Main_Data!F212</f>
        <v>72</v>
      </c>
      <c r="G212" s="1">
        <f>Main_Data!G212</f>
        <v>1330075108</v>
      </c>
      <c r="H212" s="1">
        <f>Main_Data!H212</f>
        <v>70</v>
      </c>
      <c r="I212" s="1">
        <f>Main_Data!I212</f>
        <v>9.9</v>
      </c>
      <c r="J212" s="1">
        <f>Main_Data!J212</f>
        <v>97</v>
      </c>
      <c r="K212" s="1">
        <f>Main_Data!K212</f>
        <v>43</v>
      </c>
      <c r="L212" s="1" t="str">
        <f>Main_Data!L212</f>
        <v>Asia</v>
      </c>
      <c r="M212" s="1" t="str">
        <f>PROPER(TRIM(Main_Data!A212))</f>
        <v>India</v>
      </c>
      <c r="N212" s="1" t="str">
        <f>PROPER(TRIM(Main_Data!B212))</f>
        <v>South Asia</v>
      </c>
      <c r="O212" s="1" t="str" cm="1">
        <f t="array" ref="O212">_xlfn.IFS(F212&gt;=80,"Very High",F212&gt;=70,"High",F212&gt;=60,"Medium",TRUE,"Low")</f>
        <v>High</v>
      </c>
      <c r="P212" s="1" t="str" cm="1">
        <f t="array" ref="P212">_xlfn.IFS(D212&gt;=40000,"High Income",D212&gt;=15000,"Middle Income",TRUE,"Low Income")</f>
        <v>High Income</v>
      </c>
      <c r="Q212" s="1" t="str">
        <f t="shared" si="3"/>
        <v>Duplicate</v>
      </c>
    </row>
    <row r="213" spans="1:17" x14ac:dyDescent="0.25">
      <c r="A213" s="1" t="str">
        <f>Main_Data!A213</f>
        <v>USA</v>
      </c>
      <c r="B213" s="1" t="str">
        <f>Main_Data!B213</f>
        <v>North America</v>
      </c>
      <c r="C213" s="1">
        <f>Main_Data!C213</f>
        <v>2021</v>
      </c>
      <c r="D213" s="1">
        <f>Main_Data!D213</f>
        <v>25391</v>
      </c>
      <c r="E213" s="1">
        <f>Main_Data!E213</f>
        <v>8</v>
      </c>
      <c r="F213" s="1">
        <f>Main_Data!F213</f>
        <v>69</v>
      </c>
      <c r="G213" s="1">
        <f>Main_Data!G213</f>
        <v>641610669</v>
      </c>
      <c r="H213" s="1">
        <f>Main_Data!H213</f>
        <v>88</v>
      </c>
      <c r="I213" s="1">
        <f>Main_Data!I213</f>
        <v>20.100000000000001</v>
      </c>
      <c r="J213" s="1">
        <f>Main_Data!J213</f>
        <v>84</v>
      </c>
      <c r="K213" s="1">
        <f>Main_Data!K213</f>
        <v>57</v>
      </c>
      <c r="L213" s="1" t="str">
        <f>Main_Data!L213</f>
        <v>North America</v>
      </c>
      <c r="M213" s="1" t="str">
        <f>PROPER(TRIM(Main_Data!A213))</f>
        <v>Usa</v>
      </c>
      <c r="N213" s="1" t="str">
        <f>PROPER(TRIM(Main_Data!B213))</f>
        <v>North America</v>
      </c>
      <c r="O213" s="1" t="str" cm="1">
        <f t="array" ref="O213">_xlfn.IFS(F213&gt;=80,"Very High",F213&gt;=70,"High",F213&gt;=60,"Medium",TRUE,"Low")</f>
        <v>Medium</v>
      </c>
      <c r="P213" s="1" t="str" cm="1">
        <f t="array" ref="P213">_xlfn.IFS(D213&gt;=40000,"High Income",D213&gt;=15000,"Middle Income",TRUE,"Low Income")</f>
        <v>Middle Income</v>
      </c>
      <c r="Q213" s="1" t="str">
        <f t="shared" si="3"/>
        <v>Duplicate</v>
      </c>
    </row>
    <row r="214" spans="1:17" x14ac:dyDescent="0.25">
      <c r="A214" s="1" t="str">
        <f>Main_Data!A214</f>
        <v>Germany</v>
      </c>
      <c r="B214" s="1" t="str">
        <f>Main_Data!B214</f>
        <v>Europe</v>
      </c>
      <c r="C214" s="1">
        <f>Main_Data!C214</f>
        <v>2020</v>
      </c>
      <c r="D214" s="1">
        <f>Main_Data!D214</f>
        <v>65349</v>
      </c>
      <c r="E214" s="1">
        <f>Main_Data!E214</f>
        <v>6.8</v>
      </c>
      <c r="F214" s="1">
        <f>Main_Data!F214</f>
        <v>75</v>
      </c>
      <c r="G214" s="1">
        <f>Main_Data!G214</f>
        <v>506013176</v>
      </c>
      <c r="H214" s="1">
        <f>Main_Data!H214</f>
        <v>82</v>
      </c>
      <c r="I214" s="1">
        <f>Main_Data!I214</f>
        <v>23.9</v>
      </c>
      <c r="J214" s="1">
        <f>Main_Data!J214</f>
        <v>100</v>
      </c>
      <c r="K214" s="1">
        <f>Main_Data!K214</f>
        <v>50</v>
      </c>
      <c r="L214" s="1" t="str">
        <f>Main_Data!L214</f>
        <v>Europe</v>
      </c>
      <c r="M214" s="1" t="str">
        <f>PROPER(TRIM(Main_Data!A214))</f>
        <v>Germany</v>
      </c>
      <c r="N214" s="1" t="str">
        <f>PROPER(TRIM(Main_Data!B214))</f>
        <v>Europe</v>
      </c>
      <c r="O214" s="1" t="str" cm="1">
        <f t="array" ref="O214">_xlfn.IFS(F214&gt;=80,"Very High",F214&gt;=70,"High",F214&gt;=60,"Medium",TRUE,"Low")</f>
        <v>High</v>
      </c>
      <c r="P214" s="1" t="str" cm="1">
        <f t="array" ref="P214">_xlfn.IFS(D214&gt;=40000,"High Income",D214&gt;=15000,"Middle Income",TRUE,"Low Income")</f>
        <v>High Income</v>
      </c>
      <c r="Q214" s="1" t="str">
        <f t="shared" si="3"/>
        <v>Duplicate</v>
      </c>
    </row>
    <row r="215" spans="1:17" x14ac:dyDescent="0.25">
      <c r="A215" s="1" t="str">
        <f>Main_Data!A215</f>
        <v>Brazil</v>
      </c>
      <c r="B215" s="1" t="str">
        <f>Main_Data!B215</f>
        <v>South America</v>
      </c>
      <c r="C215" s="1">
        <f>Main_Data!C215</f>
        <v>2022</v>
      </c>
      <c r="D215" s="1">
        <f>Main_Data!D215</f>
        <v>69420</v>
      </c>
      <c r="E215" s="1">
        <f>Main_Data!E215</f>
        <v>15</v>
      </c>
      <c r="F215" s="1">
        <f>Main_Data!F215</f>
        <v>82</v>
      </c>
      <c r="G215" s="1">
        <f>Main_Data!G215</f>
        <v>1398349896</v>
      </c>
      <c r="H215" s="1">
        <f>Main_Data!H215</f>
        <v>54</v>
      </c>
      <c r="I215" s="1">
        <f>Main_Data!I215</f>
        <v>14.1</v>
      </c>
      <c r="J215" s="1">
        <f>Main_Data!J215</f>
        <v>97</v>
      </c>
      <c r="K215" s="1">
        <f>Main_Data!K215</f>
        <v>83</v>
      </c>
      <c r="L215" s="1" t="str">
        <f>Main_Data!L215</f>
        <v>South America</v>
      </c>
      <c r="M215" s="1" t="str">
        <f>PROPER(TRIM(Main_Data!A215))</f>
        <v>Brazil</v>
      </c>
      <c r="N215" s="1" t="str">
        <f>PROPER(TRIM(Main_Data!B215))</f>
        <v>South America</v>
      </c>
      <c r="O215" s="1" t="str" cm="1">
        <f t="array" ref="O215">_xlfn.IFS(F215&gt;=80,"Very High",F215&gt;=70,"High",F215&gt;=60,"Medium",TRUE,"Low")</f>
        <v>Very High</v>
      </c>
      <c r="P215" s="1" t="str" cm="1">
        <f t="array" ref="P215">_xlfn.IFS(D215&gt;=40000,"High Income",D215&gt;=15000,"Middle Income",TRUE,"Low Income")</f>
        <v>High Income</v>
      </c>
      <c r="Q215" s="1" t="str">
        <f t="shared" si="3"/>
        <v>Duplicate</v>
      </c>
    </row>
    <row r="216" spans="1:17" x14ac:dyDescent="0.25">
      <c r="A216" s="1" t="str">
        <f>Main_Data!A216</f>
        <v>China</v>
      </c>
      <c r="B216" s="1" t="str">
        <f>Main_Data!B216</f>
        <v>East Asia</v>
      </c>
      <c r="C216" s="1">
        <f>Main_Data!C216</f>
        <v>2020</v>
      </c>
      <c r="D216" s="1">
        <f>Main_Data!D216</f>
        <v>25281</v>
      </c>
      <c r="E216" s="1">
        <f>Main_Data!E216</f>
        <v>9.6</v>
      </c>
      <c r="F216" s="1">
        <f>Main_Data!F216</f>
        <v>66</v>
      </c>
      <c r="G216" s="1">
        <f>Main_Data!G216</f>
        <v>186912023</v>
      </c>
      <c r="H216" s="1">
        <f>Main_Data!H216</f>
        <v>75</v>
      </c>
      <c r="I216" s="1">
        <f>Main_Data!I216</f>
        <v>4.8</v>
      </c>
      <c r="J216" s="1">
        <f>Main_Data!J216</f>
        <v>85</v>
      </c>
      <c r="K216" s="1">
        <f>Main_Data!K216</f>
        <v>60</v>
      </c>
      <c r="L216" s="1" t="str">
        <f>Main_Data!L216</f>
        <v>Asia</v>
      </c>
      <c r="M216" s="1" t="str">
        <f>PROPER(TRIM(Main_Data!A216))</f>
        <v>China</v>
      </c>
      <c r="N216" s="1" t="str">
        <f>PROPER(TRIM(Main_Data!B216))</f>
        <v>East Asia</v>
      </c>
      <c r="O216" s="1" t="str" cm="1">
        <f t="array" ref="O216">_xlfn.IFS(F216&gt;=80,"Very High",F216&gt;=70,"High",F216&gt;=60,"Medium",TRUE,"Low")</f>
        <v>Medium</v>
      </c>
      <c r="P216" s="1" t="str" cm="1">
        <f t="array" ref="P216">_xlfn.IFS(D216&gt;=40000,"High Income",D216&gt;=15000,"Middle Income",TRUE,"Low Income")</f>
        <v>Middle Income</v>
      </c>
      <c r="Q216" s="1" t="str">
        <f t="shared" si="3"/>
        <v>Duplicate</v>
      </c>
    </row>
    <row r="217" spans="1:17" x14ac:dyDescent="0.25">
      <c r="A217" s="1" t="str">
        <f>Main_Data!A217</f>
        <v>UK</v>
      </c>
      <c r="B217" s="1" t="str">
        <f>Main_Data!B217</f>
        <v>Europe</v>
      </c>
      <c r="C217" s="1">
        <f>Main_Data!C217</f>
        <v>2022</v>
      </c>
      <c r="D217" s="1">
        <f>Main_Data!D217</f>
        <v>27693</v>
      </c>
      <c r="E217" s="1">
        <f>Main_Data!E217</f>
        <v>4.5</v>
      </c>
      <c r="F217" s="1">
        <f>Main_Data!F217</f>
        <v>73</v>
      </c>
      <c r="G217" s="1">
        <f>Main_Data!G217</f>
        <v>406612262</v>
      </c>
      <c r="H217" s="1">
        <f>Main_Data!H217</f>
        <v>58</v>
      </c>
      <c r="I217" s="1">
        <f>Main_Data!I217</f>
        <v>20.9</v>
      </c>
      <c r="J217" s="1">
        <f>Main_Data!J217</f>
        <v>89</v>
      </c>
      <c r="K217" s="1">
        <f>Main_Data!K217</f>
        <v>53</v>
      </c>
      <c r="L217" s="1" t="str">
        <f>Main_Data!L217</f>
        <v>Europe</v>
      </c>
      <c r="M217" s="1" t="str">
        <f>PROPER(TRIM(Main_Data!A217))</f>
        <v>Uk</v>
      </c>
      <c r="N217" s="1" t="str">
        <f>PROPER(TRIM(Main_Data!B217))</f>
        <v>Europe</v>
      </c>
      <c r="O217" s="1" t="str" cm="1">
        <f t="array" ref="O217">_xlfn.IFS(F217&gt;=80,"Very High",F217&gt;=70,"High",F217&gt;=60,"Medium",TRUE,"Low")</f>
        <v>High</v>
      </c>
      <c r="P217" s="1" t="str" cm="1">
        <f t="array" ref="P217">_xlfn.IFS(D217&gt;=40000,"High Income",D217&gt;=15000,"Middle Income",TRUE,"Low Income")</f>
        <v>Middle Income</v>
      </c>
      <c r="Q217" s="1" t="str">
        <f t="shared" si="3"/>
        <v>Duplicate</v>
      </c>
    </row>
    <row r="218" spans="1:17" x14ac:dyDescent="0.25">
      <c r="A218" s="1" t="str">
        <f>Main_Data!A218</f>
        <v>Canada</v>
      </c>
      <c r="B218" s="1" t="str">
        <f>Main_Data!B218</f>
        <v>North America</v>
      </c>
      <c r="C218" s="1">
        <f>Main_Data!C218</f>
        <v>2022</v>
      </c>
      <c r="D218" s="1">
        <f>Main_Data!D218</f>
        <v>54392</v>
      </c>
      <c r="E218" s="1">
        <f>Main_Data!E218</f>
        <v>9.4</v>
      </c>
      <c r="F218" s="1">
        <f>Main_Data!F218</f>
        <v>63</v>
      </c>
      <c r="G218" s="1">
        <f>Main_Data!G218</f>
        <v>756127784</v>
      </c>
      <c r="H218" s="1">
        <f>Main_Data!H218</f>
        <v>57</v>
      </c>
      <c r="I218" s="1">
        <f>Main_Data!I218</f>
        <v>11.1</v>
      </c>
      <c r="J218" s="1">
        <f>Main_Data!J218</f>
        <v>91</v>
      </c>
      <c r="K218" s="1">
        <f>Main_Data!K218</f>
        <v>71</v>
      </c>
      <c r="L218" s="1" t="str">
        <f>Main_Data!L218</f>
        <v>North America</v>
      </c>
      <c r="M218" s="1" t="str">
        <f>PROPER(TRIM(Main_Data!A218))</f>
        <v>Canada</v>
      </c>
      <c r="N218" s="1" t="str">
        <f>PROPER(TRIM(Main_Data!B218))</f>
        <v>North America</v>
      </c>
      <c r="O218" s="1" t="str" cm="1">
        <f t="array" ref="O218">_xlfn.IFS(F218&gt;=80,"Very High",F218&gt;=70,"High",F218&gt;=60,"Medium",TRUE,"Low")</f>
        <v>Medium</v>
      </c>
      <c r="P218" s="1" t="str" cm="1">
        <f t="array" ref="P218">_xlfn.IFS(D218&gt;=40000,"High Income",D218&gt;=15000,"Middle Income",TRUE,"Low Income")</f>
        <v>High Income</v>
      </c>
      <c r="Q218" s="1" t="str">
        <f t="shared" si="3"/>
        <v>Duplicate</v>
      </c>
    </row>
    <row r="219" spans="1:17" x14ac:dyDescent="0.25">
      <c r="A219" s="1" t="str">
        <f>Main_Data!A219</f>
        <v>Australia</v>
      </c>
      <c r="B219" s="1" t="str">
        <f>Main_Data!B219</f>
        <v>Oceania</v>
      </c>
      <c r="C219" s="1">
        <f>Main_Data!C219</f>
        <v>2022</v>
      </c>
      <c r="D219" s="1">
        <f>Main_Data!D219</f>
        <v>45061</v>
      </c>
      <c r="E219" s="1">
        <f>Main_Data!E219</f>
        <v>6</v>
      </c>
      <c r="F219" s="1">
        <f>Main_Data!F219</f>
        <v>68</v>
      </c>
      <c r="G219" s="1">
        <f>Main_Data!G219</f>
        <v>1087600014</v>
      </c>
      <c r="H219" s="1">
        <f>Main_Data!H219</f>
        <v>95</v>
      </c>
      <c r="I219" s="1">
        <f>Main_Data!I219</f>
        <v>15.1</v>
      </c>
      <c r="J219" s="1">
        <f>Main_Data!J219</f>
        <v>100</v>
      </c>
      <c r="K219" s="1">
        <f>Main_Data!K219</f>
        <v>66</v>
      </c>
      <c r="L219" s="1" t="str">
        <f>Main_Data!L219</f>
        <v>Oceania</v>
      </c>
      <c r="M219" s="1" t="str">
        <f>PROPER(TRIM(Main_Data!A219))</f>
        <v>Australia</v>
      </c>
      <c r="N219" s="1" t="str">
        <f>PROPER(TRIM(Main_Data!B219))</f>
        <v>Oceania</v>
      </c>
      <c r="O219" s="1" t="str" cm="1">
        <f t="array" ref="O219">_xlfn.IFS(F219&gt;=80,"Very High",F219&gt;=70,"High",F219&gt;=60,"Medium",TRUE,"Low")</f>
        <v>Medium</v>
      </c>
      <c r="P219" s="1" t="str" cm="1">
        <f t="array" ref="P219">_xlfn.IFS(D219&gt;=40000,"High Income",D219&gt;=15000,"Middle Income",TRUE,"Low Income")</f>
        <v>High Income</v>
      </c>
      <c r="Q219" s="1" t="str">
        <f t="shared" si="3"/>
        <v>Duplicate</v>
      </c>
    </row>
    <row r="220" spans="1:17" x14ac:dyDescent="0.25">
      <c r="A220" s="1" t="str">
        <f>Main_Data!A220</f>
        <v>Japan</v>
      </c>
      <c r="B220" s="1" t="str">
        <f>Main_Data!B220</f>
        <v>East Asia</v>
      </c>
      <c r="C220" s="1">
        <f>Main_Data!C220</f>
        <v>2021</v>
      </c>
      <c r="D220" s="1">
        <f>Main_Data!D220</f>
        <v>12832</v>
      </c>
      <c r="E220" s="1">
        <f>Main_Data!E220</f>
        <v>4.5999999999999996</v>
      </c>
      <c r="F220" s="1">
        <f>Main_Data!F220</f>
        <v>67</v>
      </c>
      <c r="G220" s="1">
        <f>Main_Data!G220</f>
        <v>1351589766</v>
      </c>
      <c r="H220" s="1">
        <f>Main_Data!H220</f>
        <v>73</v>
      </c>
      <c r="I220" s="1">
        <f>Main_Data!I220</f>
        <v>14.8</v>
      </c>
      <c r="J220" s="1">
        <f>Main_Data!J220</f>
        <v>70</v>
      </c>
      <c r="K220" s="1">
        <f>Main_Data!K220</f>
        <v>79</v>
      </c>
      <c r="L220" s="1" t="str">
        <f>Main_Data!L220</f>
        <v>Asia</v>
      </c>
      <c r="M220" s="1" t="str">
        <f>PROPER(TRIM(Main_Data!A220))</f>
        <v>Japan</v>
      </c>
      <c r="N220" s="1" t="str">
        <f>PROPER(TRIM(Main_Data!B220))</f>
        <v>East Asia</v>
      </c>
      <c r="O220" s="1" t="str" cm="1">
        <f t="array" ref="O220">_xlfn.IFS(F220&gt;=80,"Very High",F220&gt;=70,"High",F220&gt;=60,"Medium",TRUE,"Low")</f>
        <v>Medium</v>
      </c>
      <c r="P220" s="1" t="str" cm="1">
        <f t="array" ref="P220">_xlfn.IFS(D220&gt;=40000,"High Income",D220&gt;=15000,"Middle Income",TRUE,"Low Income")</f>
        <v>Low Income</v>
      </c>
      <c r="Q220" s="1" t="str">
        <f t="shared" si="3"/>
        <v>Duplicate</v>
      </c>
    </row>
    <row r="221" spans="1:17" x14ac:dyDescent="0.25">
      <c r="A221" s="1" t="str">
        <f>Main_Data!A221</f>
        <v>South Africa</v>
      </c>
      <c r="B221" s="1" t="str">
        <f>Main_Data!B221</f>
        <v>Africa</v>
      </c>
      <c r="C221" s="1">
        <f>Main_Data!C221</f>
        <v>2022</v>
      </c>
      <c r="D221" s="1">
        <f>Main_Data!D221</f>
        <v>36196</v>
      </c>
      <c r="E221" s="1">
        <f>Main_Data!E221</f>
        <v>9.5</v>
      </c>
      <c r="F221" s="1">
        <f>Main_Data!F221</f>
        <v>76</v>
      </c>
      <c r="G221" s="1">
        <f>Main_Data!G221</f>
        <v>568305105</v>
      </c>
      <c r="H221" s="1">
        <f>Main_Data!H221</f>
        <v>64</v>
      </c>
      <c r="I221" s="1">
        <f>Main_Data!I221</f>
        <v>9</v>
      </c>
      <c r="J221" s="1">
        <f>Main_Data!J221</f>
        <v>90</v>
      </c>
      <c r="K221" s="1">
        <f>Main_Data!K221</f>
        <v>42</v>
      </c>
      <c r="L221" s="1" t="str">
        <f>Main_Data!L221</f>
        <v>Africa</v>
      </c>
      <c r="M221" s="1" t="str">
        <f>PROPER(TRIM(Main_Data!A221))</f>
        <v>South Africa</v>
      </c>
      <c r="N221" s="1" t="str">
        <f>PROPER(TRIM(Main_Data!B221))</f>
        <v>Africa</v>
      </c>
      <c r="O221" s="1" t="str" cm="1">
        <f t="array" ref="O221">_xlfn.IFS(F221&gt;=80,"Very High",F221&gt;=70,"High",F221&gt;=60,"Medium",TRUE,"Low")</f>
        <v>High</v>
      </c>
      <c r="P221" s="1" t="str" cm="1">
        <f t="array" ref="P221">_xlfn.IFS(D221&gt;=40000,"High Income",D221&gt;=15000,"Middle Income",TRUE,"Low Income")</f>
        <v>Middle Income</v>
      </c>
      <c r="Q221" s="1" t="str">
        <f t="shared" si="3"/>
        <v>Duplicate</v>
      </c>
    </row>
    <row r="222" spans="1:17" x14ac:dyDescent="0.25">
      <c r="A222" s="1" t="str">
        <f>Main_Data!A222</f>
        <v>India</v>
      </c>
      <c r="B222" s="1" t="str">
        <f>Main_Data!B222</f>
        <v>South Asia</v>
      </c>
      <c r="C222" s="1">
        <f>Main_Data!C222</f>
        <v>2020</v>
      </c>
      <c r="D222" s="1">
        <f>Main_Data!D222</f>
        <v>50070</v>
      </c>
      <c r="E222" s="1">
        <f>Main_Data!E222</f>
        <v>6.6</v>
      </c>
      <c r="F222" s="1">
        <f>Main_Data!F222</f>
        <v>70</v>
      </c>
      <c r="G222" s="1">
        <f>Main_Data!G222</f>
        <v>132933727</v>
      </c>
      <c r="H222" s="1">
        <f>Main_Data!H222</f>
        <v>51</v>
      </c>
      <c r="I222" s="1">
        <f>Main_Data!I222</f>
        <v>10.9</v>
      </c>
      <c r="J222" s="1">
        <f>Main_Data!J222</f>
        <v>82</v>
      </c>
      <c r="K222" s="1">
        <f>Main_Data!K222</f>
        <v>73</v>
      </c>
      <c r="L222" s="1" t="str">
        <f>Main_Data!L222</f>
        <v>Asia</v>
      </c>
      <c r="M222" s="1" t="str">
        <f>PROPER(TRIM(Main_Data!A222))</f>
        <v>India</v>
      </c>
      <c r="N222" s="1" t="str">
        <f>PROPER(TRIM(Main_Data!B222))</f>
        <v>South Asia</v>
      </c>
      <c r="O222" s="1" t="str" cm="1">
        <f t="array" ref="O222">_xlfn.IFS(F222&gt;=80,"Very High",F222&gt;=70,"High",F222&gt;=60,"Medium",TRUE,"Low")</f>
        <v>High</v>
      </c>
      <c r="P222" s="1" t="str" cm="1">
        <f t="array" ref="P222">_xlfn.IFS(D222&gt;=40000,"High Income",D222&gt;=15000,"Middle Income",TRUE,"Low Income")</f>
        <v>High Income</v>
      </c>
      <c r="Q222" s="1" t="str">
        <f t="shared" si="3"/>
        <v>Duplicate</v>
      </c>
    </row>
    <row r="223" spans="1:17" x14ac:dyDescent="0.25">
      <c r="A223" s="1" t="str">
        <f>Main_Data!A223</f>
        <v>USA</v>
      </c>
      <c r="B223" s="1" t="str">
        <f>Main_Data!B223</f>
        <v>North America</v>
      </c>
      <c r="C223" s="1">
        <f>Main_Data!C223</f>
        <v>2021</v>
      </c>
      <c r="D223" s="1">
        <f>Main_Data!D223</f>
        <v>61031</v>
      </c>
      <c r="E223" s="1">
        <f>Main_Data!E223</f>
        <v>14.2</v>
      </c>
      <c r="F223" s="1">
        <f>Main_Data!F223</f>
        <v>62</v>
      </c>
      <c r="G223" s="1">
        <f>Main_Data!G223</f>
        <v>66452698</v>
      </c>
      <c r="H223" s="1">
        <f>Main_Data!H223</f>
        <v>64</v>
      </c>
      <c r="I223" s="1">
        <f>Main_Data!I223</f>
        <v>15.6</v>
      </c>
      <c r="J223" s="1">
        <f>Main_Data!J223</f>
        <v>87</v>
      </c>
      <c r="K223" s="1">
        <f>Main_Data!K223</f>
        <v>30</v>
      </c>
      <c r="L223" s="1" t="str">
        <f>Main_Data!L223</f>
        <v>North America</v>
      </c>
      <c r="M223" s="1" t="str">
        <f>PROPER(TRIM(Main_Data!A223))</f>
        <v>Usa</v>
      </c>
      <c r="N223" s="1" t="str">
        <f>PROPER(TRIM(Main_Data!B223))</f>
        <v>North America</v>
      </c>
      <c r="O223" s="1" t="str" cm="1">
        <f t="array" ref="O223">_xlfn.IFS(F223&gt;=80,"Very High",F223&gt;=70,"High",F223&gt;=60,"Medium",TRUE,"Low")</f>
        <v>Medium</v>
      </c>
      <c r="P223" s="1" t="str" cm="1">
        <f t="array" ref="P223">_xlfn.IFS(D223&gt;=40000,"High Income",D223&gt;=15000,"Middle Income",TRUE,"Low Income")</f>
        <v>High Income</v>
      </c>
      <c r="Q223" s="1" t="str">
        <f t="shared" si="3"/>
        <v>Duplicate</v>
      </c>
    </row>
    <row r="224" spans="1:17" x14ac:dyDescent="0.25">
      <c r="A224" s="1" t="str">
        <f>Main_Data!A224</f>
        <v>Germany</v>
      </c>
      <c r="B224" s="1" t="str">
        <f>Main_Data!B224</f>
        <v>Europe</v>
      </c>
      <c r="C224" s="1">
        <f>Main_Data!C224</f>
        <v>2021</v>
      </c>
      <c r="D224" s="1">
        <f>Main_Data!D224</f>
        <v>38446</v>
      </c>
      <c r="E224" s="1">
        <f>Main_Data!E224</f>
        <v>10.1</v>
      </c>
      <c r="F224" s="1">
        <f>Main_Data!F224</f>
        <v>65</v>
      </c>
      <c r="G224" s="1">
        <f>Main_Data!G224</f>
        <v>1215430400</v>
      </c>
      <c r="H224" s="1">
        <f>Main_Data!H224</f>
        <v>77</v>
      </c>
      <c r="I224" s="1">
        <f>Main_Data!I224</f>
        <v>11.1</v>
      </c>
      <c r="J224" s="1">
        <f>Main_Data!J224</f>
        <v>94</v>
      </c>
      <c r="K224" s="1">
        <f>Main_Data!K224</f>
        <v>80</v>
      </c>
      <c r="L224" s="1" t="str">
        <f>Main_Data!L224</f>
        <v>Europe</v>
      </c>
      <c r="M224" s="1" t="str">
        <f>PROPER(TRIM(Main_Data!A224))</f>
        <v>Germany</v>
      </c>
      <c r="N224" s="1" t="str">
        <f>PROPER(TRIM(Main_Data!B224))</f>
        <v>Europe</v>
      </c>
      <c r="O224" s="1" t="str" cm="1">
        <f t="array" ref="O224">_xlfn.IFS(F224&gt;=80,"Very High",F224&gt;=70,"High",F224&gt;=60,"Medium",TRUE,"Low")</f>
        <v>Medium</v>
      </c>
      <c r="P224" s="1" t="str" cm="1">
        <f t="array" ref="P224">_xlfn.IFS(D224&gt;=40000,"High Income",D224&gt;=15000,"Middle Income",TRUE,"Low Income")</f>
        <v>Middle Income</v>
      </c>
      <c r="Q224" s="1" t="str">
        <f t="shared" si="3"/>
        <v>Duplicate</v>
      </c>
    </row>
    <row r="225" spans="1:17" x14ac:dyDescent="0.25">
      <c r="A225" s="1" t="str">
        <f>Main_Data!A225</f>
        <v>Brazil</v>
      </c>
      <c r="B225" s="1" t="str">
        <f>Main_Data!B225</f>
        <v>South America</v>
      </c>
      <c r="C225" s="1">
        <f>Main_Data!C225</f>
        <v>2022</v>
      </c>
      <c r="D225" s="1">
        <f>Main_Data!D225</f>
        <v>3632</v>
      </c>
      <c r="E225" s="1">
        <f>Main_Data!E225</f>
        <v>3.9</v>
      </c>
      <c r="F225" s="1">
        <f>Main_Data!F225</f>
        <v>66</v>
      </c>
      <c r="G225" s="1">
        <f>Main_Data!G225</f>
        <v>436429142</v>
      </c>
      <c r="H225" s="1">
        <f>Main_Data!H225</f>
        <v>92</v>
      </c>
      <c r="I225" s="1">
        <f>Main_Data!I225</f>
        <v>23.5</v>
      </c>
      <c r="J225" s="1">
        <f>Main_Data!J225</f>
        <v>95</v>
      </c>
      <c r="K225" s="1">
        <f>Main_Data!K225</f>
        <v>88</v>
      </c>
      <c r="L225" s="1" t="str">
        <f>Main_Data!L225</f>
        <v>South America</v>
      </c>
      <c r="M225" s="1" t="str">
        <f>PROPER(TRIM(Main_Data!A225))</f>
        <v>Brazil</v>
      </c>
      <c r="N225" s="1" t="str">
        <f>PROPER(TRIM(Main_Data!B225))</f>
        <v>South America</v>
      </c>
      <c r="O225" s="1" t="str" cm="1">
        <f t="array" ref="O225">_xlfn.IFS(F225&gt;=80,"Very High",F225&gt;=70,"High",F225&gt;=60,"Medium",TRUE,"Low")</f>
        <v>Medium</v>
      </c>
      <c r="P225" s="1" t="str" cm="1">
        <f t="array" ref="P225">_xlfn.IFS(D225&gt;=40000,"High Income",D225&gt;=15000,"Middle Income",TRUE,"Low Income")</f>
        <v>Low Income</v>
      </c>
      <c r="Q225" s="1" t="str">
        <f t="shared" si="3"/>
        <v>Duplicate</v>
      </c>
    </row>
    <row r="226" spans="1:17" x14ac:dyDescent="0.25">
      <c r="A226" s="1" t="str">
        <f>Main_Data!A226</f>
        <v>China</v>
      </c>
      <c r="B226" s="1" t="str">
        <f>Main_Data!B226</f>
        <v>East Asia</v>
      </c>
      <c r="C226" s="1">
        <f>Main_Data!C226</f>
        <v>2020</v>
      </c>
      <c r="D226" s="1">
        <f>Main_Data!D226</f>
        <v>14361</v>
      </c>
      <c r="E226" s="1">
        <f>Main_Data!E226</f>
        <v>15.8</v>
      </c>
      <c r="F226" s="1">
        <f>Main_Data!F226</f>
        <v>75</v>
      </c>
      <c r="G226" s="1">
        <f>Main_Data!G226</f>
        <v>826168098</v>
      </c>
      <c r="H226" s="1">
        <f>Main_Data!H226</f>
        <v>61</v>
      </c>
      <c r="I226" s="1">
        <f>Main_Data!I226</f>
        <v>17.399999999999999</v>
      </c>
      <c r="J226" s="1">
        <f>Main_Data!J226</f>
        <v>74</v>
      </c>
      <c r="K226" s="1">
        <f>Main_Data!K226</f>
        <v>77</v>
      </c>
      <c r="L226" s="1" t="str">
        <f>Main_Data!L226</f>
        <v>Asia</v>
      </c>
      <c r="M226" s="1" t="str">
        <f>PROPER(TRIM(Main_Data!A226))</f>
        <v>China</v>
      </c>
      <c r="N226" s="1" t="str">
        <f>PROPER(TRIM(Main_Data!B226))</f>
        <v>East Asia</v>
      </c>
      <c r="O226" s="1" t="str" cm="1">
        <f t="array" ref="O226">_xlfn.IFS(F226&gt;=80,"Very High",F226&gt;=70,"High",F226&gt;=60,"Medium",TRUE,"Low")</f>
        <v>High</v>
      </c>
      <c r="P226" s="1" t="str" cm="1">
        <f t="array" ref="P226">_xlfn.IFS(D226&gt;=40000,"High Income",D226&gt;=15000,"Middle Income",TRUE,"Low Income")</f>
        <v>Low Income</v>
      </c>
      <c r="Q226" s="1" t="str">
        <f t="shared" si="3"/>
        <v>Duplicate</v>
      </c>
    </row>
    <row r="227" spans="1:17" x14ac:dyDescent="0.25">
      <c r="A227" s="1" t="str">
        <f>Main_Data!A227</f>
        <v>UK</v>
      </c>
      <c r="B227" s="1" t="str">
        <f>Main_Data!B227</f>
        <v>Europe</v>
      </c>
      <c r="C227" s="1">
        <f>Main_Data!C227</f>
        <v>2022</v>
      </c>
      <c r="D227" s="1">
        <f>Main_Data!D227</f>
        <v>67471</v>
      </c>
      <c r="E227" s="1">
        <f>Main_Data!E227</f>
        <v>15.5</v>
      </c>
      <c r="F227" s="1">
        <f>Main_Data!F227</f>
        <v>60</v>
      </c>
      <c r="G227" s="1">
        <f>Main_Data!G227</f>
        <v>586887745</v>
      </c>
      <c r="H227" s="1">
        <f>Main_Data!H227</f>
        <v>71</v>
      </c>
      <c r="I227" s="1">
        <f>Main_Data!I227</f>
        <v>4.8</v>
      </c>
      <c r="J227" s="1">
        <f>Main_Data!J227</f>
        <v>82</v>
      </c>
      <c r="K227" s="1">
        <f>Main_Data!K227</f>
        <v>64</v>
      </c>
      <c r="L227" s="1" t="str">
        <f>Main_Data!L227</f>
        <v>Europe</v>
      </c>
      <c r="M227" s="1" t="str">
        <f>PROPER(TRIM(Main_Data!A227))</f>
        <v>Uk</v>
      </c>
      <c r="N227" s="1" t="str">
        <f>PROPER(TRIM(Main_Data!B227))</f>
        <v>Europe</v>
      </c>
      <c r="O227" s="1" t="str" cm="1">
        <f t="array" ref="O227">_xlfn.IFS(F227&gt;=80,"Very High",F227&gt;=70,"High",F227&gt;=60,"Medium",TRUE,"Low")</f>
        <v>Medium</v>
      </c>
      <c r="P227" s="1" t="str" cm="1">
        <f t="array" ref="P227">_xlfn.IFS(D227&gt;=40000,"High Income",D227&gt;=15000,"Middle Income",TRUE,"Low Income")</f>
        <v>High Income</v>
      </c>
      <c r="Q227" s="1" t="str">
        <f t="shared" si="3"/>
        <v>Duplicate</v>
      </c>
    </row>
    <row r="228" spans="1:17" x14ac:dyDescent="0.25">
      <c r="A228" s="1" t="str">
        <f>Main_Data!A228</f>
        <v>Canada</v>
      </c>
      <c r="B228" s="1" t="str">
        <f>Main_Data!B228</f>
        <v>North America</v>
      </c>
      <c r="C228" s="1">
        <f>Main_Data!C228</f>
        <v>2022</v>
      </c>
      <c r="D228" s="1">
        <f>Main_Data!D228</f>
        <v>45776</v>
      </c>
      <c r="E228" s="1">
        <f>Main_Data!E228</f>
        <v>15.7</v>
      </c>
      <c r="F228" s="1">
        <f>Main_Data!F228</f>
        <v>77</v>
      </c>
      <c r="G228" s="1">
        <f>Main_Data!G228</f>
        <v>1066928404</v>
      </c>
      <c r="H228" s="1">
        <f>Main_Data!H228</f>
        <v>55</v>
      </c>
      <c r="I228" s="1">
        <f>Main_Data!I228</f>
        <v>18.7</v>
      </c>
      <c r="J228" s="1">
        <f>Main_Data!J228</f>
        <v>93</v>
      </c>
      <c r="K228" s="1">
        <f>Main_Data!K228</f>
        <v>53</v>
      </c>
      <c r="L228" s="1" t="str">
        <f>Main_Data!L228</f>
        <v>North America</v>
      </c>
      <c r="M228" s="1" t="str">
        <f>PROPER(TRIM(Main_Data!A228))</f>
        <v>Canada</v>
      </c>
      <c r="N228" s="1" t="str">
        <f>PROPER(TRIM(Main_Data!B228))</f>
        <v>North America</v>
      </c>
      <c r="O228" s="1" t="str" cm="1">
        <f t="array" ref="O228">_xlfn.IFS(F228&gt;=80,"Very High",F228&gt;=70,"High",F228&gt;=60,"Medium",TRUE,"Low")</f>
        <v>High</v>
      </c>
      <c r="P228" s="1" t="str" cm="1">
        <f t="array" ref="P228">_xlfn.IFS(D228&gt;=40000,"High Income",D228&gt;=15000,"Middle Income",TRUE,"Low Income")</f>
        <v>High Income</v>
      </c>
      <c r="Q228" s="1" t="str">
        <f t="shared" si="3"/>
        <v>Duplicate</v>
      </c>
    </row>
    <row r="229" spans="1:17" x14ac:dyDescent="0.25">
      <c r="A229" s="1" t="str">
        <f>Main_Data!A229</f>
        <v>Australia</v>
      </c>
      <c r="B229" s="1" t="str">
        <f>Main_Data!B229</f>
        <v>Oceania</v>
      </c>
      <c r="C229" s="1">
        <f>Main_Data!C229</f>
        <v>2021</v>
      </c>
      <c r="D229" s="1">
        <f>Main_Data!D229</f>
        <v>2895</v>
      </c>
      <c r="E229" s="1">
        <f>Main_Data!E229</f>
        <v>7</v>
      </c>
      <c r="F229" s="1">
        <f>Main_Data!F229</f>
        <v>60</v>
      </c>
      <c r="G229" s="1">
        <f>Main_Data!G229</f>
        <v>735193385</v>
      </c>
      <c r="H229" s="1">
        <f>Main_Data!H229</f>
        <v>72</v>
      </c>
      <c r="I229" s="1">
        <f>Main_Data!I229</f>
        <v>21.2</v>
      </c>
      <c r="J229" s="1">
        <f>Main_Data!J229</f>
        <v>99</v>
      </c>
      <c r="K229" s="1">
        <f>Main_Data!K229</f>
        <v>47</v>
      </c>
      <c r="L229" s="1" t="str">
        <f>Main_Data!L229</f>
        <v>Oceania</v>
      </c>
      <c r="M229" s="1" t="str">
        <f>PROPER(TRIM(Main_Data!A229))</f>
        <v>Australia</v>
      </c>
      <c r="N229" s="1" t="str">
        <f>PROPER(TRIM(Main_Data!B229))</f>
        <v>Oceania</v>
      </c>
      <c r="O229" s="1" t="str" cm="1">
        <f t="array" ref="O229">_xlfn.IFS(F229&gt;=80,"Very High",F229&gt;=70,"High",F229&gt;=60,"Medium",TRUE,"Low")</f>
        <v>Medium</v>
      </c>
      <c r="P229" s="1" t="str" cm="1">
        <f t="array" ref="P229">_xlfn.IFS(D229&gt;=40000,"High Income",D229&gt;=15000,"Middle Income",TRUE,"Low Income")</f>
        <v>Low Income</v>
      </c>
      <c r="Q229" s="1" t="str">
        <f t="shared" si="3"/>
        <v>Duplicate</v>
      </c>
    </row>
    <row r="230" spans="1:17" x14ac:dyDescent="0.25">
      <c r="A230" s="1" t="str">
        <f>Main_Data!A230</f>
        <v>Japan</v>
      </c>
      <c r="B230" s="1" t="str">
        <f>Main_Data!B230</f>
        <v>East Asia</v>
      </c>
      <c r="C230" s="1">
        <f>Main_Data!C230</f>
        <v>2020</v>
      </c>
      <c r="D230" s="1">
        <f>Main_Data!D230</f>
        <v>20794</v>
      </c>
      <c r="E230" s="1">
        <f>Main_Data!E230</f>
        <v>16.899999999999999</v>
      </c>
      <c r="F230" s="1">
        <f>Main_Data!F230</f>
        <v>82</v>
      </c>
      <c r="G230" s="1">
        <f>Main_Data!G230</f>
        <v>593687566</v>
      </c>
      <c r="H230" s="1">
        <f>Main_Data!H230</f>
        <v>54</v>
      </c>
      <c r="I230" s="1">
        <f>Main_Data!I230</f>
        <v>14.7</v>
      </c>
      <c r="J230" s="1">
        <f>Main_Data!J230</f>
        <v>91</v>
      </c>
      <c r="K230" s="1">
        <f>Main_Data!K230</f>
        <v>55</v>
      </c>
      <c r="L230" s="1" t="str">
        <f>Main_Data!L230</f>
        <v>Asia</v>
      </c>
      <c r="M230" s="1" t="str">
        <f>PROPER(TRIM(Main_Data!A230))</f>
        <v>Japan</v>
      </c>
      <c r="N230" s="1" t="str">
        <f>PROPER(TRIM(Main_Data!B230))</f>
        <v>East Asia</v>
      </c>
      <c r="O230" s="1" t="str" cm="1">
        <f t="array" ref="O230">_xlfn.IFS(F230&gt;=80,"Very High",F230&gt;=70,"High",F230&gt;=60,"Medium",TRUE,"Low")</f>
        <v>Very High</v>
      </c>
      <c r="P230" s="1" t="str" cm="1">
        <f t="array" ref="P230">_xlfn.IFS(D230&gt;=40000,"High Income",D230&gt;=15000,"Middle Income",TRUE,"Low Income")</f>
        <v>Middle Income</v>
      </c>
      <c r="Q230" s="1" t="str">
        <f t="shared" si="3"/>
        <v>Duplicate</v>
      </c>
    </row>
    <row r="231" spans="1:17" x14ac:dyDescent="0.25">
      <c r="A231" s="1" t="str">
        <f>Main_Data!A231</f>
        <v>South Africa</v>
      </c>
      <c r="B231" s="1" t="str">
        <f>Main_Data!B231</f>
        <v>Africa</v>
      </c>
      <c r="C231" s="1">
        <f>Main_Data!C231</f>
        <v>2020</v>
      </c>
      <c r="D231" s="1">
        <f>Main_Data!D231</f>
        <v>58145</v>
      </c>
      <c r="E231" s="1">
        <f>Main_Data!E231</f>
        <v>3.7</v>
      </c>
      <c r="F231" s="1">
        <f>Main_Data!F231</f>
        <v>84</v>
      </c>
      <c r="G231" s="1">
        <f>Main_Data!G231</f>
        <v>178559054</v>
      </c>
      <c r="H231" s="1">
        <f>Main_Data!H231</f>
        <v>80</v>
      </c>
      <c r="I231" s="1">
        <f>Main_Data!I231</f>
        <v>20</v>
      </c>
      <c r="J231" s="1">
        <f>Main_Data!J231</f>
        <v>95</v>
      </c>
      <c r="K231" s="1">
        <f>Main_Data!K231</f>
        <v>31</v>
      </c>
      <c r="L231" s="1" t="str">
        <f>Main_Data!L231</f>
        <v>Africa</v>
      </c>
      <c r="M231" s="1" t="str">
        <f>PROPER(TRIM(Main_Data!A231))</f>
        <v>South Africa</v>
      </c>
      <c r="N231" s="1" t="str">
        <f>PROPER(TRIM(Main_Data!B231))</f>
        <v>Africa</v>
      </c>
      <c r="O231" s="1" t="str" cm="1">
        <f t="array" ref="O231">_xlfn.IFS(F231&gt;=80,"Very High",F231&gt;=70,"High",F231&gt;=60,"Medium",TRUE,"Low")</f>
        <v>Very High</v>
      </c>
      <c r="P231" s="1" t="str" cm="1">
        <f t="array" ref="P231">_xlfn.IFS(D231&gt;=40000,"High Income",D231&gt;=15000,"Middle Income",TRUE,"Low Income")</f>
        <v>High Income</v>
      </c>
      <c r="Q231" s="1" t="str">
        <f t="shared" si="3"/>
        <v>Duplicate</v>
      </c>
    </row>
    <row r="232" spans="1:17" x14ac:dyDescent="0.25">
      <c r="A232" s="1" t="str">
        <f>Main_Data!A232</f>
        <v>India</v>
      </c>
      <c r="B232" s="1" t="str">
        <f>Main_Data!B232</f>
        <v>South Asia</v>
      </c>
      <c r="C232" s="1">
        <f>Main_Data!C232</f>
        <v>2022</v>
      </c>
      <c r="D232" s="1">
        <f>Main_Data!D232</f>
        <v>8464</v>
      </c>
      <c r="E232" s="1">
        <f>Main_Data!E232</f>
        <v>10.1</v>
      </c>
      <c r="F232" s="1">
        <f>Main_Data!F232</f>
        <v>67</v>
      </c>
      <c r="G232" s="1">
        <f>Main_Data!G232</f>
        <v>1235541893</v>
      </c>
      <c r="H232" s="1">
        <f>Main_Data!H232</f>
        <v>91</v>
      </c>
      <c r="I232" s="1">
        <f>Main_Data!I232</f>
        <v>8.6</v>
      </c>
      <c r="J232" s="1">
        <f>Main_Data!J232</f>
        <v>79</v>
      </c>
      <c r="K232" s="1">
        <f>Main_Data!K232</f>
        <v>54</v>
      </c>
      <c r="L232" s="1" t="str">
        <f>Main_Data!L232</f>
        <v>Asia</v>
      </c>
      <c r="M232" s="1" t="str">
        <f>PROPER(TRIM(Main_Data!A232))</f>
        <v>India</v>
      </c>
      <c r="N232" s="1" t="str">
        <f>PROPER(TRIM(Main_Data!B232))</f>
        <v>South Asia</v>
      </c>
      <c r="O232" s="1" t="str" cm="1">
        <f t="array" ref="O232">_xlfn.IFS(F232&gt;=80,"Very High",F232&gt;=70,"High",F232&gt;=60,"Medium",TRUE,"Low")</f>
        <v>Medium</v>
      </c>
      <c r="P232" s="1" t="str" cm="1">
        <f t="array" ref="P232">_xlfn.IFS(D232&gt;=40000,"High Income",D232&gt;=15000,"Middle Income",TRUE,"Low Income")</f>
        <v>Low Income</v>
      </c>
      <c r="Q232" s="1" t="str">
        <f t="shared" si="3"/>
        <v>Duplicate</v>
      </c>
    </row>
    <row r="233" spans="1:17" x14ac:dyDescent="0.25">
      <c r="A233" s="1" t="str">
        <f>Main_Data!A233</f>
        <v>USA</v>
      </c>
      <c r="B233" s="1" t="str">
        <f>Main_Data!B233</f>
        <v>North America</v>
      </c>
      <c r="C233" s="1">
        <f>Main_Data!C233</f>
        <v>2021</v>
      </c>
      <c r="D233" s="1">
        <f>Main_Data!D233</f>
        <v>30566</v>
      </c>
      <c r="E233" s="1">
        <f>Main_Data!E233</f>
        <v>16.8</v>
      </c>
      <c r="F233" s="1">
        <f>Main_Data!F233</f>
        <v>79</v>
      </c>
      <c r="G233" s="1">
        <f>Main_Data!G233</f>
        <v>1490429098</v>
      </c>
      <c r="H233" s="1">
        <f>Main_Data!H233</f>
        <v>77</v>
      </c>
      <c r="I233" s="1">
        <f>Main_Data!I233</f>
        <v>5.3</v>
      </c>
      <c r="J233" s="1">
        <f>Main_Data!J233</f>
        <v>86</v>
      </c>
      <c r="K233" s="1">
        <f>Main_Data!K233</f>
        <v>64</v>
      </c>
      <c r="L233" s="1" t="str">
        <f>Main_Data!L233</f>
        <v>North America</v>
      </c>
      <c r="M233" s="1" t="str">
        <f>PROPER(TRIM(Main_Data!A233))</f>
        <v>Usa</v>
      </c>
      <c r="N233" s="1" t="str">
        <f>PROPER(TRIM(Main_Data!B233))</f>
        <v>North America</v>
      </c>
      <c r="O233" s="1" t="str" cm="1">
        <f t="array" ref="O233">_xlfn.IFS(F233&gt;=80,"Very High",F233&gt;=70,"High",F233&gt;=60,"Medium",TRUE,"Low")</f>
        <v>High</v>
      </c>
      <c r="P233" s="1" t="str" cm="1">
        <f t="array" ref="P233">_xlfn.IFS(D233&gt;=40000,"High Income",D233&gt;=15000,"Middle Income",TRUE,"Low Income")</f>
        <v>Middle Income</v>
      </c>
      <c r="Q233" s="1" t="str">
        <f t="shared" si="3"/>
        <v>Duplicate</v>
      </c>
    </row>
    <row r="234" spans="1:17" x14ac:dyDescent="0.25">
      <c r="A234" s="1" t="str">
        <f>Main_Data!A234</f>
        <v>Germany</v>
      </c>
      <c r="B234" s="1" t="str">
        <f>Main_Data!B234</f>
        <v>Europe</v>
      </c>
      <c r="C234" s="1">
        <f>Main_Data!C234</f>
        <v>2020</v>
      </c>
      <c r="D234" s="1">
        <f>Main_Data!D234</f>
        <v>44913</v>
      </c>
      <c r="E234" s="1">
        <f>Main_Data!E234</f>
        <v>15.5</v>
      </c>
      <c r="F234" s="1">
        <f>Main_Data!F234</f>
        <v>71</v>
      </c>
      <c r="G234" s="1">
        <f>Main_Data!G234</f>
        <v>768731173</v>
      </c>
      <c r="H234" s="1">
        <f>Main_Data!H234</f>
        <v>57</v>
      </c>
      <c r="I234" s="1">
        <f>Main_Data!I234</f>
        <v>9.9</v>
      </c>
      <c r="J234" s="1">
        <f>Main_Data!J234</f>
        <v>79</v>
      </c>
      <c r="K234" s="1">
        <f>Main_Data!K234</f>
        <v>44</v>
      </c>
      <c r="L234" s="1" t="str">
        <f>Main_Data!L234</f>
        <v>Europe</v>
      </c>
      <c r="M234" s="1" t="str">
        <f>PROPER(TRIM(Main_Data!A234))</f>
        <v>Germany</v>
      </c>
      <c r="N234" s="1" t="str">
        <f>PROPER(TRIM(Main_Data!B234))</f>
        <v>Europe</v>
      </c>
      <c r="O234" s="1" t="str" cm="1">
        <f t="array" ref="O234">_xlfn.IFS(F234&gt;=80,"Very High",F234&gt;=70,"High",F234&gt;=60,"Medium",TRUE,"Low")</f>
        <v>High</v>
      </c>
      <c r="P234" s="1" t="str" cm="1">
        <f t="array" ref="P234">_xlfn.IFS(D234&gt;=40000,"High Income",D234&gt;=15000,"Middle Income",TRUE,"Low Income")</f>
        <v>High Income</v>
      </c>
      <c r="Q234" s="1" t="str">
        <f t="shared" si="3"/>
        <v>Duplicate</v>
      </c>
    </row>
    <row r="235" spans="1:17" x14ac:dyDescent="0.25">
      <c r="A235" s="1" t="str">
        <f>Main_Data!A235</f>
        <v>Brazil</v>
      </c>
      <c r="B235" s="1" t="str">
        <f>Main_Data!B235</f>
        <v>South America</v>
      </c>
      <c r="C235" s="1">
        <f>Main_Data!C235</f>
        <v>2022</v>
      </c>
      <c r="D235" s="1">
        <f>Main_Data!D235</f>
        <v>8422</v>
      </c>
      <c r="E235" s="1">
        <f>Main_Data!E235</f>
        <v>7.8</v>
      </c>
      <c r="F235" s="1">
        <f>Main_Data!F235</f>
        <v>67</v>
      </c>
      <c r="G235" s="1">
        <f>Main_Data!G235</f>
        <v>542020568</v>
      </c>
      <c r="H235" s="1">
        <f>Main_Data!H235</f>
        <v>94</v>
      </c>
      <c r="I235" s="1">
        <f>Main_Data!I235</f>
        <v>4.3</v>
      </c>
      <c r="J235" s="1">
        <f>Main_Data!J235</f>
        <v>81</v>
      </c>
      <c r="K235" s="1">
        <f>Main_Data!K235</f>
        <v>35</v>
      </c>
      <c r="L235" s="1" t="str">
        <f>Main_Data!L235</f>
        <v>South America</v>
      </c>
      <c r="M235" s="1" t="str">
        <f>PROPER(TRIM(Main_Data!A235))</f>
        <v>Brazil</v>
      </c>
      <c r="N235" s="1" t="str">
        <f>PROPER(TRIM(Main_Data!B235))</f>
        <v>South America</v>
      </c>
      <c r="O235" s="1" t="str" cm="1">
        <f t="array" ref="O235">_xlfn.IFS(F235&gt;=80,"Very High",F235&gt;=70,"High",F235&gt;=60,"Medium",TRUE,"Low")</f>
        <v>Medium</v>
      </c>
      <c r="P235" s="1" t="str" cm="1">
        <f t="array" ref="P235">_xlfn.IFS(D235&gt;=40000,"High Income",D235&gt;=15000,"Middle Income",TRUE,"Low Income")</f>
        <v>Low Income</v>
      </c>
      <c r="Q235" s="1" t="str">
        <f t="shared" si="3"/>
        <v>Duplicate</v>
      </c>
    </row>
    <row r="236" spans="1:17" x14ac:dyDescent="0.25">
      <c r="A236" s="1" t="str">
        <f>Main_Data!A236</f>
        <v>China</v>
      </c>
      <c r="B236" s="1" t="str">
        <f>Main_Data!B236</f>
        <v>East Asia</v>
      </c>
      <c r="C236" s="1">
        <f>Main_Data!C236</f>
        <v>2020</v>
      </c>
      <c r="D236" s="1">
        <f>Main_Data!D236</f>
        <v>24162</v>
      </c>
      <c r="E236" s="1">
        <f>Main_Data!E236</f>
        <v>12.5</v>
      </c>
      <c r="F236" s="1">
        <f>Main_Data!F236</f>
        <v>68</v>
      </c>
      <c r="G236" s="1">
        <f>Main_Data!G236</f>
        <v>699868506</v>
      </c>
      <c r="H236" s="1">
        <f>Main_Data!H236</f>
        <v>68</v>
      </c>
      <c r="I236" s="1">
        <f>Main_Data!I236</f>
        <v>20.3</v>
      </c>
      <c r="J236" s="1">
        <f>Main_Data!J236</f>
        <v>81</v>
      </c>
      <c r="K236" s="1">
        <f>Main_Data!K236</f>
        <v>76</v>
      </c>
      <c r="L236" s="1" t="str">
        <f>Main_Data!L236</f>
        <v>Asia</v>
      </c>
      <c r="M236" s="1" t="str">
        <f>PROPER(TRIM(Main_Data!A236))</f>
        <v>China</v>
      </c>
      <c r="N236" s="1" t="str">
        <f>PROPER(TRIM(Main_Data!B236))</f>
        <v>East Asia</v>
      </c>
      <c r="O236" s="1" t="str" cm="1">
        <f t="array" ref="O236">_xlfn.IFS(F236&gt;=80,"Very High",F236&gt;=70,"High",F236&gt;=60,"Medium",TRUE,"Low")</f>
        <v>Medium</v>
      </c>
      <c r="P236" s="1" t="str" cm="1">
        <f t="array" ref="P236">_xlfn.IFS(D236&gt;=40000,"High Income",D236&gt;=15000,"Middle Income",TRUE,"Low Income")</f>
        <v>Middle Income</v>
      </c>
      <c r="Q236" s="1" t="str">
        <f t="shared" si="3"/>
        <v>Duplicate</v>
      </c>
    </row>
    <row r="237" spans="1:17" x14ac:dyDescent="0.25">
      <c r="A237" s="1" t="str">
        <f>Main_Data!A237</f>
        <v>UK</v>
      </c>
      <c r="B237" s="1" t="str">
        <f>Main_Data!B237</f>
        <v>Europe</v>
      </c>
      <c r="C237" s="1">
        <f>Main_Data!C237</f>
        <v>2020</v>
      </c>
      <c r="D237" s="1">
        <f>Main_Data!D237</f>
        <v>64150</v>
      </c>
      <c r="E237" s="1">
        <f>Main_Data!E237</f>
        <v>11.6</v>
      </c>
      <c r="F237" s="1">
        <f>Main_Data!F237</f>
        <v>77</v>
      </c>
      <c r="G237" s="1">
        <f>Main_Data!G237</f>
        <v>451311215</v>
      </c>
      <c r="H237" s="1">
        <f>Main_Data!H237</f>
        <v>90</v>
      </c>
      <c r="I237" s="1">
        <f>Main_Data!I237</f>
        <v>17.7</v>
      </c>
      <c r="J237" s="1">
        <f>Main_Data!J237</f>
        <v>96</v>
      </c>
      <c r="K237" s="1">
        <f>Main_Data!K237</f>
        <v>58</v>
      </c>
      <c r="L237" s="1" t="str">
        <f>Main_Data!L237</f>
        <v>Europe</v>
      </c>
      <c r="M237" s="1" t="str">
        <f>PROPER(TRIM(Main_Data!A237))</f>
        <v>Uk</v>
      </c>
      <c r="N237" s="1" t="str">
        <f>PROPER(TRIM(Main_Data!B237))</f>
        <v>Europe</v>
      </c>
      <c r="O237" s="1" t="str" cm="1">
        <f t="array" ref="O237">_xlfn.IFS(F237&gt;=80,"Very High",F237&gt;=70,"High",F237&gt;=60,"Medium",TRUE,"Low")</f>
        <v>High</v>
      </c>
      <c r="P237" s="1" t="str" cm="1">
        <f t="array" ref="P237">_xlfn.IFS(D237&gt;=40000,"High Income",D237&gt;=15000,"Middle Income",TRUE,"Low Income")</f>
        <v>High Income</v>
      </c>
      <c r="Q237" s="1" t="str">
        <f t="shared" si="3"/>
        <v>Duplicate</v>
      </c>
    </row>
    <row r="238" spans="1:17" x14ac:dyDescent="0.25">
      <c r="A238" s="1" t="str">
        <f>Main_Data!A238</f>
        <v>Canada</v>
      </c>
      <c r="B238" s="1" t="str">
        <f>Main_Data!B238</f>
        <v>North America</v>
      </c>
      <c r="C238" s="1">
        <f>Main_Data!C238</f>
        <v>2022</v>
      </c>
      <c r="D238" s="1">
        <f>Main_Data!D238</f>
        <v>58981</v>
      </c>
      <c r="E238" s="1">
        <f>Main_Data!E238</f>
        <v>8.6999999999999993</v>
      </c>
      <c r="F238" s="1">
        <f>Main_Data!F238</f>
        <v>66</v>
      </c>
      <c r="G238" s="1">
        <f>Main_Data!G238</f>
        <v>1494679285</v>
      </c>
      <c r="H238" s="1">
        <f>Main_Data!H238</f>
        <v>54</v>
      </c>
      <c r="I238" s="1">
        <f>Main_Data!I238</f>
        <v>7.2</v>
      </c>
      <c r="J238" s="1">
        <f>Main_Data!J238</f>
        <v>93</v>
      </c>
      <c r="K238" s="1">
        <f>Main_Data!K238</f>
        <v>67</v>
      </c>
      <c r="L238" s="1" t="str">
        <f>Main_Data!L238</f>
        <v>North America</v>
      </c>
      <c r="M238" s="1" t="str">
        <f>PROPER(TRIM(Main_Data!A238))</f>
        <v>Canada</v>
      </c>
      <c r="N238" s="1" t="str">
        <f>PROPER(TRIM(Main_Data!B238))</f>
        <v>North America</v>
      </c>
      <c r="O238" s="1" t="str" cm="1">
        <f t="array" ref="O238">_xlfn.IFS(F238&gt;=80,"Very High",F238&gt;=70,"High",F238&gt;=60,"Medium",TRUE,"Low")</f>
        <v>Medium</v>
      </c>
      <c r="P238" s="1" t="str" cm="1">
        <f t="array" ref="P238">_xlfn.IFS(D238&gt;=40000,"High Income",D238&gt;=15000,"Middle Income",TRUE,"Low Income")</f>
        <v>High Income</v>
      </c>
      <c r="Q238" s="1" t="str">
        <f t="shared" si="3"/>
        <v>Duplicate</v>
      </c>
    </row>
    <row r="239" spans="1:17" x14ac:dyDescent="0.25">
      <c r="A239" s="1" t="str">
        <f>Main_Data!A239</f>
        <v>Australia</v>
      </c>
      <c r="B239" s="1" t="str">
        <f>Main_Data!B239</f>
        <v>Oceania</v>
      </c>
      <c r="C239" s="1">
        <f>Main_Data!C239</f>
        <v>2022</v>
      </c>
      <c r="D239" s="1">
        <f>Main_Data!D239</f>
        <v>27083</v>
      </c>
      <c r="E239" s="1">
        <f>Main_Data!E239</f>
        <v>5.4</v>
      </c>
      <c r="F239" s="1">
        <f>Main_Data!F239</f>
        <v>68</v>
      </c>
      <c r="G239" s="1">
        <f>Main_Data!G239</f>
        <v>991560709</v>
      </c>
      <c r="H239" s="1">
        <f>Main_Data!H239</f>
        <v>94</v>
      </c>
      <c r="I239" s="1">
        <f>Main_Data!I239</f>
        <v>24.5</v>
      </c>
      <c r="J239" s="1">
        <f>Main_Data!J239</f>
        <v>78</v>
      </c>
      <c r="K239" s="1">
        <f>Main_Data!K239</f>
        <v>66</v>
      </c>
      <c r="L239" s="1" t="str">
        <f>Main_Data!L239</f>
        <v>Oceania</v>
      </c>
      <c r="M239" s="1" t="str">
        <f>PROPER(TRIM(Main_Data!A239))</f>
        <v>Australia</v>
      </c>
      <c r="N239" s="1" t="str">
        <f>PROPER(TRIM(Main_Data!B239))</f>
        <v>Oceania</v>
      </c>
      <c r="O239" s="1" t="str" cm="1">
        <f t="array" ref="O239">_xlfn.IFS(F239&gt;=80,"Very High",F239&gt;=70,"High",F239&gt;=60,"Medium",TRUE,"Low")</f>
        <v>Medium</v>
      </c>
      <c r="P239" s="1" t="str" cm="1">
        <f t="array" ref="P239">_xlfn.IFS(D239&gt;=40000,"High Income",D239&gt;=15000,"Middle Income",TRUE,"Low Income")</f>
        <v>Middle Income</v>
      </c>
      <c r="Q239" s="1" t="str">
        <f t="shared" si="3"/>
        <v>Duplicate</v>
      </c>
    </row>
    <row r="240" spans="1:17" x14ac:dyDescent="0.25">
      <c r="A240" s="1" t="str">
        <f>Main_Data!A240</f>
        <v>Japan</v>
      </c>
      <c r="B240" s="1" t="str">
        <f>Main_Data!B240</f>
        <v>East Asia</v>
      </c>
      <c r="C240" s="1">
        <f>Main_Data!C240</f>
        <v>2021</v>
      </c>
      <c r="D240" s="1">
        <f>Main_Data!D240</f>
        <v>2323</v>
      </c>
      <c r="E240" s="1">
        <f>Main_Data!E240</f>
        <v>11.1</v>
      </c>
      <c r="F240" s="1">
        <f>Main_Data!F240</f>
        <v>70</v>
      </c>
      <c r="G240" s="1">
        <f>Main_Data!G240</f>
        <v>859378086</v>
      </c>
      <c r="H240" s="1">
        <f>Main_Data!H240</f>
        <v>86</v>
      </c>
      <c r="I240" s="1">
        <f>Main_Data!I240</f>
        <v>21.4</v>
      </c>
      <c r="J240" s="1">
        <f>Main_Data!J240</f>
        <v>93</v>
      </c>
      <c r="K240" s="1">
        <f>Main_Data!K240</f>
        <v>76</v>
      </c>
      <c r="L240" s="1" t="str">
        <f>Main_Data!L240</f>
        <v>Asia</v>
      </c>
      <c r="M240" s="1" t="str">
        <f>PROPER(TRIM(Main_Data!A240))</f>
        <v>Japan</v>
      </c>
      <c r="N240" s="1" t="str">
        <f>PROPER(TRIM(Main_Data!B240))</f>
        <v>East Asia</v>
      </c>
      <c r="O240" s="1" t="str" cm="1">
        <f t="array" ref="O240">_xlfn.IFS(F240&gt;=80,"Very High",F240&gt;=70,"High",F240&gt;=60,"Medium",TRUE,"Low")</f>
        <v>High</v>
      </c>
      <c r="P240" s="1" t="str" cm="1">
        <f t="array" ref="P240">_xlfn.IFS(D240&gt;=40000,"High Income",D240&gt;=15000,"Middle Income",TRUE,"Low Income")</f>
        <v>Low Income</v>
      </c>
      <c r="Q240" s="1" t="str">
        <f t="shared" si="3"/>
        <v>Duplicate</v>
      </c>
    </row>
    <row r="241" spans="1:17" x14ac:dyDescent="0.25">
      <c r="A241" s="1" t="str">
        <f>Main_Data!A241</f>
        <v>South Africa</v>
      </c>
      <c r="B241" s="1" t="str">
        <f>Main_Data!B241</f>
        <v>Africa</v>
      </c>
      <c r="C241" s="1">
        <f>Main_Data!C241</f>
        <v>2020</v>
      </c>
      <c r="D241" s="1">
        <f>Main_Data!D241</f>
        <v>54686</v>
      </c>
      <c r="E241" s="1">
        <f>Main_Data!E241</f>
        <v>4</v>
      </c>
      <c r="F241" s="1">
        <f>Main_Data!F241</f>
        <v>84</v>
      </c>
      <c r="G241" s="1">
        <f>Main_Data!G241</f>
        <v>785066722</v>
      </c>
      <c r="H241" s="1">
        <f>Main_Data!H241</f>
        <v>60</v>
      </c>
      <c r="I241" s="1">
        <f>Main_Data!I241</f>
        <v>24.6</v>
      </c>
      <c r="J241" s="1">
        <f>Main_Data!J241</f>
        <v>81</v>
      </c>
      <c r="K241" s="1">
        <f>Main_Data!K241</f>
        <v>37</v>
      </c>
      <c r="L241" s="1" t="str">
        <f>Main_Data!L241</f>
        <v>Africa</v>
      </c>
      <c r="M241" s="1" t="str">
        <f>PROPER(TRIM(Main_Data!A241))</f>
        <v>South Africa</v>
      </c>
      <c r="N241" s="1" t="str">
        <f>PROPER(TRIM(Main_Data!B241))</f>
        <v>Africa</v>
      </c>
      <c r="O241" s="1" t="str" cm="1">
        <f t="array" ref="O241">_xlfn.IFS(F241&gt;=80,"Very High",F241&gt;=70,"High",F241&gt;=60,"Medium",TRUE,"Low")</f>
        <v>Very High</v>
      </c>
      <c r="P241" s="1" t="str" cm="1">
        <f t="array" ref="P241">_xlfn.IFS(D241&gt;=40000,"High Income",D241&gt;=15000,"Middle Income",TRUE,"Low Income")</f>
        <v>High Income</v>
      </c>
      <c r="Q241" s="1" t="str">
        <f t="shared" si="3"/>
        <v>Duplicate</v>
      </c>
    </row>
    <row r="242" spans="1:17" x14ac:dyDescent="0.25">
      <c r="A242" s="1" t="str">
        <f>Main_Data!A242</f>
        <v>India</v>
      </c>
      <c r="B242" s="1" t="str">
        <f>Main_Data!B242</f>
        <v>South Asia</v>
      </c>
      <c r="C242" s="1">
        <f>Main_Data!C242</f>
        <v>2020</v>
      </c>
      <c r="D242" s="1">
        <f>Main_Data!D242</f>
        <v>23478</v>
      </c>
      <c r="E242" s="1">
        <f>Main_Data!E242</f>
        <v>8.5</v>
      </c>
      <c r="F242" s="1">
        <f>Main_Data!F242</f>
        <v>64</v>
      </c>
      <c r="G242" s="1">
        <f>Main_Data!G242</f>
        <v>856670434</v>
      </c>
      <c r="H242" s="1">
        <f>Main_Data!H242</f>
        <v>69</v>
      </c>
      <c r="I242" s="1">
        <f>Main_Data!I242</f>
        <v>15.8</v>
      </c>
      <c r="J242" s="1">
        <f>Main_Data!J242</f>
        <v>75</v>
      </c>
      <c r="K242" s="1">
        <f>Main_Data!K242</f>
        <v>69</v>
      </c>
      <c r="L242" s="1" t="str">
        <f>Main_Data!L242</f>
        <v>Asia</v>
      </c>
      <c r="M242" s="1" t="str">
        <f>PROPER(TRIM(Main_Data!A242))</f>
        <v>India</v>
      </c>
      <c r="N242" s="1" t="str">
        <f>PROPER(TRIM(Main_Data!B242))</f>
        <v>South Asia</v>
      </c>
      <c r="O242" s="1" t="str" cm="1">
        <f t="array" ref="O242">_xlfn.IFS(F242&gt;=80,"Very High",F242&gt;=70,"High",F242&gt;=60,"Medium",TRUE,"Low")</f>
        <v>Medium</v>
      </c>
      <c r="P242" s="1" t="str" cm="1">
        <f t="array" ref="P242">_xlfn.IFS(D242&gt;=40000,"High Income",D242&gt;=15000,"Middle Income",TRUE,"Low Income")</f>
        <v>Middle Income</v>
      </c>
      <c r="Q242" s="1" t="str">
        <f t="shared" si="3"/>
        <v>Duplicate</v>
      </c>
    </row>
    <row r="243" spans="1:17" x14ac:dyDescent="0.25">
      <c r="A243" s="1" t="str">
        <f>Main_Data!A243</f>
        <v>USA</v>
      </c>
      <c r="B243" s="1" t="str">
        <f>Main_Data!B243</f>
        <v>North America</v>
      </c>
      <c r="C243" s="1">
        <f>Main_Data!C243</f>
        <v>2020</v>
      </c>
      <c r="D243" s="1">
        <f>Main_Data!D243</f>
        <v>45491</v>
      </c>
      <c r="E243" s="1">
        <f>Main_Data!E243</f>
        <v>7.4</v>
      </c>
      <c r="F243" s="1">
        <f>Main_Data!F243</f>
        <v>61</v>
      </c>
      <c r="G243" s="1">
        <f>Main_Data!G243</f>
        <v>1066551966</v>
      </c>
      <c r="H243" s="1">
        <f>Main_Data!H243</f>
        <v>76</v>
      </c>
      <c r="I243" s="1">
        <f>Main_Data!I243</f>
        <v>15.2</v>
      </c>
      <c r="J243" s="1">
        <f>Main_Data!J243</f>
        <v>86</v>
      </c>
      <c r="K243" s="1">
        <f>Main_Data!K243</f>
        <v>38</v>
      </c>
      <c r="L243" s="1" t="str">
        <f>Main_Data!L243</f>
        <v>North America</v>
      </c>
      <c r="M243" s="1" t="str">
        <f>PROPER(TRIM(Main_Data!A243))</f>
        <v>Usa</v>
      </c>
      <c r="N243" s="1" t="str">
        <f>PROPER(TRIM(Main_Data!B243))</f>
        <v>North America</v>
      </c>
      <c r="O243" s="1" t="str" cm="1">
        <f t="array" ref="O243">_xlfn.IFS(F243&gt;=80,"Very High",F243&gt;=70,"High",F243&gt;=60,"Medium",TRUE,"Low")</f>
        <v>Medium</v>
      </c>
      <c r="P243" s="1" t="str" cm="1">
        <f t="array" ref="P243">_xlfn.IFS(D243&gt;=40000,"High Income",D243&gt;=15000,"Middle Income",TRUE,"Low Income")</f>
        <v>High Income</v>
      </c>
      <c r="Q243" s="1" t="str">
        <f t="shared" si="3"/>
        <v>Duplicate</v>
      </c>
    </row>
    <row r="244" spans="1:17" x14ac:dyDescent="0.25">
      <c r="A244" s="1" t="str">
        <f>Main_Data!A244</f>
        <v>Germany</v>
      </c>
      <c r="B244" s="1" t="str">
        <f>Main_Data!B244</f>
        <v>Europe</v>
      </c>
      <c r="C244" s="1">
        <f>Main_Data!C244</f>
        <v>2020</v>
      </c>
      <c r="D244" s="1">
        <f>Main_Data!D244</f>
        <v>59630</v>
      </c>
      <c r="E244" s="1">
        <f>Main_Data!E244</f>
        <v>11.1</v>
      </c>
      <c r="F244" s="1">
        <f>Main_Data!F244</f>
        <v>82</v>
      </c>
      <c r="G244" s="1">
        <f>Main_Data!G244</f>
        <v>1296401631</v>
      </c>
      <c r="H244" s="1">
        <f>Main_Data!H244</f>
        <v>77</v>
      </c>
      <c r="I244" s="1">
        <f>Main_Data!I244</f>
        <v>12.1</v>
      </c>
      <c r="J244" s="1">
        <f>Main_Data!J244</f>
        <v>92</v>
      </c>
      <c r="K244" s="1">
        <f>Main_Data!K244</f>
        <v>55</v>
      </c>
      <c r="L244" s="1" t="str">
        <f>Main_Data!L244</f>
        <v>Europe</v>
      </c>
      <c r="M244" s="1" t="str">
        <f>PROPER(TRIM(Main_Data!A244))</f>
        <v>Germany</v>
      </c>
      <c r="N244" s="1" t="str">
        <f>PROPER(TRIM(Main_Data!B244))</f>
        <v>Europe</v>
      </c>
      <c r="O244" s="1" t="str" cm="1">
        <f t="array" ref="O244">_xlfn.IFS(F244&gt;=80,"Very High",F244&gt;=70,"High",F244&gt;=60,"Medium",TRUE,"Low")</f>
        <v>Very High</v>
      </c>
      <c r="P244" s="1" t="str" cm="1">
        <f t="array" ref="P244">_xlfn.IFS(D244&gt;=40000,"High Income",D244&gt;=15000,"Middle Income",TRUE,"Low Income")</f>
        <v>High Income</v>
      </c>
      <c r="Q244" s="1" t="str">
        <f t="shared" si="3"/>
        <v>Duplicate</v>
      </c>
    </row>
    <row r="245" spans="1:17" x14ac:dyDescent="0.25">
      <c r="A245" s="1" t="str">
        <f>Main_Data!A245</f>
        <v>Brazil</v>
      </c>
      <c r="B245" s="1" t="str">
        <f>Main_Data!B245</f>
        <v>South America</v>
      </c>
      <c r="C245" s="1">
        <f>Main_Data!C245</f>
        <v>2021</v>
      </c>
      <c r="D245" s="1">
        <f>Main_Data!D245</f>
        <v>55137</v>
      </c>
      <c r="E245" s="1">
        <f>Main_Data!E245</f>
        <v>8.1999999999999993</v>
      </c>
      <c r="F245" s="1">
        <f>Main_Data!F245</f>
        <v>67</v>
      </c>
      <c r="G245" s="1">
        <f>Main_Data!G245</f>
        <v>127144716</v>
      </c>
      <c r="H245" s="1">
        <f>Main_Data!H245</f>
        <v>58</v>
      </c>
      <c r="I245" s="1">
        <f>Main_Data!I245</f>
        <v>22.7</v>
      </c>
      <c r="J245" s="1">
        <f>Main_Data!J245</f>
        <v>90</v>
      </c>
      <c r="K245" s="1">
        <f>Main_Data!K245</f>
        <v>30</v>
      </c>
      <c r="L245" s="1" t="str">
        <f>Main_Data!L245</f>
        <v>South America</v>
      </c>
      <c r="M245" s="1" t="str">
        <f>PROPER(TRIM(Main_Data!A245))</f>
        <v>Brazil</v>
      </c>
      <c r="N245" s="1" t="str">
        <f>PROPER(TRIM(Main_Data!B245))</f>
        <v>South America</v>
      </c>
      <c r="O245" s="1" t="str" cm="1">
        <f t="array" ref="O245">_xlfn.IFS(F245&gt;=80,"Very High",F245&gt;=70,"High",F245&gt;=60,"Medium",TRUE,"Low")</f>
        <v>Medium</v>
      </c>
      <c r="P245" s="1" t="str" cm="1">
        <f t="array" ref="P245">_xlfn.IFS(D245&gt;=40000,"High Income",D245&gt;=15000,"Middle Income",TRUE,"Low Income")</f>
        <v>High Income</v>
      </c>
      <c r="Q245" s="1" t="str">
        <f t="shared" si="3"/>
        <v>Duplicate</v>
      </c>
    </row>
    <row r="246" spans="1:17" x14ac:dyDescent="0.25">
      <c r="A246" s="1" t="str">
        <f>Main_Data!A246</f>
        <v>China</v>
      </c>
      <c r="B246" s="1" t="str">
        <f>Main_Data!B246</f>
        <v>East Asia</v>
      </c>
      <c r="C246" s="1">
        <f>Main_Data!C246</f>
        <v>2022</v>
      </c>
      <c r="D246" s="1">
        <f>Main_Data!D246</f>
        <v>48794</v>
      </c>
      <c r="E246" s="1">
        <f>Main_Data!E246</f>
        <v>6.4</v>
      </c>
      <c r="F246" s="1">
        <f>Main_Data!F246</f>
        <v>64</v>
      </c>
      <c r="G246" s="1">
        <f>Main_Data!G246</f>
        <v>1494088218</v>
      </c>
      <c r="H246" s="1">
        <f>Main_Data!H246</f>
        <v>53</v>
      </c>
      <c r="I246" s="1">
        <f>Main_Data!I246</f>
        <v>25</v>
      </c>
      <c r="J246" s="1">
        <f>Main_Data!J246</f>
        <v>72</v>
      </c>
      <c r="K246" s="1">
        <f>Main_Data!K246</f>
        <v>76</v>
      </c>
      <c r="L246" s="1" t="str">
        <f>Main_Data!L246</f>
        <v>Asia</v>
      </c>
      <c r="M246" s="1" t="str">
        <f>PROPER(TRIM(Main_Data!A246))</f>
        <v>China</v>
      </c>
      <c r="N246" s="1" t="str">
        <f>PROPER(TRIM(Main_Data!B246))</f>
        <v>East Asia</v>
      </c>
      <c r="O246" s="1" t="str" cm="1">
        <f t="array" ref="O246">_xlfn.IFS(F246&gt;=80,"Very High",F246&gt;=70,"High",F246&gt;=60,"Medium",TRUE,"Low")</f>
        <v>Medium</v>
      </c>
      <c r="P246" s="1" t="str" cm="1">
        <f t="array" ref="P246">_xlfn.IFS(D246&gt;=40000,"High Income",D246&gt;=15000,"Middle Income",TRUE,"Low Income")</f>
        <v>High Income</v>
      </c>
      <c r="Q246" s="1" t="str">
        <f t="shared" si="3"/>
        <v>Duplicate</v>
      </c>
    </row>
    <row r="247" spans="1:17" x14ac:dyDescent="0.25">
      <c r="A247" s="1" t="str">
        <f>Main_Data!A247</f>
        <v>UK</v>
      </c>
      <c r="B247" s="1" t="str">
        <f>Main_Data!B247</f>
        <v>Europe</v>
      </c>
      <c r="C247" s="1">
        <f>Main_Data!C247</f>
        <v>2022</v>
      </c>
      <c r="D247" s="1">
        <f>Main_Data!D247</f>
        <v>6744</v>
      </c>
      <c r="E247" s="1">
        <f>Main_Data!E247</f>
        <v>16.100000000000001</v>
      </c>
      <c r="F247" s="1">
        <f>Main_Data!F247</f>
        <v>76</v>
      </c>
      <c r="G247" s="1">
        <f>Main_Data!G247</f>
        <v>874401344</v>
      </c>
      <c r="H247" s="1">
        <f>Main_Data!H247</f>
        <v>90</v>
      </c>
      <c r="I247" s="1">
        <f>Main_Data!I247</f>
        <v>11.8</v>
      </c>
      <c r="J247" s="1">
        <f>Main_Data!J247</f>
        <v>86</v>
      </c>
      <c r="K247" s="1">
        <f>Main_Data!K247</f>
        <v>72</v>
      </c>
      <c r="L247" s="1" t="str">
        <f>Main_Data!L247</f>
        <v>Europe</v>
      </c>
      <c r="M247" s="1" t="str">
        <f>PROPER(TRIM(Main_Data!A247))</f>
        <v>Uk</v>
      </c>
      <c r="N247" s="1" t="str">
        <f>PROPER(TRIM(Main_Data!B247))</f>
        <v>Europe</v>
      </c>
      <c r="O247" s="1" t="str" cm="1">
        <f t="array" ref="O247">_xlfn.IFS(F247&gt;=80,"Very High",F247&gt;=70,"High",F247&gt;=60,"Medium",TRUE,"Low")</f>
        <v>High</v>
      </c>
      <c r="P247" s="1" t="str" cm="1">
        <f t="array" ref="P247">_xlfn.IFS(D247&gt;=40000,"High Income",D247&gt;=15000,"Middle Income",TRUE,"Low Income")</f>
        <v>Low Income</v>
      </c>
      <c r="Q247" s="1" t="str">
        <f t="shared" si="3"/>
        <v>Duplicate</v>
      </c>
    </row>
    <row r="248" spans="1:17" x14ac:dyDescent="0.25">
      <c r="A248" s="1" t="str">
        <f>Main_Data!A248</f>
        <v>Canada</v>
      </c>
      <c r="B248" s="1" t="str">
        <f>Main_Data!B248</f>
        <v>North America</v>
      </c>
      <c r="C248" s="1">
        <f>Main_Data!C248</f>
        <v>2020</v>
      </c>
      <c r="D248" s="1">
        <f>Main_Data!D248</f>
        <v>69528</v>
      </c>
      <c r="E248" s="1">
        <f>Main_Data!E248</f>
        <v>5.9</v>
      </c>
      <c r="F248" s="1">
        <f>Main_Data!F248</f>
        <v>75</v>
      </c>
      <c r="G248" s="1">
        <f>Main_Data!G248</f>
        <v>1043953467</v>
      </c>
      <c r="H248" s="1">
        <f>Main_Data!H248</f>
        <v>88</v>
      </c>
      <c r="I248" s="1">
        <f>Main_Data!I248</f>
        <v>19.100000000000001</v>
      </c>
      <c r="J248" s="1">
        <f>Main_Data!J248</f>
        <v>100</v>
      </c>
      <c r="K248" s="1">
        <f>Main_Data!K248</f>
        <v>46</v>
      </c>
      <c r="L248" s="1" t="str">
        <f>Main_Data!L248</f>
        <v>North America</v>
      </c>
      <c r="M248" s="1" t="str">
        <f>PROPER(TRIM(Main_Data!A248))</f>
        <v>Canada</v>
      </c>
      <c r="N248" s="1" t="str">
        <f>PROPER(TRIM(Main_Data!B248))</f>
        <v>North America</v>
      </c>
      <c r="O248" s="1" t="str" cm="1">
        <f t="array" ref="O248">_xlfn.IFS(F248&gt;=80,"Very High",F248&gt;=70,"High",F248&gt;=60,"Medium",TRUE,"Low")</f>
        <v>High</v>
      </c>
      <c r="P248" s="1" t="str" cm="1">
        <f t="array" ref="P248">_xlfn.IFS(D248&gt;=40000,"High Income",D248&gt;=15000,"Middle Income",TRUE,"Low Income")</f>
        <v>High Income</v>
      </c>
      <c r="Q248" s="1" t="str">
        <f t="shared" si="3"/>
        <v>Duplicate</v>
      </c>
    </row>
    <row r="249" spans="1:17" x14ac:dyDescent="0.25">
      <c r="A249" s="1" t="str">
        <f>Main_Data!A249</f>
        <v>Australia</v>
      </c>
      <c r="B249" s="1" t="str">
        <f>Main_Data!B249</f>
        <v>Oceania</v>
      </c>
      <c r="C249" s="1">
        <f>Main_Data!C249</f>
        <v>2020</v>
      </c>
      <c r="D249" s="1">
        <f>Main_Data!D249</f>
        <v>11110</v>
      </c>
      <c r="E249" s="1">
        <f>Main_Data!E249</f>
        <v>14.3</v>
      </c>
      <c r="F249" s="1">
        <f>Main_Data!F249</f>
        <v>66</v>
      </c>
      <c r="G249" s="1">
        <f>Main_Data!G249</f>
        <v>656298314</v>
      </c>
      <c r="H249" s="1">
        <f>Main_Data!H249</f>
        <v>88</v>
      </c>
      <c r="I249" s="1">
        <f>Main_Data!I249</f>
        <v>14.7</v>
      </c>
      <c r="J249" s="1">
        <f>Main_Data!J249</f>
        <v>79</v>
      </c>
      <c r="K249" s="1">
        <f>Main_Data!K249</f>
        <v>52</v>
      </c>
      <c r="L249" s="1" t="str">
        <f>Main_Data!L249</f>
        <v>Oceania</v>
      </c>
      <c r="M249" s="1" t="str">
        <f>PROPER(TRIM(Main_Data!A249))</f>
        <v>Australia</v>
      </c>
      <c r="N249" s="1" t="str">
        <f>PROPER(TRIM(Main_Data!B249))</f>
        <v>Oceania</v>
      </c>
      <c r="O249" s="1" t="str" cm="1">
        <f t="array" ref="O249">_xlfn.IFS(F249&gt;=80,"Very High",F249&gt;=70,"High",F249&gt;=60,"Medium",TRUE,"Low")</f>
        <v>Medium</v>
      </c>
      <c r="P249" s="1" t="str" cm="1">
        <f t="array" ref="P249">_xlfn.IFS(D249&gt;=40000,"High Income",D249&gt;=15000,"Middle Income",TRUE,"Low Income")</f>
        <v>Low Income</v>
      </c>
      <c r="Q249" s="1" t="str">
        <f t="shared" si="3"/>
        <v>Duplicate</v>
      </c>
    </row>
    <row r="250" spans="1:17" x14ac:dyDescent="0.25">
      <c r="A250" s="1" t="str">
        <f>Main_Data!A250</f>
        <v>Japan</v>
      </c>
      <c r="B250" s="1" t="str">
        <f>Main_Data!B250</f>
        <v>East Asia</v>
      </c>
      <c r="C250" s="1">
        <f>Main_Data!C250</f>
        <v>2021</v>
      </c>
      <c r="D250" s="1">
        <f>Main_Data!D250</f>
        <v>2217</v>
      </c>
      <c r="E250" s="1">
        <f>Main_Data!E250</f>
        <v>3.3</v>
      </c>
      <c r="F250" s="1">
        <f>Main_Data!F250</f>
        <v>65</v>
      </c>
      <c r="G250" s="1">
        <f>Main_Data!G250</f>
        <v>850897555</v>
      </c>
      <c r="H250" s="1">
        <f>Main_Data!H250</f>
        <v>84</v>
      </c>
      <c r="I250" s="1">
        <f>Main_Data!I250</f>
        <v>2.5</v>
      </c>
      <c r="J250" s="1">
        <f>Main_Data!J250</f>
        <v>79</v>
      </c>
      <c r="K250" s="1">
        <f>Main_Data!K250</f>
        <v>73</v>
      </c>
      <c r="L250" s="1" t="str">
        <f>Main_Data!L250</f>
        <v>Asia</v>
      </c>
      <c r="M250" s="1" t="str">
        <f>PROPER(TRIM(Main_Data!A250))</f>
        <v>Japan</v>
      </c>
      <c r="N250" s="1" t="str">
        <f>PROPER(TRIM(Main_Data!B250))</f>
        <v>East Asia</v>
      </c>
      <c r="O250" s="1" t="str" cm="1">
        <f t="array" ref="O250">_xlfn.IFS(F250&gt;=80,"Very High",F250&gt;=70,"High",F250&gt;=60,"Medium",TRUE,"Low")</f>
        <v>Medium</v>
      </c>
      <c r="P250" s="1" t="str" cm="1">
        <f t="array" ref="P250">_xlfn.IFS(D250&gt;=40000,"High Income",D250&gt;=15000,"Middle Income",TRUE,"Low Income")</f>
        <v>Low Income</v>
      </c>
      <c r="Q250" s="1" t="str">
        <f t="shared" si="3"/>
        <v>Duplicate</v>
      </c>
    </row>
    <row r="251" spans="1:17" x14ac:dyDescent="0.25">
      <c r="A251" s="1" t="str">
        <f>Main_Data!A251</f>
        <v>South Africa</v>
      </c>
      <c r="B251" s="1" t="str">
        <f>Main_Data!B251</f>
        <v>Africa</v>
      </c>
      <c r="C251" s="1">
        <f>Main_Data!C251</f>
        <v>2021</v>
      </c>
      <c r="D251" s="1">
        <f>Main_Data!D251</f>
        <v>10496</v>
      </c>
      <c r="E251" s="1">
        <f>Main_Data!E251</f>
        <v>15.7</v>
      </c>
      <c r="F251" s="1">
        <f>Main_Data!F251</f>
        <v>83</v>
      </c>
      <c r="G251" s="1">
        <f>Main_Data!G251</f>
        <v>428133100</v>
      </c>
      <c r="H251" s="1">
        <f>Main_Data!H251</f>
        <v>59</v>
      </c>
      <c r="I251" s="1">
        <f>Main_Data!I251</f>
        <v>21.2</v>
      </c>
      <c r="J251" s="1">
        <f>Main_Data!J251</f>
        <v>96</v>
      </c>
      <c r="K251" s="1">
        <f>Main_Data!K251</f>
        <v>80</v>
      </c>
      <c r="L251" s="1" t="str">
        <f>Main_Data!L251</f>
        <v>Africa</v>
      </c>
      <c r="M251" s="1" t="str">
        <f>PROPER(TRIM(Main_Data!A251))</f>
        <v>South Africa</v>
      </c>
      <c r="N251" s="1" t="str">
        <f>PROPER(TRIM(Main_Data!B251))</f>
        <v>Africa</v>
      </c>
      <c r="O251" s="1" t="str" cm="1">
        <f t="array" ref="O251">_xlfn.IFS(F251&gt;=80,"Very High",F251&gt;=70,"High",F251&gt;=60,"Medium",TRUE,"Low")</f>
        <v>Very High</v>
      </c>
      <c r="P251" s="1" t="str" cm="1">
        <f t="array" ref="P251">_xlfn.IFS(D251&gt;=40000,"High Income",D251&gt;=15000,"Middle Income",TRUE,"Low Income")</f>
        <v>Low Income</v>
      </c>
      <c r="Q251" s="1" t="str">
        <f t="shared" si="3"/>
        <v>Duplicate</v>
      </c>
    </row>
    <row r="252" spans="1:17" x14ac:dyDescent="0.25">
      <c r="A252" s="1" t="str">
        <f>Main_Data!A252</f>
        <v>India</v>
      </c>
      <c r="B252" s="1" t="str">
        <f>Main_Data!B252</f>
        <v>South Asia</v>
      </c>
      <c r="C252" s="1">
        <f>Main_Data!C252</f>
        <v>2022</v>
      </c>
      <c r="D252" s="1">
        <f>Main_Data!D252</f>
        <v>6757</v>
      </c>
      <c r="E252" s="1">
        <f>Main_Data!E252</f>
        <v>10</v>
      </c>
      <c r="F252" s="1">
        <f>Main_Data!F252</f>
        <v>72</v>
      </c>
      <c r="G252" s="1">
        <f>Main_Data!G252</f>
        <v>1468227841</v>
      </c>
      <c r="H252" s="1">
        <f>Main_Data!H252</f>
        <v>91</v>
      </c>
      <c r="I252" s="1">
        <f>Main_Data!I252</f>
        <v>17.600000000000001</v>
      </c>
      <c r="J252" s="1">
        <f>Main_Data!J252</f>
        <v>80</v>
      </c>
      <c r="K252" s="1">
        <f>Main_Data!K252</f>
        <v>63</v>
      </c>
      <c r="L252" s="1" t="str">
        <f>Main_Data!L252</f>
        <v>Asia</v>
      </c>
      <c r="M252" s="1" t="str">
        <f>PROPER(TRIM(Main_Data!A252))</f>
        <v>India</v>
      </c>
      <c r="N252" s="1" t="str">
        <f>PROPER(TRIM(Main_Data!B252))</f>
        <v>South Asia</v>
      </c>
      <c r="O252" s="1" t="str" cm="1">
        <f t="array" ref="O252">_xlfn.IFS(F252&gt;=80,"Very High",F252&gt;=70,"High",F252&gt;=60,"Medium",TRUE,"Low")</f>
        <v>High</v>
      </c>
      <c r="P252" s="1" t="str" cm="1">
        <f t="array" ref="P252">_xlfn.IFS(D252&gt;=40000,"High Income",D252&gt;=15000,"Middle Income",TRUE,"Low Income")</f>
        <v>Low Income</v>
      </c>
      <c r="Q252" s="1" t="str">
        <f t="shared" si="3"/>
        <v>Duplicate</v>
      </c>
    </row>
    <row r="253" spans="1:17" x14ac:dyDescent="0.25">
      <c r="A253" s="1" t="str">
        <f>Main_Data!A253</f>
        <v>USA</v>
      </c>
      <c r="B253" s="1" t="str">
        <f>Main_Data!B253</f>
        <v>North America</v>
      </c>
      <c r="C253" s="1">
        <f>Main_Data!C253</f>
        <v>2022</v>
      </c>
      <c r="D253" s="1">
        <f>Main_Data!D253</f>
        <v>8177</v>
      </c>
      <c r="E253" s="1">
        <f>Main_Data!E253</f>
        <v>10.1</v>
      </c>
      <c r="F253" s="1">
        <f>Main_Data!F253</f>
        <v>78</v>
      </c>
      <c r="G253" s="1">
        <f>Main_Data!G253</f>
        <v>764470568</v>
      </c>
      <c r="H253" s="1">
        <f>Main_Data!H253</f>
        <v>60</v>
      </c>
      <c r="I253" s="1">
        <f>Main_Data!I253</f>
        <v>21.9</v>
      </c>
      <c r="J253" s="1">
        <f>Main_Data!J253</f>
        <v>91</v>
      </c>
      <c r="K253" s="1">
        <f>Main_Data!K253</f>
        <v>59</v>
      </c>
      <c r="L253" s="1" t="str">
        <f>Main_Data!L253</f>
        <v>North America</v>
      </c>
      <c r="M253" s="1" t="str">
        <f>PROPER(TRIM(Main_Data!A253))</f>
        <v>Usa</v>
      </c>
      <c r="N253" s="1" t="str">
        <f>PROPER(TRIM(Main_Data!B253))</f>
        <v>North America</v>
      </c>
      <c r="O253" s="1" t="str" cm="1">
        <f t="array" ref="O253">_xlfn.IFS(F253&gt;=80,"Very High",F253&gt;=70,"High",F253&gt;=60,"Medium",TRUE,"Low")</f>
        <v>High</v>
      </c>
      <c r="P253" s="1" t="str" cm="1">
        <f t="array" ref="P253">_xlfn.IFS(D253&gt;=40000,"High Income",D253&gt;=15000,"Middle Income",TRUE,"Low Income")</f>
        <v>Low Income</v>
      </c>
      <c r="Q253" s="1" t="str">
        <f t="shared" si="3"/>
        <v>Duplicate</v>
      </c>
    </row>
    <row r="254" spans="1:17" x14ac:dyDescent="0.25">
      <c r="A254" s="1" t="str">
        <f>Main_Data!A254</f>
        <v>Germany</v>
      </c>
      <c r="B254" s="1" t="str">
        <f>Main_Data!B254</f>
        <v>Europe</v>
      </c>
      <c r="C254" s="1">
        <f>Main_Data!C254</f>
        <v>2022</v>
      </c>
      <c r="D254" s="1">
        <f>Main_Data!D254</f>
        <v>43885</v>
      </c>
      <c r="E254" s="1">
        <f>Main_Data!E254</f>
        <v>7.9</v>
      </c>
      <c r="F254" s="1">
        <f>Main_Data!F254</f>
        <v>74</v>
      </c>
      <c r="G254" s="1">
        <f>Main_Data!G254</f>
        <v>983771547</v>
      </c>
      <c r="H254" s="1">
        <f>Main_Data!H254</f>
        <v>95</v>
      </c>
      <c r="I254" s="1">
        <f>Main_Data!I254</f>
        <v>4.9000000000000004</v>
      </c>
      <c r="J254" s="1">
        <f>Main_Data!J254</f>
        <v>98</v>
      </c>
      <c r="K254" s="1">
        <f>Main_Data!K254</f>
        <v>82</v>
      </c>
      <c r="L254" s="1" t="str">
        <f>Main_Data!L254</f>
        <v>Europe</v>
      </c>
      <c r="M254" s="1" t="str">
        <f>PROPER(TRIM(Main_Data!A254))</f>
        <v>Germany</v>
      </c>
      <c r="N254" s="1" t="str">
        <f>PROPER(TRIM(Main_Data!B254))</f>
        <v>Europe</v>
      </c>
      <c r="O254" s="1" t="str" cm="1">
        <f t="array" ref="O254">_xlfn.IFS(F254&gt;=80,"Very High",F254&gt;=70,"High",F254&gt;=60,"Medium",TRUE,"Low")</f>
        <v>High</v>
      </c>
      <c r="P254" s="1" t="str" cm="1">
        <f t="array" ref="P254">_xlfn.IFS(D254&gt;=40000,"High Income",D254&gt;=15000,"Middle Income",TRUE,"Low Income")</f>
        <v>High Income</v>
      </c>
      <c r="Q254" s="1" t="str">
        <f t="shared" si="3"/>
        <v>Duplicate</v>
      </c>
    </row>
    <row r="255" spans="1:17" x14ac:dyDescent="0.25">
      <c r="A255" s="1" t="str">
        <f>Main_Data!A255</f>
        <v>Brazil</v>
      </c>
      <c r="B255" s="1" t="str">
        <f>Main_Data!B255</f>
        <v>South America</v>
      </c>
      <c r="C255" s="1">
        <f>Main_Data!C255</f>
        <v>2020</v>
      </c>
      <c r="D255" s="1">
        <f>Main_Data!D255</f>
        <v>32588</v>
      </c>
      <c r="E255" s="1">
        <f>Main_Data!E255</f>
        <v>5.8</v>
      </c>
      <c r="F255" s="1">
        <f>Main_Data!F255</f>
        <v>61</v>
      </c>
      <c r="G255" s="1">
        <f>Main_Data!G255</f>
        <v>827223739</v>
      </c>
      <c r="H255" s="1">
        <f>Main_Data!H255</f>
        <v>59</v>
      </c>
      <c r="I255" s="1">
        <f>Main_Data!I255</f>
        <v>19.399999999999999</v>
      </c>
      <c r="J255" s="1">
        <f>Main_Data!J255</f>
        <v>73</v>
      </c>
      <c r="K255" s="1">
        <f>Main_Data!K255</f>
        <v>47</v>
      </c>
      <c r="L255" s="1" t="str">
        <f>Main_Data!L255</f>
        <v>South America</v>
      </c>
      <c r="M255" s="1" t="str">
        <f>PROPER(TRIM(Main_Data!A255))</f>
        <v>Brazil</v>
      </c>
      <c r="N255" s="1" t="str">
        <f>PROPER(TRIM(Main_Data!B255))</f>
        <v>South America</v>
      </c>
      <c r="O255" s="1" t="str" cm="1">
        <f t="array" ref="O255">_xlfn.IFS(F255&gt;=80,"Very High",F255&gt;=70,"High",F255&gt;=60,"Medium",TRUE,"Low")</f>
        <v>Medium</v>
      </c>
      <c r="P255" s="1" t="str" cm="1">
        <f t="array" ref="P255">_xlfn.IFS(D255&gt;=40000,"High Income",D255&gt;=15000,"Middle Income",TRUE,"Low Income")</f>
        <v>Middle Income</v>
      </c>
      <c r="Q255" s="1" t="str">
        <f t="shared" si="3"/>
        <v>Duplicate</v>
      </c>
    </row>
    <row r="256" spans="1:17" x14ac:dyDescent="0.25">
      <c r="A256" s="1" t="str">
        <f>Main_Data!A256</f>
        <v>China</v>
      </c>
      <c r="B256" s="1" t="str">
        <f>Main_Data!B256</f>
        <v>East Asia</v>
      </c>
      <c r="C256" s="1">
        <f>Main_Data!C256</f>
        <v>2020</v>
      </c>
      <c r="D256" s="1">
        <f>Main_Data!D256</f>
        <v>46512</v>
      </c>
      <c r="E256" s="1">
        <f>Main_Data!E256</f>
        <v>13.6</v>
      </c>
      <c r="F256" s="1">
        <f>Main_Data!F256</f>
        <v>71</v>
      </c>
      <c r="G256" s="1">
        <f>Main_Data!G256</f>
        <v>624229972</v>
      </c>
      <c r="H256" s="1">
        <f>Main_Data!H256</f>
        <v>81</v>
      </c>
      <c r="I256" s="1">
        <f>Main_Data!I256</f>
        <v>11.7</v>
      </c>
      <c r="J256" s="1">
        <f>Main_Data!J256</f>
        <v>92</v>
      </c>
      <c r="K256" s="1">
        <f>Main_Data!K256</f>
        <v>45</v>
      </c>
      <c r="L256" s="1" t="str">
        <f>Main_Data!L256</f>
        <v>Asia</v>
      </c>
      <c r="M256" s="1" t="str">
        <f>PROPER(TRIM(Main_Data!A256))</f>
        <v>China</v>
      </c>
      <c r="N256" s="1" t="str">
        <f>PROPER(TRIM(Main_Data!B256))</f>
        <v>East Asia</v>
      </c>
      <c r="O256" s="1" t="str" cm="1">
        <f t="array" ref="O256">_xlfn.IFS(F256&gt;=80,"Very High",F256&gt;=70,"High",F256&gt;=60,"Medium",TRUE,"Low")</f>
        <v>High</v>
      </c>
      <c r="P256" s="1" t="str" cm="1">
        <f t="array" ref="P256">_xlfn.IFS(D256&gt;=40000,"High Income",D256&gt;=15000,"Middle Income",TRUE,"Low Income")</f>
        <v>High Income</v>
      </c>
      <c r="Q256" s="1" t="str">
        <f t="shared" si="3"/>
        <v>Duplicate</v>
      </c>
    </row>
    <row r="257" spans="1:17" x14ac:dyDescent="0.25">
      <c r="A257" s="1" t="str">
        <f>Main_Data!A257</f>
        <v>UK</v>
      </c>
      <c r="B257" s="1" t="str">
        <f>Main_Data!B257</f>
        <v>Europe</v>
      </c>
      <c r="C257" s="1">
        <f>Main_Data!C257</f>
        <v>2022</v>
      </c>
      <c r="D257" s="1">
        <f>Main_Data!D257</f>
        <v>36536</v>
      </c>
      <c r="E257" s="1">
        <f>Main_Data!E257</f>
        <v>6.8</v>
      </c>
      <c r="F257" s="1">
        <f>Main_Data!F257</f>
        <v>61</v>
      </c>
      <c r="G257" s="1">
        <f>Main_Data!G257</f>
        <v>61277754</v>
      </c>
      <c r="H257" s="1">
        <f>Main_Data!H257</f>
        <v>85</v>
      </c>
      <c r="I257" s="1">
        <f>Main_Data!I257</f>
        <v>7.2</v>
      </c>
      <c r="J257" s="1">
        <f>Main_Data!J257</f>
        <v>82</v>
      </c>
      <c r="K257" s="1">
        <f>Main_Data!K257</f>
        <v>46</v>
      </c>
      <c r="L257" s="1" t="str">
        <f>Main_Data!L257</f>
        <v>Europe</v>
      </c>
      <c r="M257" s="1" t="str">
        <f>PROPER(TRIM(Main_Data!A257))</f>
        <v>Uk</v>
      </c>
      <c r="N257" s="1" t="str">
        <f>PROPER(TRIM(Main_Data!B257))</f>
        <v>Europe</v>
      </c>
      <c r="O257" s="1" t="str" cm="1">
        <f t="array" ref="O257">_xlfn.IFS(F257&gt;=80,"Very High",F257&gt;=70,"High",F257&gt;=60,"Medium",TRUE,"Low")</f>
        <v>Medium</v>
      </c>
      <c r="P257" s="1" t="str" cm="1">
        <f t="array" ref="P257">_xlfn.IFS(D257&gt;=40000,"High Income",D257&gt;=15000,"Middle Income",TRUE,"Low Income")</f>
        <v>Middle Income</v>
      </c>
      <c r="Q257" s="1" t="str">
        <f t="shared" si="3"/>
        <v>Duplicate</v>
      </c>
    </row>
    <row r="258" spans="1:17" x14ac:dyDescent="0.25">
      <c r="A258" s="1" t="str">
        <f>Main_Data!A258</f>
        <v>Canada</v>
      </c>
      <c r="B258" s="1" t="str">
        <f>Main_Data!B258</f>
        <v>North America</v>
      </c>
      <c r="C258" s="1">
        <f>Main_Data!C258</f>
        <v>2020</v>
      </c>
      <c r="D258" s="1">
        <f>Main_Data!D258</f>
        <v>20070</v>
      </c>
      <c r="E258" s="1">
        <f>Main_Data!E258</f>
        <v>11.9</v>
      </c>
      <c r="F258" s="1">
        <f>Main_Data!F258</f>
        <v>72</v>
      </c>
      <c r="G258" s="1">
        <f>Main_Data!G258</f>
        <v>936085937</v>
      </c>
      <c r="H258" s="1">
        <f>Main_Data!H258</f>
        <v>80</v>
      </c>
      <c r="I258" s="1">
        <f>Main_Data!I258</f>
        <v>14.2</v>
      </c>
      <c r="J258" s="1">
        <f>Main_Data!J258</f>
        <v>98</v>
      </c>
      <c r="K258" s="1">
        <f>Main_Data!K258</f>
        <v>66</v>
      </c>
      <c r="L258" s="1" t="str">
        <f>Main_Data!L258</f>
        <v>North America</v>
      </c>
      <c r="M258" s="1" t="str">
        <f>PROPER(TRIM(Main_Data!A258))</f>
        <v>Canada</v>
      </c>
      <c r="N258" s="1" t="str">
        <f>PROPER(TRIM(Main_Data!B258))</f>
        <v>North America</v>
      </c>
      <c r="O258" s="1" t="str" cm="1">
        <f t="array" ref="O258">_xlfn.IFS(F258&gt;=80,"Very High",F258&gt;=70,"High",F258&gt;=60,"Medium",TRUE,"Low")</f>
        <v>High</v>
      </c>
      <c r="P258" s="1" t="str" cm="1">
        <f t="array" ref="P258">_xlfn.IFS(D258&gt;=40000,"High Income",D258&gt;=15000,"Middle Income",TRUE,"Low Income")</f>
        <v>Middle Income</v>
      </c>
      <c r="Q258" s="1" t="str">
        <f t="shared" si="3"/>
        <v>Duplicate</v>
      </c>
    </row>
    <row r="259" spans="1:17" x14ac:dyDescent="0.25">
      <c r="A259" s="1" t="str">
        <f>Main_Data!A259</f>
        <v>Australia</v>
      </c>
      <c r="B259" s="1" t="str">
        <f>Main_Data!B259</f>
        <v>Oceania</v>
      </c>
      <c r="C259" s="1">
        <f>Main_Data!C259</f>
        <v>2021</v>
      </c>
      <c r="D259" s="1">
        <f>Main_Data!D259</f>
        <v>34028</v>
      </c>
      <c r="E259" s="1">
        <f>Main_Data!E259</f>
        <v>12.2</v>
      </c>
      <c r="F259" s="1">
        <f>Main_Data!F259</f>
        <v>75</v>
      </c>
      <c r="G259" s="1">
        <f>Main_Data!G259</f>
        <v>1172149943</v>
      </c>
      <c r="H259" s="1">
        <f>Main_Data!H259</f>
        <v>89</v>
      </c>
      <c r="I259" s="1">
        <f>Main_Data!I259</f>
        <v>3.8</v>
      </c>
      <c r="J259" s="1">
        <f>Main_Data!J259</f>
        <v>99</v>
      </c>
      <c r="K259" s="1">
        <f>Main_Data!K259</f>
        <v>75</v>
      </c>
      <c r="L259" s="1" t="str">
        <f>Main_Data!L259</f>
        <v>Oceania</v>
      </c>
      <c r="M259" s="1" t="str">
        <f>PROPER(TRIM(Main_Data!A259))</f>
        <v>Australia</v>
      </c>
      <c r="N259" s="1" t="str">
        <f>PROPER(TRIM(Main_Data!B259))</f>
        <v>Oceania</v>
      </c>
      <c r="O259" s="1" t="str" cm="1">
        <f t="array" ref="O259">_xlfn.IFS(F259&gt;=80,"Very High",F259&gt;=70,"High",F259&gt;=60,"Medium",TRUE,"Low")</f>
        <v>High</v>
      </c>
      <c r="P259" s="1" t="str" cm="1">
        <f t="array" ref="P259">_xlfn.IFS(D259&gt;=40000,"High Income",D259&gt;=15000,"Middle Income",TRUE,"Low Income")</f>
        <v>Middle Income</v>
      </c>
      <c r="Q259" s="1" t="str">
        <f t="shared" ref="Q259:Q322" si="4">IF(COUNTIFS(A:A,A259,C:C,C259)&gt;1,"Duplicate","OK")</f>
        <v>Duplicate</v>
      </c>
    </row>
    <row r="260" spans="1:17" x14ac:dyDescent="0.25">
      <c r="A260" s="1" t="str">
        <f>Main_Data!A260</f>
        <v>Japan</v>
      </c>
      <c r="B260" s="1" t="str">
        <f>Main_Data!B260</f>
        <v>East Asia</v>
      </c>
      <c r="C260" s="1">
        <f>Main_Data!C260</f>
        <v>2021</v>
      </c>
      <c r="D260" s="1">
        <f>Main_Data!D260</f>
        <v>57072</v>
      </c>
      <c r="E260" s="1">
        <f>Main_Data!E260</f>
        <v>7</v>
      </c>
      <c r="F260" s="1">
        <f>Main_Data!F260</f>
        <v>81</v>
      </c>
      <c r="G260" s="1">
        <f>Main_Data!G260</f>
        <v>1265374410</v>
      </c>
      <c r="H260" s="1">
        <f>Main_Data!H260</f>
        <v>90</v>
      </c>
      <c r="I260" s="1">
        <f>Main_Data!I260</f>
        <v>13</v>
      </c>
      <c r="J260" s="1">
        <f>Main_Data!J260</f>
        <v>88</v>
      </c>
      <c r="K260" s="1">
        <f>Main_Data!K260</f>
        <v>65</v>
      </c>
      <c r="L260" s="1" t="str">
        <f>Main_Data!L260</f>
        <v>Asia</v>
      </c>
      <c r="M260" s="1" t="str">
        <f>PROPER(TRIM(Main_Data!A260))</f>
        <v>Japan</v>
      </c>
      <c r="N260" s="1" t="str">
        <f>PROPER(TRIM(Main_Data!B260))</f>
        <v>East Asia</v>
      </c>
      <c r="O260" s="1" t="str" cm="1">
        <f t="array" ref="O260">_xlfn.IFS(F260&gt;=80,"Very High",F260&gt;=70,"High",F260&gt;=60,"Medium",TRUE,"Low")</f>
        <v>Very High</v>
      </c>
      <c r="P260" s="1" t="str" cm="1">
        <f t="array" ref="P260">_xlfn.IFS(D260&gt;=40000,"High Income",D260&gt;=15000,"Middle Income",TRUE,"Low Income")</f>
        <v>High Income</v>
      </c>
      <c r="Q260" s="1" t="str">
        <f t="shared" si="4"/>
        <v>Duplicate</v>
      </c>
    </row>
    <row r="261" spans="1:17" x14ac:dyDescent="0.25">
      <c r="A261" s="1" t="str">
        <f>Main_Data!A261</f>
        <v>South Africa</v>
      </c>
      <c r="B261" s="1" t="str">
        <f>Main_Data!B261</f>
        <v>Africa</v>
      </c>
      <c r="C261" s="1">
        <f>Main_Data!C261</f>
        <v>2022</v>
      </c>
      <c r="D261" s="1">
        <f>Main_Data!D261</f>
        <v>17332</v>
      </c>
      <c r="E261" s="1">
        <f>Main_Data!E261</f>
        <v>16.399999999999999</v>
      </c>
      <c r="F261" s="1">
        <f>Main_Data!F261</f>
        <v>81</v>
      </c>
      <c r="G261" s="1">
        <f>Main_Data!G261</f>
        <v>1402500309</v>
      </c>
      <c r="H261" s="1">
        <f>Main_Data!H261</f>
        <v>79</v>
      </c>
      <c r="I261" s="1">
        <f>Main_Data!I261</f>
        <v>12.7</v>
      </c>
      <c r="J261" s="1">
        <f>Main_Data!J261</f>
        <v>74</v>
      </c>
      <c r="K261" s="1">
        <f>Main_Data!K261</f>
        <v>59</v>
      </c>
      <c r="L261" s="1" t="str">
        <f>Main_Data!L261</f>
        <v>Africa</v>
      </c>
      <c r="M261" s="1" t="str">
        <f>PROPER(TRIM(Main_Data!A261))</f>
        <v>South Africa</v>
      </c>
      <c r="N261" s="1" t="str">
        <f>PROPER(TRIM(Main_Data!B261))</f>
        <v>Africa</v>
      </c>
      <c r="O261" s="1" t="str" cm="1">
        <f t="array" ref="O261">_xlfn.IFS(F261&gt;=80,"Very High",F261&gt;=70,"High",F261&gt;=60,"Medium",TRUE,"Low")</f>
        <v>Very High</v>
      </c>
      <c r="P261" s="1" t="str" cm="1">
        <f t="array" ref="P261">_xlfn.IFS(D261&gt;=40000,"High Income",D261&gt;=15000,"Middle Income",TRUE,"Low Income")</f>
        <v>Middle Income</v>
      </c>
      <c r="Q261" s="1" t="str">
        <f t="shared" si="4"/>
        <v>Duplicate</v>
      </c>
    </row>
    <row r="262" spans="1:17" x14ac:dyDescent="0.25">
      <c r="A262" s="1" t="str">
        <f>Main_Data!A262</f>
        <v>India</v>
      </c>
      <c r="B262" s="1" t="str">
        <f>Main_Data!B262</f>
        <v>South Asia</v>
      </c>
      <c r="C262" s="1">
        <f>Main_Data!C262</f>
        <v>2021</v>
      </c>
      <c r="D262" s="1">
        <f>Main_Data!D262</f>
        <v>54844</v>
      </c>
      <c r="E262" s="1">
        <f>Main_Data!E262</f>
        <v>12.8</v>
      </c>
      <c r="F262" s="1">
        <f>Main_Data!F262</f>
        <v>82</v>
      </c>
      <c r="G262" s="1">
        <f>Main_Data!G262</f>
        <v>977424254</v>
      </c>
      <c r="H262" s="1">
        <f>Main_Data!H262</f>
        <v>78</v>
      </c>
      <c r="I262" s="1">
        <f>Main_Data!I262</f>
        <v>23</v>
      </c>
      <c r="J262" s="1">
        <f>Main_Data!J262</f>
        <v>89</v>
      </c>
      <c r="K262" s="1">
        <f>Main_Data!K262</f>
        <v>86</v>
      </c>
      <c r="L262" s="1" t="str">
        <f>Main_Data!L262</f>
        <v>Asia</v>
      </c>
      <c r="M262" s="1" t="str">
        <f>PROPER(TRIM(Main_Data!A262))</f>
        <v>India</v>
      </c>
      <c r="N262" s="1" t="str">
        <f>PROPER(TRIM(Main_Data!B262))</f>
        <v>South Asia</v>
      </c>
      <c r="O262" s="1" t="str" cm="1">
        <f t="array" ref="O262">_xlfn.IFS(F262&gt;=80,"Very High",F262&gt;=70,"High",F262&gt;=60,"Medium",TRUE,"Low")</f>
        <v>Very High</v>
      </c>
      <c r="P262" s="1" t="str" cm="1">
        <f t="array" ref="P262">_xlfn.IFS(D262&gt;=40000,"High Income",D262&gt;=15000,"Middle Income",TRUE,"Low Income")</f>
        <v>High Income</v>
      </c>
      <c r="Q262" s="1" t="str">
        <f t="shared" si="4"/>
        <v>Duplicate</v>
      </c>
    </row>
    <row r="263" spans="1:17" x14ac:dyDescent="0.25">
      <c r="A263" s="1" t="str">
        <f>Main_Data!A263</f>
        <v>USA</v>
      </c>
      <c r="B263" s="1" t="str">
        <f>Main_Data!B263</f>
        <v>North America</v>
      </c>
      <c r="C263" s="1">
        <f>Main_Data!C263</f>
        <v>2022</v>
      </c>
      <c r="D263" s="1">
        <f>Main_Data!D263</f>
        <v>23013</v>
      </c>
      <c r="E263" s="1">
        <f>Main_Data!E263</f>
        <v>16.2</v>
      </c>
      <c r="F263" s="1">
        <f>Main_Data!F263</f>
        <v>75</v>
      </c>
      <c r="G263" s="1">
        <f>Main_Data!G263</f>
        <v>1288390039</v>
      </c>
      <c r="H263" s="1">
        <f>Main_Data!H263</f>
        <v>76</v>
      </c>
      <c r="I263" s="1">
        <f>Main_Data!I263</f>
        <v>22.9</v>
      </c>
      <c r="J263" s="1">
        <f>Main_Data!J263</f>
        <v>76</v>
      </c>
      <c r="K263" s="1">
        <f>Main_Data!K263</f>
        <v>89</v>
      </c>
      <c r="L263" s="1" t="str">
        <f>Main_Data!L263</f>
        <v>North America</v>
      </c>
      <c r="M263" s="1" t="str">
        <f>PROPER(TRIM(Main_Data!A263))</f>
        <v>Usa</v>
      </c>
      <c r="N263" s="1" t="str">
        <f>PROPER(TRIM(Main_Data!B263))</f>
        <v>North America</v>
      </c>
      <c r="O263" s="1" t="str" cm="1">
        <f t="array" ref="O263">_xlfn.IFS(F263&gt;=80,"Very High",F263&gt;=70,"High",F263&gt;=60,"Medium",TRUE,"Low")</f>
        <v>High</v>
      </c>
      <c r="P263" s="1" t="str" cm="1">
        <f t="array" ref="P263">_xlfn.IFS(D263&gt;=40000,"High Income",D263&gt;=15000,"Middle Income",TRUE,"Low Income")</f>
        <v>Middle Income</v>
      </c>
      <c r="Q263" s="1" t="str">
        <f t="shared" si="4"/>
        <v>Duplicate</v>
      </c>
    </row>
    <row r="264" spans="1:17" x14ac:dyDescent="0.25">
      <c r="A264" s="1" t="str">
        <f>Main_Data!A264</f>
        <v>Germany</v>
      </c>
      <c r="B264" s="1" t="str">
        <f>Main_Data!B264</f>
        <v>Europe</v>
      </c>
      <c r="C264" s="1">
        <f>Main_Data!C264</f>
        <v>2022</v>
      </c>
      <c r="D264" s="1">
        <f>Main_Data!D264</f>
        <v>56722</v>
      </c>
      <c r="E264" s="1">
        <f>Main_Data!E264</f>
        <v>7.2</v>
      </c>
      <c r="F264" s="1">
        <f>Main_Data!F264</f>
        <v>78</v>
      </c>
      <c r="G264" s="1">
        <f>Main_Data!G264</f>
        <v>595157673</v>
      </c>
      <c r="H264" s="1">
        <f>Main_Data!H264</f>
        <v>71</v>
      </c>
      <c r="I264" s="1">
        <f>Main_Data!I264</f>
        <v>5.9</v>
      </c>
      <c r="J264" s="1">
        <f>Main_Data!J264</f>
        <v>70</v>
      </c>
      <c r="K264" s="1">
        <f>Main_Data!K264</f>
        <v>33</v>
      </c>
      <c r="L264" s="1" t="str">
        <f>Main_Data!L264</f>
        <v>Europe</v>
      </c>
      <c r="M264" s="1" t="str">
        <f>PROPER(TRIM(Main_Data!A264))</f>
        <v>Germany</v>
      </c>
      <c r="N264" s="1" t="str">
        <f>PROPER(TRIM(Main_Data!B264))</f>
        <v>Europe</v>
      </c>
      <c r="O264" s="1" t="str" cm="1">
        <f t="array" ref="O264">_xlfn.IFS(F264&gt;=80,"Very High",F264&gt;=70,"High",F264&gt;=60,"Medium",TRUE,"Low")</f>
        <v>High</v>
      </c>
      <c r="P264" s="1" t="str" cm="1">
        <f t="array" ref="P264">_xlfn.IFS(D264&gt;=40000,"High Income",D264&gt;=15000,"Middle Income",TRUE,"Low Income")</f>
        <v>High Income</v>
      </c>
      <c r="Q264" s="1" t="str">
        <f t="shared" si="4"/>
        <v>Duplicate</v>
      </c>
    </row>
    <row r="265" spans="1:17" x14ac:dyDescent="0.25">
      <c r="A265" s="1" t="str">
        <f>Main_Data!A265</f>
        <v>Brazil</v>
      </c>
      <c r="B265" s="1" t="str">
        <f>Main_Data!B265</f>
        <v>South America</v>
      </c>
      <c r="C265" s="1">
        <f>Main_Data!C265</f>
        <v>2022</v>
      </c>
      <c r="D265" s="1">
        <f>Main_Data!D265</f>
        <v>13668</v>
      </c>
      <c r="E265" s="1">
        <f>Main_Data!E265</f>
        <v>7.1</v>
      </c>
      <c r="F265" s="1">
        <f>Main_Data!F265</f>
        <v>72</v>
      </c>
      <c r="G265" s="1">
        <f>Main_Data!G265</f>
        <v>805387120</v>
      </c>
      <c r="H265" s="1">
        <f>Main_Data!H265</f>
        <v>66</v>
      </c>
      <c r="I265" s="1">
        <f>Main_Data!I265</f>
        <v>19.2</v>
      </c>
      <c r="J265" s="1">
        <f>Main_Data!J265</f>
        <v>90</v>
      </c>
      <c r="K265" s="1">
        <f>Main_Data!K265</f>
        <v>38</v>
      </c>
      <c r="L265" s="1" t="str">
        <f>Main_Data!L265</f>
        <v>South America</v>
      </c>
      <c r="M265" s="1" t="str">
        <f>PROPER(TRIM(Main_Data!A265))</f>
        <v>Brazil</v>
      </c>
      <c r="N265" s="1" t="str">
        <f>PROPER(TRIM(Main_Data!B265))</f>
        <v>South America</v>
      </c>
      <c r="O265" s="1" t="str" cm="1">
        <f t="array" ref="O265">_xlfn.IFS(F265&gt;=80,"Very High",F265&gt;=70,"High",F265&gt;=60,"Medium",TRUE,"Low")</f>
        <v>High</v>
      </c>
      <c r="P265" s="1" t="str" cm="1">
        <f t="array" ref="P265">_xlfn.IFS(D265&gt;=40000,"High Income",D265&gt;=15000,"Middle Income",TRUE,"Low Income")</f>
        <v>Low Income</v>
      </c>
      <c r="Q265" s="1" t="str">
        <f t="shared" si="4"/>
        <v>Duplicate</v>
      </c>
    </row>
    <row r="266" spans="1:17" x14ac:dyDescent="0.25">
      <c r="A266" s="1" t="str">
        <f>Main_Data!A266</f>
        <v>China</v>
      </c>
      <c r="B266" s="1" t="str">
        <f>Main_Data!B266</f>
        <v>East Asia</v>
      </c>
      <c r="C266" s="1">
        <f>Main_Data!C266</f>
        <v>2020</v>
      </c>
      <c r="D266" s="1">
        <f>Main_Data!D266</f>
        <v>29396</v>
      </c>
      <c r="E266" s="1">
        <f>Main_Data!E266</f>
        <v>8.9</v>
      </c>
      <c r="F266" s="1">
        <f>Main_Data!F266</f>
        <v>82</v>
      </c>
      <c r="G266" s="1">
        <f>Main_Data!G266</f>
        <v>199492409</v>
      </c>
      <c r="H266" s="1">
        <f>Main_Data!H266</f>
        <v>82</v>
      </c>
      <c r="I266" s="1">
        <f>Main_Data!I266</f>
        <v>8.8000000000000007</v>
      </c>
      <c r="J266" s="1">
        <f>Main_Data!J266</f>
        <v>83</v>
      </c>
      <c r="K266" s="1">
        <f>Main_Data!K266</f>
        <v>58</v>
      </c>
      <c r="L266" s="1" t="str">
        <f>Main_Data!L266</f>
        <v>Asia</v>
      </c>
      <c r="M266" s="1" t="str">
        <f>PROPER(TRIM(Main_Data!A266))</f>
        <v>China</v>
      </c>
      <c r="N266" s="1" t="str">
        <f>PROPER(TRIM(Main_Data!B266))</f>
        <v>East Asia</v>
      </c>
      <c r="O266" s="1" t="str" cm="1">
        <f t="array" ref="O266">_xlfn.IFS(F266&gt;=80,"Very High",F266&gt;=70,"High",F266&gt;=60,"Medium",TRUE,"Low")</f>
        <v>Very High</v>
      </c>
      <c r="P266" s="1" t="str" cm="1">
        <f t="array" ref="P266">_xlfn.IFS(D266&gt;=40000,"High Income",D266&gt;=15000,"Middle Income",TRUE,"Low Income")</f>
        <v>Middle Income</v>
      </c>
      <c r="Q266" s="1" t="str">
        <f t="shared" si="4"/>
        <v>Duplicate</v>
      </c>
    </row>
    <row r="267" spans="1:17" x14ac:dyDescent="0.25">
      <c r="A267" s="1" t="str">
        <f>Main_Data!A267</f>
        <v>UK</v>
      </c>
      <c r="B267" s="1" t="str">
        <f>Main_Data!B267</f>
        <v>Europe</v>
      </c>
      <c r="C267" s="1">
        <f>Main_Data!C267</f>
        <v>2020</v>
      </c>
      <c r="D267" s="1">
        <f>Main_Data!D267</f>
        <v>26649</v>
      </c>
      <c r="E267" s="1">
        <f>Main_Data!E267</f>
        <v>14.5</v>
      </c>
      <c r="F267" s="1">
        <f>Main_Data!F267</f>
        <v>60</v>
      </c>
      <c r="G267" s="1">
        <f>Main_Data!G267</f>
        <v>1266988135</v>
      </c>
      <c r="H267" s="1">
        <f>Main_Data!H267</f>
        <v>59</v>
      </c>
      <c r="I267" s="1">
        <f>Main_Data!I267</f>
        <v>7.3</v>
      </c>
      <c r="J267" s="1">
        <f>Main_Data!J267</f>
        <v>95</v>
      </c>
      <c r="K267" s="1">
        <f>Main_Data!K267</f>
        <v>39</v>
      </c>
      <c r="L267" s="1" t="str">
        <f>Main_Data!L267</f>
        <v>Europe</v>
      </c>
      <c r="M267" s="1" t="str">
        <f>PROPER(TRIM(Main_Data!A267))</f>
        <v>Uk</v>
      </c>
      <c r="N267" s="1" t="str">
        <f>PROPER(TRIM(Main_Data!B267))</f>
        <v>Europe</v>
      </c>
      <c r="O267" s="1" t="str" cm="1">
        <f t="array" ref="O267">_xlfn.IFS(F267&gt;=80,"Very High",F267&gt;=70,"High",F267&gt;=60,"Medium",TRUE,"Low")</f>
        <v>Medium</v>
      </c>
      <c r="P267" s="1" t="str" cm="1">
        <f t="array" ref="P267">_xlfn.IFS(D267&gt;=40000,"High Income",D267&gt;=15000,"Middle Income",TRUE,"Low Income")</f>
        <v>Middle Income</v>
      </c>
      <c r="Q267" s="1" t="str">
        <f t="shared" si="4"/>
        <v>Duplicate</v>
      </c>
    </row>
    <row r="268" spans="1:17" x14ac:dyDescent="0.25">
      <c r="A268" s="1" t="str">
        <f>Main_Data!A268</f>
        <v>Canada</v>
      </c>
      <c r="B268" s="1" t="str">
        <f>Main_Data!B268</f>
        <v>North America</v>
      </c>
      <c r="C268" s="1">
        <f>Main_Data!C268</f>
        <v>2020</v>
      </c>
      <c r="D268" s="1">
        <f>Main_Data!D268</f>
        <v>53818</v>
      </c>
      <c r="E268" s="1">
        <f>Main_Data!E268</f>
        <v>7.6</v>
      </c>
      <c r="F268" s="1">
        <f>Main_Data!F268</f>
        <v>63</v>
      </c>
      <c r="G268" s="1">
        <f>Main_Data!G268</f>
        <v>898957493</v>
      </c>
      <c r="H268" s="1">
        <f>Main_Data!H268</f>
        <v>60</v>
      </c>
      <c r="I268" s="1">
        <f>Main_Data!I268</f>
        <v>15.4</v>
      </c>
      <c r="J268" s="1">
        <f>Main_Data!J268</f>
        <v>71</v>
      </c>
      <c r="K268" s="1">
        <f>Main_Data!K268</f>
        <v>76</v>
      </c>
      <c r="L268" s="1" t="str">
        <f>Main_Data!L268</f>
        <v>North America</v>
      </c>
      <c r="M268" s="1" t="str">
        <f>PROPER(TRIM(Main_Data!A268))</f>
        <v>Canada</v>
      </c>
      <c r="N268" s="1" t="str">
        <f>PROPER(TRIM(Main_Data!B268))</f>
        <v>North America</v>
      </c>
      <c r="O268" s="1" t="str" cm="1">
        <f t="array" ref="O268">_xlfn.IFS(F268&gt;=80,"Very High",F268&gt;=70,"High",F268&gt;=60,"Medium",TRUE,"Low")</f>
        <v>Medium</v>
      </c>
      <c r="P268" s="1" t="str" cm="1">
        <f t="array" ref="P268">_xlfn.IFS(D268&gt;=40000,"High Income",D268&gt;=15000,"Middle Income",TRUE,"Low Income")</f>
        <v>High Income</v>
      </c>
      <c r="Q268" s="1" t="str">
        <f t="shared" si="4"/>
        <v>Duplicate</v>
      </c>
    </row>
    <row r="269" spans="1:17" x14ac:dyDescent="0.25">
      <c r="A269" s="1" t="str">
        <f>Main_Data!A269</f>
        <v>Australia</v>
      </c>
      <c r="B269" s="1" t="str">
        <f>Main_Data!B269</f>
        <v>Oceania</v>
      </c>
      <c r="C269" s="1">
        <f>Main_Data!C269</f>
        <v>2022</v>
      </c>
      <c r="D269" s="1">
        <f>Main_Data!D269</f>
        <v>69415</v>
      </c>
      <c r="E269" s="1">
        <f>Main_Data!E269</f>
        <v>10.9</v>
      </c>
      <c r="F269" s="1">
        <f>Main_Data!F269</f>
        <v>74</v>
      </c>
      <c r="G269" s="1">
        <f>Main_Data!G269</f>
        <v>699390462</v>
      </c>
      <c r="H269" s="1">
        <f>Main_Data!H269</f>
        <v>74</v>
      </c>
      <c r="I269" s="1">
        <f>Main_Data!I269</f>
        <v>3.7</v>
      </c>
      <c r="J269" s="1">
        <f>Main_Data!J269</f>
        <v>94</v>
      </c>
      <c r="K269" s="1">
        <f>Main_Data!K269</f>
        <v>45</v>
      </c>
      <c r="L269" s="1" t="str">
        <f>Main_Data!L269</f>
        <v>Oceania</v>
      </c>
      <c r="M269" s="1" t="str">
        <f>PROPER(TRIM(Main_Data!A269))</f>
        <v>Australia</v>
      </c>
      <c r="N269" s="1" t="str">
        <f>PROPER(TRIM(Main_Data!B269))</f>
        <v>Oceania</v>
      </c>
      <c r="O269" s="1" t="str" cm="1">
        <f t="array" ref="O269">_xlfn.IFS(F269&gt;=80,"Very High",F269&gt;=70,"High",F269&gt;=60,"Medium",TRUE,"Low")</f>
        <v>High</v>
      </c>
      <c r="P269" s="1" t="str" cm="1">
        <f t="array" ref="P269">_xlfn.IFS(D269&gt;=40000,"High Income",D269&gt;=15000,"Middle Income",TRUE,"Low Income")</f>
        <v>High Income</v>
      </c>
      <c r="Q269" s="1" t="str">
        <f t="shared" si="4"/>
        <v>Duplicate</v>
      </c>
    </row>
    <row r="270" spans="1:17" x14ac:dyDescent="0.25">
      <c r="A270" s="1" t="str">
        <f>Main_Data!A270</f>
        <v>Japan</v>
      </c>
      <c r="B270" s="1" t="str">
        <f>Main_Data!B270</f>
        <v>East Asia</v>
      </c>
      <c r="C270" s="1">
        <f>Main_Data!C270</f>
        <v>2020</v>
      </c>
      <c r="D270" s="1">
        <f>Main_Data!D270</f>
        <v>65388</v>
      </c>
      <c r="E270" s="1">
        <f>Main_Data!E270</f>
        <v>15.3</v>
      </c>
      <c r="F270" s="1">
        <f>Main_Data!F270</f>
        <v>64</v>
      </c>
      <c r="G270" s="1">
        <f>Main_Data!G270</f>
        <v>571665392</v>
      </c>
      <c r="H270" s="1">
        <f>Main_Data!H270</f>
        <v>71</v>
      </c>
      <c r="I270" s="1">
        <f>Main_Data!I270</f>
        <v>24.9</v>
      </c>
      <c r="J270" s="1">
        <f>Main_Data!J270</f>
        <v>96</v>
      </c>
      <c r="K270" s="1">
        <f>Main_Data!K270</f>
        <v>38</v>
      </c>
      <c r="L270" s="1" t="str">
        <f>Main_Data!L270</f>
        <v>Asia</v>
      </c>
      <c r="M270" s="1" t="str">
        <f>PROPER(TRIM(Main_Data!A270))</f>
        <v>Japan</v>
      </c>
      <c r="N270" s="1" t="str">
        <f>PROPER(TRIM(Main_Data!B270))</f>
        <v>East Asia</v>
      </c>
      <c r="O270" s="1" t="str" cm="1">
        <f t="array" ref="O270">_xlfn.IFS(F270&gt;=80,"Very High",F270&gt;=70,"High",F270&gt;=60,"Medium",TRUE,"Low")</f>
        <v>Medium</v>
      </c>
      <c r="P270" s="1" t="str" cm="1">
        <f t="array" ref="P270">_xlfn.IFS(D270&gt;=40000,"High Income",D270&gt;=15000,"Middle Income",TRUE,"Low Income")</f>
        <v>High Income</v>
      </c>
      <c r="Q270" s="1" t="str">
        <f t="shared" si="4"/>
        <v>Duplicate</v>
      </c>
    </row>
    <row r="271" spans="1:17" x14ac:dyDescent="0.25">
      <c r="A271" s="1" t="str">
        <f>Main_Data!A271</f>
        <v>South Africa</v>
      </c>
      <c r="B271" s="1" t="str">
        <f>Main_Data!B271</f>
        <v>Africa</v>
      </c>
      <c r="C271" s="1">
        <f>Main_Data!C271</f>
        <v>2020</v>
      </c>
      <c r="D271" s="1">
        <f>Main_Data!D271</f>
        <v>24879</v>
      </c>
      <c r="E271" s="1">
        <f>Main_Data!E271</f>
        <v>4.0999999999999996</v>
      </c>
      <c r="F271" s="1">
        <f>Main_Data!F271</f>
        <v>74</v>
      </c>
      <c r="G271" s="1">
        <f>Main_Data!G271</f>
        <v>527359192</v>
      </c>
      <c r="H271" s="1">
        <f>Main_Data!H271</f>
        <v>72</v>
      </c>
      <c r="I271" s="1">
        <f>Main_Data!I271</f>
        <v>19.600000000000001</v>
      </c>
      <c r="J271" s="1">
        <f>Main_Data!J271</f>
        <v>87</v>
      </c>
      <c r="K271" s="1">
        <f>Main_Data!K271</f>
        <v>83</v>
      </c>
      <c r="L271" s="1" t="str">
        <f>Main_Data!L271</f>
        <v>Africa</v>
      </c>
      <c r="M271" s="1" t="str">
        <f>PROPER(TRIM(Main_Data!A271))</f>
        <v>South Africa</v>
      </c>
      <c r="N271" s="1" t="str">
        <f>PROPER(TRIM(Main_Data!B271))</f>
        <v>Africa</v>
      </c>
      <c r="O271" s="1" t="str" cm="1">
        <f t="array" ref="O271">_xlfn.IFS(F271&gt;=80,"Very High",F271&gt;=70,"High",F271&gt;=60,"Medium",TRUE,"Low")</f>
        <v>High</v>
      </c>
      <c r="P271" s="1" t="str" cm="1">
        <f t="array" ref="P271">_xlfn.IFS(D271&gt;=40000,"High Income",D271&gt;=15000,"Middle Income",TRUE,"Low Income")</f>
        <v>Middle Income</v>
      </c>
      <c r="Q271" s="1" t="str">
        <f t="shared" si="4"/>
        <v>Duplicate</v>
      </c>
    </row>
    <row r="272" spans="1:17" x14ac:dyDescent="0.25">
      <c r="A272" s="1" t="str">
        <f>Main_Data!A272</f>
        <v>India</v>
      </c>
      <c r="B272" s="1" t="str">
        <f>Main_Data!B272</f>
        <v>South Asia</v>
      </c>
      <c r="C272" s="1">
        <f>Main_Data!C272</f>
        <v>2020</v>
      </c>
      <c r="D272" s="1">
        <f>Main_Data!D272</f>
        <v>16565</v>
      </c>
      <c r="E272" s="1">
        <f>Main_Data!E272</f>
        <v>4.5</v>
      </c>
      <c r="F272" s="1">
        <f>Main_Data!F272</f>
        <v>80</v>
      </c>
      <c r="G272" s="1">
        <f>Main_Data!G272</f>
        <v>906211892</v>
      </c>
      <c r="H272" s="1">
        <f>Main_Data!H272</f>
        <v>66</v>
      </c>
      <c r="I272" s="1">
        <f>Main_Data!I272</f>
        <v>16.2</v>
      </c>
      <c r="J272" s="1">
        <f>Main_Data!J272</f>
        <v>98</v>
      </c>
      <c r="K272" s="1">
        <f>Main_Data!K272</f>
        <v>78</v>
      </c>
      <c r="L272" s="1" t="str">
        <f>Main_Data!L272</f>
        <v>Asia</v>
      </c>
      <c r="M272" s="1" t="str">
        <f>PROPER(TRIM(Main_Data!A272))</f>
        <v>India</v>
      </c>
      <c r="N272" s="1" t="str">
        <f>PROPER(TRIM(Main_Data!B272))</f>
        <v>South Asia</v>
      </c>
      <c r="O272" s="1" t="str" cm="1">
        <f t="array" ref="O272">_xlfn.IFS(F272&gt;=80,"Very High",F272&gt;=70,"High",F272&gt;=60,"Medium",TRUE,"Low")</f>
        <v>Very High</v>
      </c>
      <c r="P272" s="1" t="str" cm="1">
        <f t="array" ref="P272">_xlfn.IFS(D272&gt;=40000,"High Income",D272&gt;=15000,"Middle Income",TRUE,"Low Income")</f>
        <v>Middle Income</v>
      </c>
      <c r="Q272" s="1" t="str">
        <f t="shared" si="4"/>
        <v>Duplicate</v>
      </c>
    </row>
    <row r="273" spans="1:17" x14ac:dyDescent="0.25">
      <c r="A273" s="1" t="str">
        <f>Main_Data!A273</f>
        <v>USA</v>
      </c>
      <c r="B273" s="1" t="str">
        <f>Main_Data!B273</f>
        <v>North America</v>
      </c>
      <c r="C273" s="1">
        <f>Main_Data!C273</f>
        <v>2020</v>
      </c>
      <c r="D273" s="1">
        <f>Main_Data!D273</f>
        <v>31517</v>
      </c>
      <c r="E273" s="1">
        <f>Main_Data!E273</f>
        <v>6.3</v>
      </c>
      <c r="F273" s="1">
        <f>Main_Data!F273</f>
        <v>83</v>
      </c>
      <c r="G273" s="1">
        <f>Main_Data!G273</f>
        <v>699552144</v>
      </c>
      <c r="H273" s="1">
        <f>Main_Data!H273</f>
        <v>79</v>
      </c>
      <c r="I273" s="1">
        <f>Main_Data!I273</f>
        <v>11.4</v>
      </c>
      <c r="J273" s="1">
        <f>Main_Data!J273</f>
        <v>95</v>
      </c>
      <c r="K273" s="1">
        <f>Main_Data!K273</f>
        <v>85</v>
      </c>
      <c r="L273" s="1" t="str">
        <f>Main_Data!L273</f>
        <v>North America</v>
      </c>
      <c r="M273" s="1" t="str">
        <f>PROPER(TRIM(Main_Data!A273))</f>
        <v>Usa</v>
      </c>
      <c r="N273" s="1" t="str">
        <f>PROPER(TRIM(Main_Data!B273))</f>
        <v>North America</v>
      </c>
      <c r="O273" s="1" t="str" cm="1">
        <f t="array" ref="O273">_xlfn.IFS(F273&gt;=80,"Very High",F273&gt;=70,"High",F273&gt;=60,"Medium",TRUE,"Low")</f>
        <v>Very High</v>
      </c>
      <c r="P273" s="1" t="str" cm="1">
        <f t="array" ref="P273">_xlfn.IFS(D273&gt;=40000,"High Income",D273&gt;=15000,"Middle Income",TRUE,"Low Income")</f>
        <v>Middle Income</v>
      </c>
      <c r="Q273" s="1" t="str">
        <f t="shared" si="4"/>
        <v>Duplicate</v>
      </c>
    </row>
    <row r="274" spans="1:17" x14ac:dyDescent="0.25">
      <c r="A274" s="1" t="str">
        <f>Main_Data!A274</f>
        <v>Germany</v>
      </c>
      <c r="B274" s="1" t="str">
        <f>Main_Data!B274</f>
        <v>Europe</v>
      </c>
      <c r="C274" s="1">
        <f>Main_Data!C274</f>
        <v>2020</v>
      </c>
      <c r="D274" s="1">
        <f>Main_Data!D274</f>
        <v>19510</v>
      </c>
      <c r="E274" s="1">
        <f>Main_Data!E274</f>
        <v>4.2</v>
      </c>
      <c r="F274" s="1">
        <f>Main_Data!F274</f>
        <v>83</v>
      </c>
      <c r="G274" s="1">
        <f>Main_Data!G274</f>
        <v>706334425</v>
      </c>
      <c r="H274" s="1">
        <f>Main_Data!H274</f>
        <v>59</v>
      </c>
      <c r="I274" s="1">
        <f>Main_Data!I274</f>
        <v>9.1</v>
      </c>
      <c r="J274" s="1">
        <f>Main_Data!J274</f>
        <v>86</v>
      </c>
      <c r="K274" s="1">
        <f>Main_Data!K274</f>
        <v>41</v>
      </c>
      <c r="L274" s="1" t="str">
        <f>Main_Data!L274</f>
        <v>Europe</v>
      </c>
      <c r="M274" s="1" t="str">
        <f>PROPER(TRIM(Main_Data!A274))</f>
        <v>Germany</v>
      </c>
      <c r="N274" s="1" t="str">
        <f>PROPER(TRIM(Main_Data!B274))</f>
        <v>Europe</v>
      </c>
      <c r="O274" s="1" t="str" cm="1">
        <f t="array" ref="O274">_xlfn.IFS(F274&gt;=80,"Very High",F274&gt;=70,"High",F274&gt;=60,"Medium",TRUE,"Low")</f>
        <v>Very High</v>
      </c>
      <c r="P274" s="1" t="str" cm="1">
        <f t="array" ref="P274">_xlfn.IFS(D274&gt;=40000,"High Income",D274&gt;=15000,"Middle Income",TRUE,"Low Income")</f>
        <v>Middle Income</v>
      </c>
      <c r="Q274" s="1" t="str">
        <f t="shared" si="4"/>
        <v>Duplicate</v>
      </c>
    </row>
    <row r="275" spans="1:17" x14ac:dyDescent="0.25">
      <c r="A275" s="1" t="str">
        <f>Main_Data!A275</f>
        <v>Brazil</v>
      </c>
      <c r="B275" s="1" t="str">
        <f>Main_Data!B275</f>
        <v>South America</v>
      </c>
      <c r="C275" s="1">
        <f>Main_Data!C275</f>
        <v>2020</v>
      </c>
      <c r="D275" s="1">
        <f>Main_Data!D275</f>
        <v>36987</v>
      </c>
      <c r="E275" s="1">
        <f>Main_Data!E275</f>
        <v>6.1</v>
      </c>
      <c r="F275" s="1">
        <f>Main_Data!F275</f>
        <v>62</v>
      </c>
      <c r="G275" s="1">
        <f>Main_Data!G275</f>
        <v>341643496</v>
      </c>
      <c r="H275" s="1">
        <f>Main_Data!H275</f>
        <v>79</v>
      </c>
      <c r="I275" s="1">
        <f>Main_Data!I275</f>
        <v>15.5</v>
      </c>
      <c r="J275" s="1">
        <f>Main_Data!J275</f>
        <v>91</v>
      </c>
      <c r="K275" s="1">
        <f>Main_Data!K275</f>
        <v>64</v>
      </c>
      <c r="L275" s="1" t="str">
        <f>Main_Data!L275</f>
        <v>South America</v>
      </c>
      <c r="M275" s="1" t="str">
        <f>PROPER(TRIM(Main_Data!A275))</f>
        <v>Brazil</v>
      </c>
      <c r="N275" s="1" t="str">
        <f>PROPER(TRIM(Main_Data!B275))</f>
        <v>South America</v>
      </c>
      <c r="O275" s="1" t="str" cm="1">
        <f t="array" ref="O275">_xlfn.IFS(F275&gt;=80,"Very High",F275&gt;=70,"High",F275&gt;=60,"Medium",TRUE,"Low")</f>
        <v>Medium</v>
      </c>
      <c r="P275" s="1" t="str" cm="1">
        <f t="array" ref="P275">_xlfn.IFS(D275&gt;=40000,"High Income",D275&gt;=15000,"Middle Income",TRUE,"Low Income")</f>
        <v>Middle Income</v>
      </c>
      <c r="Q275" s="1" t="str">
        <f t="shared" si="4"/>
        <v>Duplicate</v>
      </c>
    </row>
    <row r="276" spans="1:17" x14ac:dyDescent="0.25">
      <c r="A276" s="1" t="str">
        <f>Main_Data!A276</f>
        <v>China</v>
      </c>
      <c r="B276" s="1" t="str">
        <f>Main_Data!B276</f>
        <v>East Asia</v>
      </c>
      <c r="C276" s="1">
        <f>Main_Data!C276</f>
        <v>2020</v>
      </c>
      <c r="D276" s="1">
        <f>Main_Data!D276</f>
        <v>3463</v>
      </c>
      <c r="E276" s="1">
        <f>Main_Data!E276</f>
        <v>13.1</v>
      </c>
      <c r="F276" s="1">
        <f>Main_Data!F276</f>
        <v>71</v>
      </c>
      <c r="G276" s="1">
        <f>Main_Data!G276</f>
        <v>961353170</v>
      </c>
      <c r="H276" s="1">
        <f>Main_Data!H276</f>
        <v>54</v>
      </c>
      <c r="I276" s="1">
        <f>Main_Data!I276</f>
        <v>19.2</v>
      </c>
      <c r="J276" s="1">
        <f>Main_Data!J276</f>
        <v>79</v>
      </c>
      <c r="K276" s="1">
        <f>Main_Data!K276</f>
        <v>53</v>
      </c>
      <c r="L276" s="1" t="str">
        <f>Main_Data!L276</f>
        <v>Asia</v>
      </c>
      <c r="M276" s="1" t="str">
        <f>PROPER(TRIM(Main_Data!A276))</f>
        <v>China</v>
      </c>
      <c r="N276" s="1" t="str">
        <f>PROPER(TRIM(Main_Data!B276))</f>
        <v>East Asia</v>
      </c>
      <c r="O276" s="1" t="str" cm="1">
        <f t="array" ref="O276">_xlfn.IFS(F276&gt;=80,"Very High",F276&gt;=70,"High",F276&gt;=60,"Medium",TRUE,"Low")</f>
        <v>High</v>
      </c>
      <c r="P276" s="1" t="str" cm="1">
        <f t="array" ref="P276">_xlfn.IFS(D276&gt;=40000,"High Income",D276&gt;=15000,"Middle Income",TRUE,"Low Income")</f>
        <v>Low Income</v>
      </c>
      <c r="Q276" s="1" t="str">
        <f t="shared" si="4"/>
        <v>Duplicate</v>
      </c>
    </row>
    <row r="277" spans="1:17" x14ac:dyDescent="0.25">
      <c r="A277" s="1" t="str">
        <f>Main_Data!A277</f>
        <v>UK</v>
      </c>
      <c r="B277" s="1" t="str">
        <f>Main_Data!B277</f>
        <v>Europe</v>
      </c>
      <c r="C277" s="1">
        <f>Main_Data!C277</f>
        <v>2020</v>
      </c>
      <c r="D277" s="1">
        <f>Main_Data!D277</f>
        <v>42051</v>
      </c>
      <c r="E277" s="1">
        <f>Main_Data!E277</f>
        <v>3.3</v>
      </c>
      <c r="F277" s="1">
        <f>Main_Data!F277</f>
        <v>71</v>
      </c>
      <c r="G277" s="1">
        <f>Main_Data!G277</f>
        <v>1292519312</v>
      </c>
      <c r="H277" s="1">
        <f>Main_Data!H277</f>
        <v>65</v>
      </c>
      <c r="I277" s="1">
        <f>Main_Data!I277</f>
        <v>13.2</v>
      </c>
      <c r="J277" s="1">
        <f>Main_Data!J277</f>
        <v>87</v>
      </c>
      <c r="K277" s="1">
        <f>Main_Data!K277</f>
        <v>63</v>
      </c>
      <c r="L277" s="1" t="str">
        <f>Main_Data!L277</f>
        <v>Europe</v>
      </c>
      <c r="M277" s="1" t="str">
        <f>PROPER(TRIM(Main_Data!A277))</f>
        <v>Uk</v>
      </c>
      <c r="N277" s="1" t="str">
        <f>PROPER(TRIM(Main_Data!B277))</f>
        <v>Europe</v>
      </c>
      <c r="O277" s="1" t="str" cm="1">
        <f t="array" ref="O277">_xlfn.IFS(F277&gt;=80,"Very High",F277&gt;=70,"High",F277&gt;=60,"Medium",TRUE,"Low")</f>
        <v>High</v>
      </c>
      <c r="P277" s="1" t="str" cm="1">
        <f t="array" ref="P277">_xlfn.IFS(D277&gt;=40000,"High Income",D277&gt;=15000,"Middle Income",TRUE,"Low Income")</f>
        <v>High Income</v>
      </c>
      <c r="Q277" s="1" t="str">
        <f t="shared" si="4"/>
        <v>Duplicate</v>
      </c>
    </row>
    <row r="278" spans="1:17" x14ac:dyDescent="0.25">
      <c r="A278" s="1" t="str">
        <f>Main_Data!A278</f>
        <v>Canada</v>
      </c>
      <c r="B278" s="1" t="str">
        <f>Main_Data!B278</f>
        <v>North America</v>
      </c>
      <c r="C278" s="1">
        <f>Main_Data!C278</f>
        <v>2021</v>
      </c>
      <c r="D278" s="1">
        <f>Main_Data!D278</f>
        <v>45233</v>
      </c>
      <c r="E278" s="1">
        <f>Main_Data!E278</f>
        <v>12.1</v>
      </c>
      <c r="F278" s="1">
        <f>Main_Data!F278</f>
        <v>82</v>
      </c>
      <c r="G278" s="1">
        <f>Main_Data!G278</f>
        <v>291838115</v>
      </c>
      <c r="H278" s="1">
        <f>Main_Data!H278</f>
        <v>55</v>
      </c>
      <c r="I278" s="1">
        <f>Main_Data!I278</f>
        <v>8.4</v>
      </c>
      <c r="J278" s="1">
        <f>Main_Data!J278</f>
        <v>82</v>
      </c>
      <c r="K278" s="1">
        <f>Main_Data!K278</f>
        <v>54</v>
      </c>
      <c r="L278" s="1" t="str">
        <f>Main_Data!L278</f>
        <v>North America</v>
      </c>
      <c r="M278" s="1" t="str">
        <f>PROPER(TRIM(Main_Data!A278))</f>
        <v>Canada</v>
      </c>
      <c r="N278" s="1" t="str">
        <f>PROPER(TRIM(Main_Data!B278))</f>
        <v>North America</v>
      </c>
      <c r="O278" s="1" t="str" cm="1">
        <f t="array" ref="O278">_xlfn.IFS(F278&gt;=80,"Very High",F278&gt;=70,"High",F278&gt;=60,"Medium",TRUE,"Low")</f>
        <v>Very High</v>
      </c>
      <c r="P278" s="1" t="str" cm="1">
        <f t="array" ref="P278">_xlfn.IFS(D278&gt;=40000,"High Income",D278&gt;=15000,"Middle Income",TRUE,"Low Income")</f>
        <v>High Income</v>
      </c>
      <c r="Q278" s="1" t="str">
        <f t="shared" si="4"/>
        <v>Duplicate</v>
      </c>
    </row>
    <row r="279" spans="1:17" x14ac:dyDescent="0.25">
      <c r="A279" s="1" t="str">
        <f>Main_Data!A279</f>
        <v>Australia</v>
      </c>
      <c r="B279" s="1" t="str">
        <f>Main_Data!B279</f>
        <v>Oceania</v>
      </c>
      <c r="C279" s="1">
        <f>Main_Data!C279</f>
        <v>2022</v>
      </c>
      <c r="D279" s="1">
        <f>Main_Data!D279</f>
        <v>40675</v>
      </c>
      <c r="E279" s="1">
        <f>Main_Data!E279</f>
        <v>14.8</v>
      </c>
      <c r="F279" s="1">
        <f>Main_Data!F279</f>
        <v>84</v>
      </c>
      <c r="G279" s="1">
        <f>Main_Data!G279</f>
        <v>1028631086</v>
      </c>
      <c r="H279" s="1">
        <f>Main_Data!H279</f>
        <v>58</v>
      </c>
      <c r="I279" s="1">
        <f>Main_Data!I279</f>
        <v>16.2</v>
      </c>
      <c r="J279" s="1">
        <f>Main_Data!J279</f>
        <v>90</v>
      </c>
      <c r="K279" s="1">
        <f>Main_Data!K279</f>
        <v>87</v>
      </c>
      <c r="L279" s="1" t="str">
        <f>Main_Data!L279</f>
        <v>Oceania</v>
      </c>
      <c r="M279" s="1" t="str">
        <f>PROPER(TRIM(Main_Data!A279))</f>
        <v>Australia</v>
      </c>
      <c r="N279" s="1" t="str">
        <f>PROPER(TRIM(Main_Data!B279))</f>
        <v>Oceania</v>
      </c>
      <c r="O279" s="1" t="str" cm="1">
        <f t="array" ref="O279">_xlfn.IFS(F279&gt;=80,"Very High",F279&gt;=70,"High",F279&gt;=60,"Medium",TRUE,"Low")</f>
        <v>Very High</v>
      </c>
      <c r="P279" s="1" t="str" cm="1">
        <f t="array" ref="P279">_xlfn.IFS(D279&gt;=40000,"High Income",D279&gt;=15000,"Middle Income",TRUE,"Low Income")</f>
        <v>High Income</v>
      </c>
      <c r="Q279" s="1" t="str">
        <f t="shared" si="4"/>
        <v>Duplicate</v>
      </c>
    </row>
    <row r="280" spans="1:17" x14ac:dyDescent="0.25">
      <c r="A280" s="1" t="str">
        <f>Main_Data!A280</f>
        <v>Japan</v>
      </c>
      <c r="B280" s="1" t="str">
        <f>Main_Data!B280</f>
        <v>East Asia</v>
      </c>
      <c r="C280" s="1">
        <f>Main_Data!C280</f>
        <v>2021</v>
      </c>
      <c r="D280" s="1">
        <f>Main_Data!D280</f>
        <v>60927</v>
      </c>
      <c r="E280" s="1">
        <f>Main_Data!E280</f>
        <v>10</v>
      </c>
      <c r="F280" s="1">
        <f>Main_Data!F280</f>
        <v>70</v>
      </c>
      <c r="G280" s="1">
        <f>Main_Data!G280</f>
        <v>427540401</v>
      </c>
      <c r="H280" s="1">
        <f>Main_Data!H280</f>
        <v>94</v>
      </c>
      <c r="I280" s="1">
        <f>Main_Data!I280</f>
        <v>21.3</v>
      </c>
      <c r="J280" s="1">
        <f>Main_Data!J280</f>
        <v>92</v>
      </c>
      <c r="K280" s="1">
        <f>Main_Data!K280</f>
        <v>34</v>
      </c>
      <c r="L280" s="1" t="str">
        <f>Main_Data!L280</f>
        <v>Asia</v>
      </c>
      <c r="M280" s="1" t="str">
        <f>PROPER(TRIM(Main_Data!A280))</f>
        <v>Japan</v>
      </c>
      <c r="N280" s="1" t="str">
        <f>PROPER(TRIM(Main_Data!B280))</f>
        <v>East Asia</v>
      </c>
      <c r="O280" s="1" t="str" cm="1">
        <f t="array" ref="O280">_xlfn.IFS(F280&gt;=80,"Very High",F280&gt;=70,"High",F280&gt;=60,"Medium",TRUE,"Low")</f>
        <v>High</v>
      </c>
      <c r="P280" s="1" t="str" cm="1">
        <f t="array" ref="P280">_xlfn.IFS(D280&gt;=40000,"High Income",D280&gt;=15000,"Middle Income",TRUE,"Low Income")</f>
        <v>High Income</v>
      </c>
      <c r="Q280" s="1" t="str">
        <f t="shared" si="4"/>
        <v>Duplicate</v>
      </c>
    </row>
    <row r="281" spans="1:17" x14ac:dyDescent="0.25">
      <c r="A281" s="1" t="str">
        <f>Main_Data!A281</f>
        <v>South Africa</v>
      </c>
      <c r="B281" s="1" t="str">
        <f>Main_Data!B281</f>
        <v>Africa</v>
      </c>
      <c r="C281" s="1">
        <f>Main_Data!C281</f>
        <v>2020</v>
      </c>
      <c r="D281" s="1">
        <f>Main_Data!D281</f>
        <v>66545</v>
      </c>
      <c r="E281" s="1">
        <f>Main_Data!E281</f>
        <v>13.8</v>
      </c>
      <c r="F281" s="1">
        <f>Main_Data!F281</f>
        <v>67</v>
      </c>
      <c r="G281" s="1">
        <f>Main_Data!G281</f>
        <v>589885790</v>
      </c>
      <c r="H281" s="1">
        <f>Main_Data!H281</f>
        <v>63</v>
      </c>
      <c r="I281" s="1">
        <f>Main_Data!I281</f>
        <v>3.6</v>
      </c>
      <c r="J281" s="1">
        <f>Main_Data!J281</f>
        <v>75</v>
      </c>
      <c r="K281" s="1">
        <f>Main_Data!K281</f>
        <v>89</v>
      </c>
      <c r="L281" s="1" t="str">
        <f>Main_Data!L281</f>
        <v>Africa</v>
      </c>
      <c r="M281" s="1" t="str">
        <f>PROPER(TRIM(Main_Data!A281))</f>
        <v>South Africa</v>
      </c>
      <c r="N281" s="1" t="str">
        <f>PROPER(TRIM(Main_Data!B281))</f>
        <v>Africa</v>
      </c>
      <c r="O281" s="1" t="str" cm="1">
        <f t="array" ref="O281">_xlfn.IFS(F281&gt;=80,"Very High",F281&gt;=70,"High",F281&gt;=60,"Medium",TRUE,"Low")</f>
        <v>Medium</v>
      </c>
      <c r="P281" s="1" t="str" cm="1">
        <f t="array" ref="P281">_xlfn.IFS(D281&gt;=40000,"High Income",D281&gt;=15000,"Middle Income",TRUE,"Low Income")</f>
        <v>High Income</v>
      </c>
      <c r="Q281" s="1" t="str">
        <f t="shared" si="4"/>
        <v>Duplicate</v>
      </c>
    </row>
    <row r="282" spans="1:17" x14ac:dyDescent="0.25">
      <c r="A282" s="1" t="str">
        <f>Main_Data!A282</f>
        <v>India</v>
      </c>
      <c r="B282" s="1" t="str">
        <f>Main_Data!B282</f>
        <v>South Asia</v>
      </c>
      <c r="C282" s="1">
        <f>Main_Data!C282</f>
        <v>2021</v>
      </c>
      <c r="D282" s="1">
        <f>Main_Data!D282</f>
        <v>7041</v>
      </c>
      <c r="E282" s="1">
        <f>Main_Data!E282</f>
        <v>15.2</v>
      </c>
      <c r="F282" s="1">
        <f>Main_Data!F282</f>
        <v>81</v>
      </c>
      <c r="G282" s="1">
        <f>Main_Data!G282</f>
        <v>399130520</v>
      </c>
      <c r="H282" s="1">
        <f>Main_Data!H282</f>
        <v>82</v>
      </c>
      <c r="I282" s="1">
        <f>Main_Data!I282</f>
        <v>22.5</v>
      </c>
      <c r="J282" s="1">
        <f>Main_Data!J282</f>
        <v>73</v>
      </c>
      <c r="K282" s="1">
        <f>Main_Data!K282</f>
        <v>43</v>
      </c>
      <c r="L282" s="1" t="str">
        <f>Main_Data!L282</f>
        <v>Asia</v>
      </c>
      <c r="M282" s="1" t="str">
        <f>PROPER(TRIM(Main_Data!A282))</f>
        <v>India</v>
      </c>
      <c r="N282" s="1" t="str">
        <f>PROPER(TRIM(Main_Data!B282))</f>
        <v>South Asia</v>
      </c>
      <c r="O282" s="1" t="str" cm="1">
        <f t="array" ref="O282">_xlfn.IFS(F282&gt;=80,"Very High",F282&gt;=70,"High",F282&gt;=60,"Medium",TRUE,"Low")</f>
        <v>Very High</v>
      </c>
      <c r="P282" s="1" t="str" cm="1">
        <f t="array" ref="P282">_xlfn.IFS(D282&gt;=40000,"High Income",D282&gt;=15000,"Middle Income",TRUE,"Low Income")</f>
        <v>Low Income</v>
      </c>
      <c r="Q282" s="1" t="str">
        <f t="shared" si="4"/>
        <v>Duplicate</v>
      </c>
    </row>
    <row r="283" spans="1:17" x14ac:dyDescent="0.25">
      <c r="A283" s="1" t="str">
        <f>Main_Data!A283</f>
        <v>USA</v>
      </c>
      <c r="B283" s="1" t="str">
        <f>Main_Data!B283</f>
        <v>North America</v>
      </c>
      <c r="C283" s="1">
        <f>Main_Data!C283</f>
        <v>2021</v>
      </c>
      <c r="D283" s="1">
        <f>Main_Data!D283</f>
        <v>5207</v>
      </c>
      <c r="E283" s="1">
        <f>Main_Data!E283</f>
        <v>6.6</v>
      </c>
      <c r="F283" s="1">
        <f>Main_Data!F283</f>
        <v>79</v>
      </c>
      <c r="G283" s="1">
        <f>Main_Data!G283</f>
        <v>283346459</v>
      </c>
      <c r="H283" s="1">
        <f>Main_Data!H283</f>
        <v>50</v>
      </c>
      <c r="I283" s="1">
        <f>Main_Data!I283</f>
        <v>24.2</v>
      </c>
      <c r="J283" s="1">
        <f>Main_Data!J283</f>
        <v>84</v>
      </c>
      <c r="K283" s="1">
        <f>Main_Data!K283</f>
        <v>68</v>
      </c>
      <c r="L283" s="1" t="str">
        <f>Main_Data!L283</f>
        <v>North America</v>
      </c>
      <c r="M283" s="1" t="str">
        <f>PROPER(TRIM(Main_Data!A283))</f>
        <v>Usa</v>
      </c>
      <c r="N283" s="1" t="str">
        <f>PROPER(TRIM(Main_Data!B283))</f>
        <v>North America</v>
      </c>
      <c r="O283" s="1" t="str" cm="1">
        <f t="array" ref="O283">_xlfn.IFS(F283&gt;=80,"Very High",F283&gt;=70,"High",F283&gt;=60,"Medium",TRUE,"Low")</f>
        <v>High</v>
      </c>
      <c r="P283" s="1" t="str" cm="1">
        <f t="array" ref="P283">_xlfn.IFS(D283&gt;=40000,"High Income",D283&gt;=15000,"Middle Income",TRUE,"Low Income")</f>
        <v>Low Income</v>
      </c>
      <c r="Q283" s="1" t="str">
        <f t="shared" si="4"/>
        <v>Duplicate</v>
      </c>
    </row>
    <row r="284" spans="1:17" x14ac:dyDescent="0.25">
      <c r="A284" s="1" t="str">
        <f>Main_Data!A284</f>
        <v>Germany</v>
      </c>
      <c r="B284" s="1" t="str">
        <f>Main_Data!B284</f>
        <v>Europe</v>
      </c>
      <c r="C284" s="1">
        <f>Main_Data!C284</f>
        <v>2022</v>
      </c>
      <c r="D284" s="1">
        <f>Main_Data!D284</f>
        <v>37347</v>
      </c>
      <c r="E284" s="1">
        <f>Main_Data!E284</f>
        <v>12.4</v>
      </c>
      <c r="F284" s="1">
        <f>Main_Data!F284</f>
        <v>60</v>
      </c>
      <c r="G284" s="1">
        <f>Main_Data!G284</f>
        <v>1277376759</v>
      </c>
      <c r="H284" s="1">
        <f>Main_Data!H284</f>
        <v>90</v>
      </c>
      <c r="I284" s="1">
        <f>Main_Data!I284</f>
        <v>23.9</v>
      </c>
      <c r="J284" s="1">
        <f>Main_Data!J284</f>
        <v>90</v>
      </c>
      <c r="K284" s="1">
        <f>Main_Data!K284</f>
        <v>90</v>
      </c>
      <c r="L284" s="1" t="str">
        <f>Main_Data!L284</f>
        <v>Europe</v>
      </c>
      <c r="M284" s="1" t="str">
        <f>PROPER(TRIM(Main_Data!A284))</f>
        <v>Germany</v>
      </c>
      <c r="N284" s="1" t="str">
        <f>PROPER(TRIM(Main_Data!B284))</f>
        <v>Europe</v>
      </c>
      <c r="O284" s="1" t="str" cm="1">
        <f t="array" ref="O284">_xlfn.IFS(F284&gt;=80,"Very High",F284&gt;=70,"High",F284&gt;=60,"Medium",TRUE,"Low")</f>
        <v>Medium</v>
      </c>
      <c r="P284" s="1" t="str" cm="1">
        <f t="array" ref="P284">_xlfn.IFS(D284&gt;=40000,"High Income",D284&gt;=15000,"Middle Income",TRUE,"Low Income")</f>
        <v>Middle Income</v>
      </c>
      <c r="Q284" s="1" t="str">
        <f t="shared" si="4"/>
        <v>Duplicate</v>
      </c>
    </row>
    <row r="285" spans="1:17" x14ac:dyDescent="0.25">
      <c r="A285" s="1" t="str">
        <f>Main_Data!A285</f>
        <v>Brazil</v>
      </c>
      <c r="B285" s="1" t="str">
        <f>Main_Data!B285</f>
        <v>South America</v>
      </c>
      <c r="C285" s="1">
        <f>Main_Data!C285</f>
        <v>2020</v>
      </c>
      <c r="D285" s="1">
        <f>Main_Data!D285</f>
        <v>17074</v>
      </c>
      <c r="E285" s="1">
        <f>Main_Data!E285</f>
        <v>3.6</v>
      </c>
      <c r="F285" s="1">
        <f>Main_Data!F285</f>
        <v>79</v>
      </c>
      <c r="G285" s="1">
        <f>Main_Data!G285</f>
        <v>1354307721</v>
      </c>
      <c r="H285" s="1">
        <f>Main_Data!H285</f>
        <v>51</v>
      </c>
      <c r="I285" s="1">
        <f>Main_Data!I285</f>
        <v>11.1</v>
      </c>
      <c r="J285" s="1">
        <f>Main_Data!J285</f>
        <v>84</v>
      </c>
      <c r="K285" s="1">
        <f>Main_Data!K285</f>
        <v>74</v>
      </c>
      <c r="L285" s="1" t="str">
        <f>Main_Data!L285</f>
        <v>South America</v>
      </c>
      <c r="M285" s="1" t="str">
        <f>PROPER(TRIM(Main_Data!A285))</f>
        <v>Brazil</v>
      </c>
      <c r="N285" s="1" t="str">
        <f>PROPER(TRIM(Main_Data!B285))</f>
        <v>South America</v>
      </c>
      <c r="O285" s="1" t="str" cm="1">
        <f t="array" ref="O285">_xlfn.IFS(F285&gt;=80,"Very High",F285&gt;=70,"High",F285&gt;=60,"Medium",TRUE,"Low")</f>
        <v>High</v>
      </c>
      <c r="P285" s="1" t="str" cm="1">
        <f t="array" ref="P285">_xlfn.IFS(D285&gt;=40000,"High Income",D285&gt;=15000,"Middle Income",TRUE,"Low Income")</f>
        <v>Middle Income</v>
      </c>
      <c r="Q285" s="1" t="str">
        <f t="shared" si="4"/>
        <v>Duplicate</v>
      </c>
    </row>
    <row r="286" spans="1:17" x14ac:dyDescent="0.25">
      <c r="A286" s="1" t="str">
        <f>Main_Data!A286</f>
        <v>China</v>
      </c>
      <c r="B286" s="1" t="str">
        <f>Main_Data!B286</f>
        <v>East Asia</v>
      </c>
      <c r="C286" s="1">
        <f>Main_Data!C286</f>
        <v>2022</v>
      </c>
      <c r="D286" s="1">
        <f>Main_Data!D286</f>
        <v>22458</v>
      </c>
      <c r="E286" s="1">
        <f>Main_Data!E286</f>
        <v>11.1</v>
      </c>
      <c r="F286" s="1">
        <f>Main_Data!F286</f>
        <v>76</v>
      </c>
      <c r="G286" s="1">
        <f>Main_Data!G286</f>
        <v>1468157032</v>
      </c>
      <c r="H286" s="1">
        <f>Main_Data!H286</f>
        <v>56</v>
      </c>
      <c r="I286" s="1">
        <f>Main_Data!I286</f>
        <v>24.5</v>
      </c>
      <c r="J286" s="1">
        <f>Main_Data!J286</f>
        <v>78</v>
      </c>
      <c r="K286" s="1">
        <f>Main_Data!K286</f>
        <v>44</v>
      </c>
      <c r="L286" s="1" t="str">
        <f>Main_Data!L286</f>
        <v>Asia</v>
      </c>
      <c r="M286" s="1" t="str">
        <f>PROPER(TRIM(Main_Data!A286))</f>
        <v>China</v>
      </c>
      <c r="N286" s="1" t="str">
        <f>PROPER(TRIM(Main_Data!B286))</f>
        <v>East Asia</v>
      </c>
      <c r="O286" s="1" t="str" cm="1">
        <f t="array" ref="O286">_xlfn.IFS(F286&gt;=80,"Very High",F286&gt;=70,"High",F286&gt;=60,"Medium",TRUE,"Low")</f>
        <v>High</v>
      </c>
      <c r="P286" s="1" t="str" cm="1">
        <f t="array" ref="P286">_xlfn.IFS(D286&gt;=40000,"High Income",D286&gt;=15000,"Middle Income",TRUE,"Low Income")</f>
        <v>Middle Income</v>
      </c>
      <c r="Q286" s="1" t="str">
        <f t="shared" si="4"/>
        <v>Duplicate</v>
      </c>
    </row>
    <row r="287" spans="1:17" x14ac:dyDescent="0.25">
      <c r="A287" s="1" t="str">
        <f>Main_Data!A287</f>
        <v>UK</v>
      </c>
      <c r="B287" s="1" t="str">
        <f>Main_Data!B287</f>
        <v>Europe</v>
      </c>
      <c r="C287" s="1">
        <f>Main_Data!C287</f>
        <v>2020</v>
      </c>
      <c r="D287" s="1">
        <f>Main_Data!D287</f>
        <v>22854</v>
      </c>
      <c r="E287" s="1">
        <f>Main_Data!E287</f>
        <v>11</v>
      </c>
      <c r="F287" s="1">
        <f>Main_Data!F287</f>
        <v>84</v>
      </c>
      <c r="G287" s="1">
        <f>Main_Data!G287</f>
        <v>1247965140</v>
      </c>
      <c r="H287" s="1">
        <f>Main_Data!H287</f>
        <v>84</v>
      </c>
      <c r="I287" s="1">
        <f>Main_Data!I287</f>
        <v>2.4</v>
      </c>
      <c r="J287" s="1">
        <f>Main_Data!J287</f>
        <v>70</v>
      </c>
      <c r="K287" s="1">
        <f>Main_Data!K287</f>
        <v>75</v>
      </c>
      <c r="L287" s="1" t="str">
        <f>Main_Data!L287</f>
        <v>Europe</v>
      </c>
      <c r="M287" s="1" t="str">
        <f>PROPER(TRIM(Main_Data!A287))</f>
        <v>Uk</v>
      </c>
      <c r="N287" s="1" t="str">
        <f>PROPER(TRIM(Main_Data!B287))</f>
        <v>Europe</v>
      </c>
      <c r="O287" s="1" t="str" cm="1">
        <f t="array" ref="O287">_xlfn.IFS(F287&gt;=80,"Very High",F287&gt;=70,"High",F287&gt;=60,"Medium",TRUE,"Low")</f>
        <v>Very High</v>
      </c>
      <c r="P287" s="1" t="str" cm="1">
        <f t="array" ref="P287">_xlfn.IFS(D287&gt;=40000,"High Income",D287&gt;=15000,"Middle Income",TRUE,"Low Income")</f>
        <v>Middle Income</v>
      </c>
      <c r="Q287" s="1" t="str">
        <f t="shared" si="4"/>
        <v>Duplicate</v>
      </c>
    </row>
    <row r="288" spans="1:17" x14ac:dyDescent="0.25">
      <c r="A288" s="1" t="str">
        <f>Main_Data!A288</f>
        <v>Canada</v>
      </c>
      <c r="B288" s="1" t="str">
        <f>Main_Data!B288</f>
        <v>North America</v>
      </c>
      <c r="C288" s="1">
        <f>Main_Data!C288</f>
        <v>2020</v>
      </c>
      <c r="D288" s="1">
        <f>Main_Data!D288</f>
        <v>28708</v>
      </c>
      <c r="E288" s="1">
        <f>Main_Data!E288</f>
        <v>4.0999999999999996</v>
      </c>
      <c r="F288" s="1">
        <f>Main_Data!F288</f>
        <v>78</v>
      </c>
      <c r="G288" s="1">
        <f>Main_Data!G288</f>
        <v>340827256</v>
      </c>
      <c r="H288" s="1">
        <f>Main_Data!H288</f>
        <v>77</v>
      </c>
      <c r="I288" s="1">
        <f>Main_Data!I288</f>
        <v>5.7</v>
      </c>
      <c r="J288" s="1">
        <f>Main_Data!J288</f>
        <v>97</v>
      </c>
      <c r="K288" s="1">
        <f>Main_Data!K288</f>
        <v>63</v>
      </c>
      <c r="L288" s="1" t="str">
        <f>Main_Data!L288</f>
        <v>North America</v>
      </c>
      <c r="M288" s="1" t="str">
        <f>PROPER(TRIM(Main_Data!A288))</f>
        <v>Canada</v>
      </c>
      <c r="N288" s="1" t="str">
        <f>PROPER(TRIM(Main_Data!B288))</f>
        <v>North America</v>
      </c>
      <c r="O288" s="1" t="str" cm="1">
        <f t="array" ref="O288">_xlfn.IFS(F288&gt;=80,"Very High",F288&gt;=70,"High",F288&gt;=60,"Medium",TRUE,"Low")</f>
        <v>High</v>
      </c>
      <c r="P288" s="1" t="str" cm="1">
        <f t="array" ref="P288">_xlfn.IFS(D288&gt;=40000,"High Income",D288&gt;=15000,"Middle Income",TRUE,"Low Income")</f>
        <v>Middle Income</v>
      </c>
      <c r="Q288" s="1" t="str">
        <f t="shared" si="4"/>
        <v>Duplicate</v>
      </c>
    </row>
    <row r="289" spans="1:17" x14ac:dyDescent="0.25">
      <c r="A289" s="1" t="str">
        <f>Main_Data!A289</f>
        <v>Australia</v>
      </c>
      <c r="B289" s="1" t="str">
        <f>Main_Data!B289</f>
        <v>Oceania</v>
      </c>
      <c r="C289" s="1">
        <f>Main_Data!C289</f>
        <v>2021</v>
      </c>
      <c r="D289" s="1">
        <f>Main_Data!D289</f>
        <v>59791</v>
      </c>
      <c r="E289" s="1">
        <f>Main_Data!E289</f>
        <v>16.100000000000001</v>
      </c>
      <c r="F289" s="1">
        <f>Main_Data!F289</f>
        <v>61</v>
      </c>
      <c r="G289" s="1">
        <f>Main_Data!G289</f>
        <v>638699977</v>
      </c>
      <c r="H289" s="1">
        <f>Main_Data!H289</f>
        <v>54</v>
      </c>
      <c r="I289" s="1">
        <f>Main_Data!I289</f>
        <v>16.399999999999999</v>
      </c>
      <c r="J289" s="1">
        <f>Main_Data!J289</f>
        <v>97</v>
      </c>
      <c r="K289" s="1">
        <f>Main_Data!K289</f>
        <v>44</v>
      </c>
      <c r="L289" s="1" t="str">
        <f>Main_Data!L289</f>
        <v>Oceania</v>
      </c>
      <c r="M289" s="1" t="str">
        <f>PROPER(TRIM(Main_Data!A289))</f>
        <v>Australia</v>
      </c>
      <c r="N289" s="1" t="str">
        <f>PROPER(TRIM(Main_Data!B289))</f>
        <v>Oceania</v>
      </c>
      <c r="O289" s="1" t="str" cm="1">
        <f t="array" ref="O289">_xlfn.IFS(F289&gt;=80,"Very High",F289&gt;=70,"High",F289&gt;=60,"Medium",TRUE,"Low")</f>
        <v>Medium</v>
      </c>
      <c r="P289" s="1" t="str" cm="1">
        <f t="array" ref="P289">_xlfn.IFS(D289&gt;=40000,"High Income",D289&gt;=15000,"Middle Income",TRUE,"Low Income")</f>
        <v>High Income</v>
      </c>
      <c r="Q289" s="1" t="str">
        <f t="shared" si="4"/>
        <v>Duplicate</v>
      </c>
    </row>
    <row r="290" spans="1:17" x14ac:dyDescent="0.25">
      <c r="A290" s="1" t="str">
        <f>Main_Data!A290</f>
        <v>Japan</v>
      </c>
      <c r="B290" s="1" t="str">
        <f>Main_Data!B290</f>
        <v>East Asia</v>
      </c>
      <c r="C290" s="1">
        <f>Main_Data!C290</f>
        <v>2021</v>
      </c>
      <c r="D290" s="1">
        <f>Main_Data!D290</f>
        <v>61868</v>
      </c>
      <c r="E290" s="1">
        <f>Main_Data!E290</f>
        <v>16.3</v>
      </c>
      <c r="F290" s="1">
        <f>Main_Data!F290</f>
        <v>69</v>
      </c>
      <c r="G290" s="1">
        <f>Main_Data!G290</f>
        <v>1360087715</v>
      </c>
      <c r="H290" s="1">
        <f>Main_Data!H290</f>
        <v>75</v>
      </c>
      <c r="I290" s="1">
        <f>Main_Data!I290</f>
        <v>17.2</v>
      </c>
      <c r="J290" s="1">
        <f>Main_Data!J290</f>
        <v>98</v>
      </c>
      <c r="K290" s="1">
        <f>Main_Data!K290</f>
        <v>74</v>
      </c>
      <c r="L290" s="1" t="str">
        <f>Main_Data!L290</f>
        <v>Asia</v>
      </c>
      <c r="M290" s="1" t="str">
        <f>PROPER(TRIM(Main_Data!A290))</f>
        <v>Japan</v>
      </c>
      <c r="N290" s="1" t="str">
        <f>PROPER(TRIM(Main_Data!B290))</f>
        <v>East Asia</v>
      </c>
      <c r="O290" s="1" t="str" cm="1">
        <f t="array" ref="O290">_xlfn.IFS(F290&gt;=80,"Very High",F290&gt;=70,"High",F290&gt;=60,"Medium",TRUE,"Low")</f>
        <v>Medium</v>
      </c>
      <c r="P290" s="1" t="str" cm="1">
        <f t="array" ref="P290">_xlfn.IFS(D290&gt;=40000,"High Income",D290&gt;=15000,"Middle Income",TRUE,"Low Income")</f>
        <v>High Income</v>
      </c>
      <c r="Q290" s="1" t="str">
        <f t="shared" si="4"/>
        <v>Duplicate</v>
      </c>
    </row>
    <row r="291" spans="1:17" x14ac:dyDescent="0.25">
      <c r="A291" s="1" t="str">
        <f>Main_Data!A291</f>
        <v>South Africa</v>
      </c>
      <c r="B291" s="1" t="str">
        <f>Main_Data!B291</f>
        <v>Africa</v>
      </c>
      <c r="C291" s="1">
        <f>Main_Data!C291</f>
        <v>2022</v>
      </c>
      <c r="D291" s="1">
        <f>Main_Data!D291</f>
        <v>57878</v>
      </c>
      <c r="E291" s="1">
        <f>Main_Data!E291</f>
        <v>7.5</v>
      </c>
      <c r="F291" s="1">
        <f>Main_Data!F291</f>
        <v>85</v>
      </c>
      <c r="G291" s="1">
        <f>Main_Data!G291</f>
        <v>786621987</v>
      </c>
      <c r="H291" s="1">
        <f>Main_Data!H291</f>
        <v>59</v>
      </c>
      <c r="I291" s="1">
        <f>Main_Data!I291</f>
        <v>13</v>
      </c>
      <c r="J291" s="1">
        <f>Main_Data!J291</f>
        <v>84</v>
      </c>
      <c r="K291" s="1">
        <f>Main_Data!K291</f>
        <v>65</v>
      </c>
      <c r="L291" s="1" t="str">
        <f>Main_Data!L291</f>
        <v>Africa</v>
      </c>
      <c r="M291" s="1" t="str">
        <f>PROPER(TRIM(Main_Data!A291))</f>
        <v>South Africa</v>
      </c>
      <c r="N291" s="1" t="str">
        <f>PROPER(TRIM(Main_Data!B291))</f>
        <v>Africa</v>
      </c>
      <c r="O291" s="1" t="str" cm="1">
        <f t="array" ref="O291">_xlfn.IFS(F291&gt;=80,"Very High",F291&gt;=70,"High",F291&gt;=60,"Medium",TRUE,"Low")</f>
        <v>Very High</v>
      </c>
      <c r="P291" s="1" t="str" cm="1">
        <f t="array" ref="P291">_xlfn.IFS(D291&gt;=40000,"High Income",D291&gt;=15000,"Middle Income",TRUE,"Low Income")</f>
        <v>High Income</v>
      </c>
      <c r="Q291" s="1" t="str">
        <f t="shared" si="4"/>
        <v>Duplicate</v>
      </c>
    </row>
    <row r="292" spans="1:17" x14ac:dyDescent="0.25">
      <c r="A292" s="1" t="str">
        <f>Main_Data!A292</f>
        <v>India</v>
      </c>
      <c r="B292" s="1" t="str">
        <f>Main_Data!B292</f>
        <v>South Asia</v>
      </c>
      <c r="C292" s="1">
        <f>Main_Data!C292</f>
        <v>2020</v>
      </c>
      <c r="D292" s="1">
        <f>Main_Data!D292</f>
        <v>2518</v>
      </c>
      <c r="E292" s="1">
        <f>Main_Data!E292</f>
        <v>10.8</v>
      </c>
      <c r="F292" s="1">
        <f>Main_Data!F292</f>
        <v>85</v>
      </c>
      <c r="G292" s="1">
        <f>Main_Data!G292</f>
        <v>496945704</v>
      </c>
      <c r="H292" s="1">
        <f>Main_Data!H292</f>
        <v>87</v>
      </c>
      <c r="I292" s="1">
        <f>Main_Data!I292</f>
        <v>9.5</v>
      </c>
      <c r="J292" s="1">
        <f>Main_Data!J292</f>
        <v>95</v>
      </c>
      <c r="K292" s="1">
        <f>Main_Data!K292</f>
        <v>87</v>
      </c>
      <c r="L292" s="1" t="str">
        <f>Main_Data!L292</f>
        <v>Asia</v>
      </c>
      <c r="M292" s="1" t="str">
        <f>PROPER(TRIM(Main_Data!A292))</f>
        <v>India</v>
      </c>
      <c r="N292" s="1" t="str">
        <f>PROPER(TRIM(Main_Data!B292))</f>
        <v>South Asia</v>
      </c>
      <c r="O292" s="1" t="str" cm="1">
        <f t="array" ref="O292">_xlfn.IFS(F292&gt;=80,"Very High",F292&gt;=70,"High",F292&gt;=60,"Medium",TRUE,"Low")</f>
        <v>Very High</v>
      </c>
      <c r="P292" s="1" t="str" cm="1">
        <f t="array" ref="P292">_xlfn.IFS(D292&gt;=40000,"High Income",D292&gt;=15000,"Middle Income",TRUE,"Low Income")</f>
        <v>Low Income</v>
      </c>
      <c r="Q292" s="1" t="str">
        <f t="shared" si="4"/>
        <v>Duplicate</v>
      </c>
    </row>
    <row r="293" spans="1:17" x14ac:dyDescent="0.25">
      <c r="A293" s="1" t="str">
        <f>Main_Data!A293</f>
        <v>USA</v>
      </c>
      <c r="B293" s="1" t="str">
        <f>Main_Data!B293</f>
        <v>North America</v>
      </c>
      <c r="C293" s="1">
        <f>Main_Data!C293</f>
        <v>2021</v>
      </c>
      <c r="D293" s="1">
        <f>Main_Data!D293</f>
        <v>22895</v>
      </c>
      <c r="E293" s="1">
        <f>Main_Data!E293</f>
        <v>7.8</v>
      </c>
      <c r="F293" s="1">
        <f>Main_Data!F293</f>
        <v>84</v>
      </c>
      <c r="G293" s="1">
        <f>Main_Data!G293</f>
        <v>142579345</v>
      </c>
      <c r="H293" s="1">
        <f>Main_Data!H293</f>
        <v>82</v>
      </c>
      <c r="I293" s="1">
        <f>Main_Data!I293</f>
        <v>13.5</v>
      </c>
      <c r="J293" s="1">
        <f>Main_Data!J293</f>
        <v>71</v>
      </c>
      <c r="K293" s="1">
        <f>Main_Data!K293</f>
        <v>85</v>
      </c>
      <c r="L293" s="1" t="str">
        <f>Main_Data!L293</f>
        <v>North America</v>
      </c>
      <c r="M293" s="1" t="str">
        <f>PROPER(TRIM(Main_Data!A293))</f>
        <v>Usa</v>
      </c>
      <c r="N293" s="1" t="str">
        <f>PROPER(TRIM(Main_Data!B293))</f>
        <v>North America</v>
      </c>
      <c r="O293" s="1" t="str" cm="1">
        <f t="array" ref="O293">_xlfn.IFS(F293&gt;=80,"Very High",F293&gt;=70,"High",F293&gt;=60,"Medium",TRUE,"Low")</f>
        <v>Very High</v>
      </c>
      <c r="P293" s="1" t="str" cm="1">
        <f t="array" ref="P293">_xlfn.IFS(D293&gt;=40000,"High Income",D293&gt;=15000,"Middle Income",TRUE,"Low Income")</f>
        <v>Middle Income</v>
      </c>
      <c r="Q293" s="1" t="str">
        <f t="shared" si="4"/>
        <v>Duplicate</v>
      </c>
    </row>
    <row r="294" spans="1:17" x14ac:dyDescent="0.25">
      <c r="A294" s="1" t="str">
        <f>Main_Data!A294</f>
        <v>Germany</v>
      </c>
      <c r="B294" s="1" t="str">
        <f>Main_Data!B294</f>
        <v>Europe</v>
      </c>
      <c r="C294" s="1">
        <f>Main_Data!C294</f>
        <v>2022</v>
      </c>
      <c r="D294" s="1">
        <f>Main_Data!D294</f>
        <v>9675</v>
      </c>
      <c r="E294" s="1">
        <f>Main_Data!E294</f>
        <v>5.8</v>
      </c>
      <c r="F294" s="1">
        <f>Main_Data!F294</f>
        <v>71</v>
      </c>
      <c r="G294" s="1">
        <f>Main_Data!G294</f>
        <v>428842037</v>
      </c>
      <c r="H294" s="1">
        <f>Main_Data!H294</f>
        <v>52</v>
      </c>
      <c r="I294" s="1">
        <f>Main_Data!I294</f>
        <v>6.5</v>
      </c>
      <c r="J294" s="1">
        <f>Main_Data!J294</f>
        <v>82</v>
      </c>
      <c r="K294" s="1">
        <f>Main_Data!K294</f>
        <v>38</v>
      </c>
      <c r="L294" s="1" t="str">
        <f>Main_Data!L294</f>
        <v>Europe</v>
      </c>
      <c r="M294" s="1" t="str">
        <f>PROPER(TRIM(Main_Data!A294))</f>
        <v>Germany</v>
      </c>
      <c r="N294" s="1" t="str">
        <f>PROPER(TRIM(Main_Data!B294))</f>
        <v>Europe</v>
      </c>
      <c r="O294" s="1" t="str" cm="1">
        <f t="array" ref="O294">_xlfn.IFS(F294&gt;=80,"Very High",F294&gt;=70,"High",F294&gt;=60,"Medium",TRUE,"Low")</f>
        <v>High</v>
      </c>
      <c r="P294" s="1" t="str" cm="1">
        <f t="array" ref="P294">_xlfn.IFS(D294&gt;=40000,"High Income",D294&gt;=15000,"Middle Income",TRUE,"Low Income")</f>
        <v>Low Income</v>
      </c>
      <c r="Q294" s="1" t="str">
        <f t="shared" si="4"/>
        <v>Duplicate</v>
      </c>
    </row>
    <row r="295" spans="1:17" x14ac:dyDescent="0.25">
      <c r="A295" s="1" t="str">
        <f>Main_Data!A295</f>
        <v>Brazil</v>
      </c>
      <c r="B295" s="1" t="str">
        <f>Main_Data!B295</f>
        <v>South America</v>
      </c>
      <c r="C295" s="1">
        <f>Main_Data!C295</f>
        <v>2022</v>
      </c>
      <c r="D295" s="1">
        <f>Main_Data!D295</f>
        <v>42941</v>
      </c>
      <c r="E295" s="1">
        <f>Main_Data!E295</f>
        <v>9.8000000000000007</v>
      </c>
      <c r="F295" s="1">
        <f>Main_Data!F295</f>
        <v>82</v>
      </c>
      <c r="G295" s="1">
        <f>Main_Data!G295</f>
        <v>1394902341</v>
      </c>
      <c r="H295" s="1">
        <f>Main_Data!H295</f>
        <v>86</v>
      </c>
      <c r="I295" s="1">
        <f>Main_Data!I295</f>
        <v>23.2</v>
      </c>
      <c r="J295" s="1">
        <f>Main_Data!J295</f>
        <v>99</v>
      </c>
      <c r="K295" s="1">
        <f>Main_Data!K295</f>
        <v>76</v>
      </c>
      <c r="L295" s="1" t="str">
        <f>Main_Data!L295</f>
        <v>South America</v>
      </c>
      <c r="M295" s="1" t="str">
        <f>PROPER(TRIM(Main_Data!A295))</f>
        <v>Brazil</v>
      </c>
      <c r="N295" s="1" t="str">
        <f>PROPER(TRIM(Main_Data!B295))</f>
        <v>South America</v>
      </c>
      <c r="O295" s="1" t="str" cm="1">
        <f t="array" ref="O295">_xlfn.IFS(F295&gt;=80,"Very High",F295&gt;=70,"High",F295&gt;=60,"Medium",TRUE,"Low")</f>
        <v>Very High</v>
      </c>
      <c r="P295" s="1" t="str" cm="1">
        <f t="array" ref="P295">_xlfn.IFS(D295&gt;=40000,"High Income",D295&gt;=15000,"Middle Income",TRUE,"Low Income")</f>
        <v>High Income</v>
      </c>
      <c r="Q295" s="1" t="str">
        <f t="shared" si="4"/>
        <v>Duplicate</v>
      </c>
    </row>
    <row r="296" spans="1:17" x14ac:dyDescent="0.25">
      <c r="A296" s="1" t="str">
        <f>Main_Data!A296</f>
        <v>China</v>
      </c>
      <c r="B296" s="1" t="str">
        <f>Main_Data!B296</f>
        <v>East Asia</v>
      </c>
      <c r="C296" s="1">
        <f>Main_Data!C296</f>
        <v>2020</v>
      </c>
      <c r="D296" s="1">
        <f>Main_Data!D296</f>
        <v>32996</v>
      </c>
      <c r="E296" s="1">
        <f>Main_Data!E296</f>
        <v>13.1</v>
      </c>
      <c r="F296" s="1">
        <f>Main_Data!F296</f>
        <v>62</v>
      </c>
      <c r="G296" s="1">
        <f>Main_Data!G296</f>
        <v>1300724914</v>
      </c>
      <c r="H296" s="1">
        <f>Main_Data!H296</f>
        <v>54</v>
      </c>
      <c r="I296" s="1">
        <f>Main_Data!I296</f>
        <v>19.3</v>
      </c>
      <c r="J296" s="1">
        <f>Main_Data!J296</f>
        <v>84</v>
      </c>
      <c r="K296" s="1">
        <f>Main_Data!K296</f>
        <v>63</v>
      </c>
      <c r="L296" s="1" t="str">
        <f>Main_Data!L296</f>
        <v>Asia</v>
      </c>
      <c r="M296" s="1" t="str">
        <f>PROPER(TRIM(Main_Data!A296))</f>
        <v>China</v>
      </c>
      <c r="N296" s="1" t="str">
        <f>PROPER(TRIM(Main_Data!B296))</f>
        <v>East Asia</v>
      </c>
      <c r="O296" s="1" t="str" cm="1">
        <f t="array" ref="O296">_xlfn.IFS(F296&gt;=80,"Very High",F296&gt;=70,"High",F296&gt;=60,"Medium",TRUE,"Low")</f>
        <v>Medium</v>
      </c>
      <c r="P296" s="1" t="str" cm="1">
        <f t="array" ref="P296">_xlfn.IFS(D296&gt;=40000,"High Income",D296&gt;=15000,"Middle Income",TRUE,"Low Income")</f>
        <v>Middle Income</v>
      </c>
      <c r="Q296" s="1" t="str">
        <f t="shared" si="4"/>
        <v>Duplicate</v>
      </c>
    </row>
    <row r="297" spans="1:17" x14ac:dyDescent="0.25">
      <c r="A297" s="1" t="str">
        <f>Main_Data!A297</f>
        <v>UK</v>
      </c>
      <c r="B297" s="1" t="str">
        <f>Main_Data!B297</f>
        <v>Europe</v>
      </c>
      <c r="C297" s="1">
        <f>Main_Data!C297</f>
        <v>2021</v>
      </c>
      <c r="D297" s="1">
        <f>Main_Data!D297</f>
        <v>62020</v>
      </c>
      <c r="E297" s="1">
        <f>Main_Data!E297</f>
        <v>8.1</v>
      </c>
      <c r="F297" s="1">
        <f>Main_Data!F297</f>
        <v>76</v>
      </c>
      <c r="G297" s="1">
        <f>Main_Data!G297</f>
        <v>644376168</v>
      </c>
      <c r="H297" s="1">
        <f>Main_Data!H297</f>
        <v>50</v>
      </c>
      <c r="I297" s="1">
        <f>Main_Data!I297</f>
        <v>3.4</v>
      </c>
      <c r="J297" s="1">
        <f>Main_Data!J297</f>
        <v>78</v>
      </c>
      <c r="K297" s="1">
        <f>Main_Data!K297</f>
        <v>60</v>
      </c>
      <c r="L297" s="1" t="str">
        <f>Main_Data!L297</f>
        <v>Europe</v>
      </c>
      <c r="M297" s="1" t="str">
        <f>PROPER(TRIM(Main_Data!A297))</f>
        <v>Uk</v>
      </c>
      <c r="N297" s="1" t="str">
        <f>PROPER(TRIM(Main_Data!B297))</f>
        <v>Europe</v>
      </c>
      <c r="O297" s="1" t="str" cm="1">
        <f t="array" ref="O297">_xlfn.IFS(F297&gt;=80,"Very High",F297&gt;=70,"High",F297&gt;=60,"Medium",TRUE,"Low")</f>
        <v>High</v>
      </c>
      <c r="P297" s="1" t="str" cm="1">
        <f t="array" ref="P297">_xlfn.IFS(D297&gt;=40000,"High Income",D297&gt;=15000,"Middle Income",TRUE,"Low Income")</f>
        <v>High Income</v>
      </c>
      <c r="Q297" s="1" t="str">
        <f t="shared" si="4"/>
        <v>Duplicate</v>
      </c>
    </row>
    <row r="298" spans="1:17" x14ac:dyDescent="0.25">
      <c r="A298" s="1" t="str">
        <f>Main_Data!A298</f>
        <v>Canada</v>
      </c>
      <c r="B298" s="1" t="str">
        <f>Main_Data!B298</f>
        <v>North America</v>
      </c>
      <c r="C298" s="1">
        <f>Main_Data!C298</f>
        <v>2020</v>
      </c>
      <c r="D298" s="1">
        <f>Main_Data!D298</f>
        <v>47826</v>
      </c>
      <c r="E298" s="1">
        <f>Main_Data!E298</f>
        <v>7.2</v>
      </c>
      <c r="F298" s="1">
        <f>Main_Data!F298</f>
        <v>83</v>
      </c>
      <c r="G298" s="1">
        <f>Main_Data!G298</f>
        <v>655753625</v>
      </c>
      <c r="H298" s="1">
        <f>Main_Data!H298</f>
        <v>58</v>
      </c>
      <c r="I298" s="1">
        <f>Main_Data!I298</f>
        <v>16.3</v>
      </c>
      <c r="J298" s="1">
        <f>Main_Data!J298</f>
        <v>71</v>
      </c>
      <c r="K298" s="1">
        <f>Main_Data!K298</f>
        <v>69</v>
      </c>
      <c r="L298" s="1" t="str">
        <f>Main_Data!L298</f>
        <v>North America</v>
      </c>
      <c r="M298" s="1" t="str">
        <f>PROPER(TRIM(Main_Data!A298))</f>
        <v>Canada</v>
      </c>
      <c r="N298" s="1" t="str">
        <f>PROPER(TRIM(Main_Data!B298))</f>
        <v>North America</v>
      </c>
      <c r="O298" s="1" t="str" cm="1">
        <f t="array" ref="O298">_xlfn.IFS(F298&gt;=80,"Very High",F298&gt;=70,"High",F298&gt;=60,"Medium",TRUE,"Low")</f>
        <v>Very High</v>
      </c>
      <c r="P298" s="1" t="str" cm="1">
        <f t="array" ref="P298">_xlfn.IFS(D298&gt;=40000,"High Income",D298&gt;=15000,"Middle Income",TRUE,"Low Income")</f>
        <v>High Income</v>
      </c>
      <c r="Q298" s="1" t="str">
        <f t="shared" si="4"/>
        <v>Duplicate</v>
      </c>
    </row>
    <row r="299" spans="1:17" x14ac:dyDescent="0.25">
      <c r="A299" s="1" t="str">
        <f>Main_Data!A299</f>
        <v>Australia</v>
      </c>
      <c r="B299" s="1" t="str">
        <f>Main_Data!B299</f>
        <v>Oceania</v>
      </c>
      <c r="C299" s="1">
        <f>Main_Data!C299</f>
        <v>2021</v>
      </c>
      <c r="D299" s="1">
        <f>Main_Data!D299</f>
        <v>27935</v>
      </c>
      <c r="E299" s="1">
        <f>Main_Data!E299</f>
        <v>6.1</v>
      </c>
      <c r="F299" s="1">
        <f>Main_Data!F299</f>
        <v>66</v>
      </c>
      <c r="G299" s="1">
        <f>Main_Data!G299</f>
        <v>54981057</v>
      </c>
      <c r="H299" s="1">
        <f>Main_Data!H299</f>
        <v>90</v>
      </c>
      <c r="I299" s="1">
        <f>Main_Data!I299</f>
        <v>22.5</v>
      </c>
      <c r="J299" s="1">
        <f>Main_Data!J299</f>
        <v>72</v>
      </c>
      <c r="K299" s="1">
        <f>Main_Data!K299</f>
        <v>45</v>
      </c>
      <c r="L299" s="1" t="str">
        <f>Main_Data!L299</f>
        <v>Oceania</v>
      </c>
      <c r="M299" s="1" t="str">
        <f>PROPER(TRIM(Main_Data!A299))</f>
        <v>Australia</v>
      </c>
      <c r="N299" s="1" t="str">
        <f>PROPER(TRIM(Main_Data!B299))</f>
        <v>Oceania</v>
      </c>
      <c r="O299" s="1" t="str" cm="1">
        <f t="array" ref="O299">_xlfn.IFS(F299&gt;=80,"Very High",F299&gt;=70,"High",F299&gt;=60,"Medium",TRUE,"Low")</f>
        <v>Medium</v>
      </c>
      <c r="P299" s="1" t="str" cm="1">
        <f t="array" ref="P299">_xlfn.IFS(D299&gt;=40000,"High Income",D299&gt;=15000,"Middle Income",TRUE,"Low Income")</f>
        <v>Middle Income</v>
      </c>
      <c r="Q299" s="1" t="str">
        <f t="shared" si="4"/>
        <v>Duplicate</v>
      </c>
    </row>
    <row r="300" spans="1:17" x14ac:dyDescent="0.25">
      <c r="A300" s="1" t="str">
        <f>Main_Data!A300</f>
        <v>Japan</v>
      </c>
      <c r="B300" s="1" t="str">
        <f>Main_Data!B300</f>
        <v>East Asia</v>
      </c>
      <c r="C300" s="1">
        <f>Main_Data!C300</f>
        <v>2022</v>
      </c>
      <c r="D300" s="1">
        <f>Main_Data!D300</f>
        <v>55247</v>
      </c>
      <c r="E300" s="1">
        <f>Main_Data!E300</f>
        <v>4.5999999999999996</v>
      </c>
      <c r="F300" s="1">
        <f>Main_Data!F300</f>
        <v>66</v>
      </c>
      <c r="G300" s="1">
        <f>Main_Data!G300</f>
        <v>715165571</v>
      </c>
      <c r="H300" s="1">
        <f>Main_Data!H300</f>
        <v>93</v>
      </c>
      <c r="I300" s="1">
        <f>Main_Data!I300</f>
        <v>16.3</v>
      </c>
      <c r="J300" s="1">
        <f>Main_Data!J300</f>
        <v>86</v>
      </c>
      <c r="K300" s="1">
        <f>Main_Data!K300</f>
        <v>73</v>
      </c>
      <c r="L300" s="1" t="str">
        <f>Main_Data!L300</f>
        <v>Asia</v>
      </c>
      <c r="M300" s="1" t="str">
        <f>PROPER(TRIM(Main_Data!A300))</f>
        <v>Japan</v>
      </c>
      <c r="N300" s="1" t="str">
        <f>PROPER(TRIM(Main_Data!B300))</f>
        <v>East Asia</v>
      </c>
      <c r="O300" s="1" t="str" cm="1">
        <f t="array" ref="O300">_xlfn.IFS(F300&gt;=80,"Very High",F300&gt;=70,"High",F300&gt;=60,"Medium",TRUE,"Low")</f>
        <v>Medium</v>
      </c>
      <c r="P300" s="1" t="str" cm="1">
        <f t="array" ref="P300">_xlfn.IFS(D300&gt;=40000,"High Income",D300&gt;=15000,"Middle Income",TRUE,"Low Income")</f>
        <v>High Income</v>
      </c>
      <c r="Q300" s="1" t="str">
        <f t="shared" si="4"/>
        <v>Duplicate</v>
      </c>
    </row>
    <row r="301" spans="1:17" x14ac:dyDescent="0.25">
      <c r="A301" s="1" t="str">
        <f>Main_Data!A301</f>
        <v>South Africa</v>
      </c>
      <c r="B301" s="1" t="str">
        <f>Main_Data!B301</f>
        <v>Africa</v>
      </c>
      <c r="C301" s="1">
        <f>Main_Data!C301</f>
        <v>2022</v>
      </c>
      <c r="D301" s="1">
        <f>Main_Data!D301</f>
        <v>31685</v>
      </c>
      <c r="E301" s="1">
        <f>Main_Data!E301</f>
        <v>12.4</v>
      </c>
      <c r="F301" s="1">
        <f>Main_Data!F301</f>
        <v>65</v>
      </c>
      <c r="G301" s="1">
        <f>Main_Data!G301</f>
        <v>824090686</v>
      </c>
      <c r="H301" s="1">
        <f>Main_Data!H301</f>
        <v>67</v>
      </c>
      <c r="I301" s="1">
        <f>Main_Data!I301</f>
        <v>10.3</v>
      </c>
      <c r="J301" s="1">
        <f>Main_Data!J301</f>
        <v>91</v>
      </c>
      <c r="K301" s="1">
        <f>Main_Data!K301</f>
        <v>82</v>
      </c>
      <c r="L301" s="1" t="str">
        <f>Main_Data!L301</f>
        <v>Africa</v>
      </c>
      <c r="M301" s="1" t="str">
        <f>PROPER(TRIM(Main_Data!A301))</f>
        <v>South Africa</v>
      </c>
      <c r="N301" s="1" t="str">
        <f>PROPER(TRIM(Main_Data!B301))</f>
        <v>Africa</v>
      </c>
      <c r="O301" s="1" t="str" cm="1">
        <f t="array" ref="O301">_xlfn.IFS(F301&gt;=80,"Very High",F301&gt;=70,"High",F301&gt;=60,"Medium",TRUE,"Low")</f>
        <v>Medium</v>
      </c>
      <c r="P301" s="1" t="str" cm="1">
        <f t="array" ref="P301">_xlfn.IFS(D301&gt;=40000,"High Income",D301&gt;=15000,"Middle Income",TRUE,"Low Income")</f>
        <v>Middle Income</v>
      </c>
      <c r="Q301" s="1" t="str">
        <f t="shared" si="4"/>
        <v>Duplicate</v>
      </c>
    </row>
    <row r="302" spans="1:17" x14ac:dyDescent="0.25">
      <c r="A302" s="1" t="str">
        <f>Main_Data!A302</f>
        <v>India</v>
      </c>
      <c r="B302" s="1" t="str">
        <f>Main_Data!B302</f>
        <v>South Asia</v>
      </c>
      <c r="C302" s="1">
        <f>Main_Data!C302</f>
        <v>2022</v>
      </c>
      <c r="D302" s="1">
        <f>Main_Data!D302</f>
        <v>69200</v>
      </c>
      <c r="E302" s="1">
        <f>Main_Data!E302</f>
        <v>4.5</v>
      </c>
      <c r="F302" s="1">
        <f>Main_Data!F302</f>
        <v>65</v>
      </c>
      <c r="G302" s="1">
        <f>Main_Data!G302</f>
        <v>546847975</v>
      </c>
      <c r="H302" s="1">
        <f>Main_Data!H302</f>
        <v>50</v>
      </c>
      <c r="I302" s="1">
        <f>Main_Data!I302</f>
        <v>15.7</v>
      </c>
      <c r="J302" s="1">
        <f>Main_Data!J302</f>
        <v>81</v>
      </c>
      <c r="K302" s="1">
        <f>Main_Data!K302</f>
        <v>52</v>
      </c>
      <c r="L302" s="1" t="str">
        <f>Main_Data!L302</f>
        <v>Asia</v>
      </c>
      <c r="M302" s="1" t="str">
        <f>PROPER(TRIM(Main_Data!A302))</f>
        <v>India</v>
      </c>
      <c r="N302" s="1" t="str">
        <f>PROPER(TRIM(Main_Data!B302))</f>
        <v>South Asia</v>
      </c>
      <c r="O302" s="1" t="str" cm="1">
        <f t="array" ref="O302">_xlfn.IFS(F302&gt;=80,"Very High",F302&gt;=70,"High",F302&gt;=60,"Medium",TRUE,"Low")</f>
        <v>Medium</v>
      </c>
      <c r="P302" s="1" t="str" cm="1">
        <f t="array" ref="P302">_xlfn.IFS(D302&gt;=40000,"High Income",D302&gt;=15000,"Middle Income",TRUE,"Low Income")</f>
        <v>High Income</v>
      </c>
      <c r="Q302" s="1" t="str">
        <f t="shared" si="4"/>
        <v>Duplicate</v>
      </c>
    </row>
    <row r="303" spans="1:17" x14ac:dyDescent="0.25">
      <c r="A303" s="1" t="str">
        <f>Main_Data!A303</f>
        <v>USA</v>
      </c>
      <c r="B303" s="1" t="str">
        <f>Main_Data!B303</f>
        <v>North America</v>
      </c>
      <c r="C303" s="1">
        <f>Main_Data!C303</f>
        <v>2021</v>
      </c>
      <c r="D303" s="1">
        <f>Main_Data!D303</f>
        <v>31189</v>
      </c>
      <c r="E303" s="1">
        <f>Main_Data!E303</f>
        <v>4.5999999999999996</v>
      </c>
      <c r="F303" s="1">
        <f>Main_Data!F303</f>
        <v>66</v>
      </c>
      <c r="G303" s="1">
        <f>Main_Data!G303</f>
        <v>777729750</v>
      </c>
      <c r="H303" s="1">
        <f>Main_Data!H303</f>
        <v>54</v>
      </c>
      <c r="I303" s="1">
        <f>Main_Data!I303</f>
        <v>5.8</v>
      </c>
      <c r="J303" s="1">
        <f>Main_Data!J303</f>
        <v>79</v>
      </c>
      <c r="K303" s="1">
        <f>Main_Data!K303</f>
        <v>79</v>
      </c>
      <c r="L303" s="1" t="str">
        <f>Main_Data!L303</f>
        <v>North America</v>
      </c>
      <c r="M303" s="1" t="str">
        <f>PROPER(TRIM(Main_Data!A303))</f>
        <v>Usa</v>
      </c>
      <c r="N303" s="1" t="str">
        <f>PROPER(TRIM(Main_Data!B303))</f>
        <v>North America</v>
      </c>
      <c r="O303" s="1" t="str" cm="1">
        <f t="array" ref="O303">_xlfn.IFS(F303&gt;=80,"Very High",F303&gt;=70,"High",F303&gt;=60,"Medium",TRUE,"Low")</f>
        <v>Medium</v>
      </c>
      <c r="P303" s="1" t="str" cm="1">
        <f t="array" ref="P303">_xlfn.IFS(D303&gt;=40000,"High Income",D303&gt;=15000,"Middle Income",TRUE,"Low Income")</f>
        <v>Middle Income</v>
      </c>
      <c r="Q303" s="1" t="str">
        <f t="shared" si="4"/>
        <v>Duplicate</v>
      </c>
    </row>
    <row r="304" spans="1:17" x14ac:dyDescent="0.25">
      <c r="A304" s="1" t="str">
        <f>Main_Data!A304</f>
        <v>Germany</v>
      </c>
      <c r="B304" s="1" t="str">
        <f>Main_Data!B304</f>
        <v>Europe</v>
      </c>
      <c r="C304" s="1">
        <f>Main_Data!C304</f>
        <v>2021</v>
      </c>
      <c r="D304" s="1">
        <f>Main_Data!D304</f>
        <v>9830</v>
      </c>
      <c r="E304" s="1">
        <f>Main_Data!E304</f>
        <v>10</v>
      </c>
      <c r="F304" s="1">
        <f>Main_Data!F304</f>
        <v>79</v>
      </c>
      <c r="G304" s="1">
        <f>Main_Data!G304</f>
        <v>184122617</v>
      </c>
      <c r="H304" s="1">
        <f>Main_Data!H304</f>
        <v>76</v>
      </c>
      <c r="I304" s="1">
        <f>Main_Data!I304</f>
        <v>7.1</v>
      </c>
      <c r="J304" s="1">
        <f>Main_Data!J304</f>
        <v>95</v>
      </c>
      <c r="K304" s="1">
        <f>Main_Data!K304</f>
        <v>50</v>
      </c>
      <c r="L304" s="1" t="str">
        <f>Main_Data!L304</f>
        <v>Europe</v>
      </c>
      <c r="M304" s="1" t="str">
        <f>PROPER(TRIM(Main_Data!A304))</f>
        <v>Germany</v>
      </c>
      <c r="N304" s="1" t="str">
        <f>PROPER(TRIM(Main_Data!B304))</f>
        <v>Europe</v>
      </c>
      <c r="O304" s="1" t="str" cm="1">
        <f t="array" ref="O304">_xlfn.IFS(F304&gt;=80,"Very High",F304&gt;=70,"High",F304&gt;=60,"Medium",TRUE,"Low")</f>
        <v>High</v>
      </c>
      <c r="P304" s="1" t="str" cm="1">
        <f t="array" ref="P304">_xlfn.IFS(D304&gt;=40000,"High Income",D304&gt;=15000,"Middle Income",TRUE,"Low Income")</f>
        <v>Low Income</v>
      </c>
      <c r="Q304" s="1" t="str">
        <f t="shared" si="4"/>
        <v>Duplicate</v>
      </c>
    </row>
    <row r="305" spans="1:17" x14ac:dyDescent="0.25">
      <c r="A305" s="1" t="str">
        <f>Main_Data!A305</f>
        <v>Brazil</v>
      </c>
      <c r="B305" s="1" t="str">
        <f>Main_Data!B305</f>
        <v>South America</v>
      </c>
      <c r="C305" s="1">
        <f>Main_Data!C305</f>
        <v>2021</v>
      </c>
      <c r="D305" s="1">
        <f>Main_Data!D305</f>
        <v>6895</v>
      </c>
      <c r="E305" s="1">
        <f>Main_Data!E305</f>
        <v>12.4</v>
      </c>
      <c r="F305" s="1">
        <f>Main_Data!F305</f>
        <v>67</v>
      </c>
      <c r="G305" s="1">
        <f>Main_Data!G305</f>
        <v>1087676656</v>
      </c>
      <c r="H305" s="1">
        <f>Main_Data!H305</f>
        <v>78</v>
      </c>
      <c r="I305" s="1">
        <f>Main_Data!I305</f>
        <v>24.2</v>
      </c>
      <c r="J305" s="1">
        <f>Main_Data!J305</f>
        <v>96</v>
      </c>
      <c r="K305" s="1">
        <f>Main_Data!K305</f>
        <v>61</v>
      </c>
      <c r="L305" s="1" t="str">
        <f>Main_Data!L305</f>
        <v>South America</v>
      </c>
      <c r="M305" s="1" t="str">
        <f>PROPER(TRIM(Main_Data!A305))</f>
        <v>Brazil</v>
      </c>
      <c r="N305" s="1" t="str">
        <f>PROPER(TRIM(Main_Data!B305))</f>
        <v>South America</v>
      </c>
      <c r="O305" s="1" t="str" cm="1">
        <f t="array" ref="O305">_xlfn.IFS(F305&gt;=80,"Very High",F305&gt;=70,"High",F305&gt;=60,"Medium",TRUE,"Low")</f>
        <v>Medium</v>
      </c>
      <c r="P305" s="1" t="str" cm="1">
        <f t="array" ref="P305">_xlfn.IFS(D305&gt;=40000,"High Income",D305&gt;=15000,"Middle Income",TRUE,"Low Income")</f>
        <v>Low Income</v>
      </c>
      <c r="Q305" s="1" t="str">
        <f t="shared" si="4"/>
        <v>Duplicate</v>
      </c>
    </row>
    <row r="306" spans="1:17" x14ac:dyDescent="0.25">
      <c r="A306" s="1" t="str">
        <f>Main_Data!A306</f>
        <v>China</v>
      </c>
      <c r="B306" s="1" t="str">
        <f>Main_Data!B306</f>
        <v>East Asia</v>
      </c>
      <c r="C306" s="1">
        <f>Main_Data!C306</f>
        <v>2021</v>
      </c>
      <c r="D306" s="1">
        <f>Main_Data!D306</f>
        <v>19042</v>
      </c>
      <c r="E306" s="1">
        <f>Main_Data!E306</f>
        <v>4.2</v>
      </c>
      <c r="F306" s="1">
        <f>Main_Data!F306</f>
        <v>65</v>
      </c>
      <c r="G306" s="1">
        <f>Main_Data!G306</f>
        <v>567396274</v>
      </c>
      <c r="H306" s="1">
        <f>Main_Data!H306</f>
        <v>61</v>
      </c>
      <c r="I306" s="1">
        <f>Main_Data!I306</f>
        <v>23.7</v>
      </c>
      <c r="J306" s="1">
        <f>Main_Data!J306</f>
        <v>81</v>
      </c>
      <c r="K306" s="1">
        <f>Main_Data!K306</f>
        <v>35</v>
      </c>
      <c r="L306" s="1" t="str">
        <f>Main_Data!L306</f>
        <v>Asia</v>
      </c>
      <c r="M306" s="1" t="str">
        <f>PROPER(TRIM(Main_Data!A306))</f>
        <v>China</v>
      </c>
      <c r="N306" s="1" t="str">
        <f>PROPER(TRIM(Main_Data!B306))</f>
        <v>East Asia</v>
      </c>
      <c r="O306" s="1" t="str" cm="1">
        <f t="array" ref="O306">_xlfn.IFS(F306&gt;=80,"Very High",F306&gt;=70,"High",F306&gt;=60,"Medium",TRUE,"Low")</f>
        <v>Medium</v>
      </c>
      <c r="P306" s="1" t="str" cm="1">
        <f t="array" ref="P306">_xlfn.IFS(D306&gt;=40000,"High Income",D306&gt;=15000,"Middle Income",TRUE,"Low Income")</f>
        <v>Middle Income</v>
      </c>
      <c r="Q306" s="1" t="str">
        <f t="shared" si="4"/>
        <v>Duplicate</v>
      </c>
    </row>
    <row r="307" spans="1:17" x14ac:dyDescent="0.25">
      <c r="A307" s="1" t="str">
        <f>Main_Data!A307</f>
        <v>UK</v>
      </c>
      <c r="B307" s="1" t="str">
        <f>Main_Data!B307</f>
        <v>Europe</v>
      </c>
      <c r="C307" s="1">
        <f>Main_Data!C307</f>
        <v>2020</v>
      </c>
      <c r="D307" s="1">
        <f>Main_Data!D307</f>
        <v>4479</v>
      </c>
      <c r="E307" s="1">
        <f>Main_Data!E307</f>
        <v>12.2</v>
      </c>
      <c r="F307" s="1">
        <f>Main_Data!F307</f>
        <v>74</v>
      </c>
      <c r="G307" s="1">
        <f>Main_Data!G307</f>
        <v>1352400045</v>
      </c>
      <c r="H307" s="1">
        <f>Main_Data!H307</f>
        <v>51</v>
      </c>
      <c r="I307" s="1">
        <f>Main_Data!I307</f>
        <v>23.1</v>
      </c>
      <c r="J307" s="1">
        <f>Main_Data!J307</f>
        <v>76</v>
      </c>
      <c r="K307" s="1">
        <f>Main_Data!K307</f>
        <v>69</v>
      </c>
      <c r="L307" s="1" t="str">
        <f>Main_Data!L307</f>
        <v>Europe</v>
      </c>
      <c r="M307" s="1" t="str">
        <f>PROPER(TRIM(Main_Data!A307))</f>
        <v>Uk</v>
      </c>
      <c r="N307" s="1" t="str">
        <f>PROPER(TRIM(Main_Data!B307))</f>
        <v>Europe</v>
      </c>
      <c r="O307" s="1" t="str" cm="1">
        <f t="array" ref="O307">_xlfn.IFS(F307&gt;=80,"Very High",F307&gt;=70,"High",F307&gt;=60,"Medium",TRUE,"Low")</f>
        <v>High</v>
      </c>
      <c r="P307" s="1" t="str" cm="1">
        <f t="array" ref="P307">_xlfn.IFS(D307&gt;=40000,"High Income",D307&gt;=15000,"Middle Income",TRUE,"Low Income")</f>
        <v>Low Income</v>
      </c>
      <c r="Q307" s="1" t="str">
        <f t="shared" si="4"/>
        <v>Duplicate</v>
      </c>
    </row>
    <row r="308" spans="1:17" x14ac:dyDescent="0.25">
      <c r="A308" s="1" t="str">
        <f>Main_Data!A308</f>
        <v>Canada</v>
      </c>
      <c r="B308" s="1" t="str">
        <f>Main_Data!B308</f>
        <v>North America</v>
      </c>
      <c r="C308" s="1">
        <f>Main_Data!C308</f>
        <v>2021</v>
      </c>
      <c r="D308" s="1">
        <f>Main_Data!D308</f>
        <v>38455</v>
      </c>
      <c r="E308" s="1">
        <f>Main_Data!E308</f>
        <v>15.1</v>
      </c>
      <c r="F308" s="1">
        <f>Main_Data!F308</f>
        <v>65</v>
      </c>
      <c r="G308" s="1">
        <f>Main_Data!G308</f>
        <v>1010075292</v>
      </c>
      <c r="H308" s="1">
        <f>Main_Data!H308</f>
        <v>94</v>
      </c>
      <c r="I308" s="1">
        <f>Main_Data!I308</f>
        <v>5.5</v>
      </c>
      <c r="J308" s="1">
        <f>Main_Data!J308</f>
        <v>79</v>
      </c>
      <c r="K308" s="1">
        <f>Main_Data!K308</f>
        <v>58</v>
      </c>
      <c r="L308" s="1" t="str">
        <f>Main_Data!L308</f>
        <v>North America</v>
      </c>
      <c r="M308" s="1" t="str">
        <f>PROPER(TRIM(Main_Data!A308))</f>
        <v>Canada</v>
      </c>
      <c r="N308" s="1" t="str">
        <f>PROPER(TRIM(Main_Data!B308))</f>
        <v>North America</v>
      </c>
      <c r="O308" s="1" t="str" cm="1">
        <f t="array" ref="O308">_xlfn.IFS(F308&gt;=80,"Very High",F308&gt;=70,"High",F308&gt;=60,"Medium",TRUE,"Low")</f>
        <v>Medium</v>
      </c>
      <c r="P308" s="1" t="str" cm="1">
        <f t="array" ref="P308">_xlfn.IFS(D308&gt;=40000,"High Income",D308&gt;=15000,"Middle Income",TRUE,"Low Income")</f>
        <v>Middle Income</v>
      </c>
      <c r="Q308" s="1" t="str">
        <f t="shared" si="4"/>
        <v>Duplicate</v>
      </c>
    </row>
    <row r="309" spans="1:17" x14ac:dyDescent="0.25">
      <c r="A309" s="1" t="str">
        <f>Main_Data!A309</f>
        <v>Australia</v>
      </c>
      <c r="B309" s="1" t="str">
        <f>Main_Data!B309</f>
        <v>Oceania</v>
      </c>
      <c r="C309" s="1">
        <f>Main_Data!C309</f>
        <v>2022</v>
      </c>
      <c r="D309" s="1">
        <f>Main_Data!D309</f>
        <v>31443</v>
      </c>
      <c r="E309" s="1">
        <f>Main_Data!E309</f>
        <v>11.5</v>
      </c>
      <c r="F309" s="1">
        <f>Main_Data!F309</f>
        <v>62</v>
      </c>
      <c r="G309" s="1">
        <f>Main_Data!G309</f>
        <v>953750645</v>
      </c>
      <c r="H309" s="1">
        <f>Main_Data!H309</f>
        <v>64</v>
      </c>
      <c r="I309" s="1">
        <f>Main_Data!I309</f>
        <v>9.1999999999999993</v>
      </c>
      <c r="J309" s="1">
        <f>Main_Data!J309</f>
        <v>95</v>
      </c>
      <c r="K309" s="1">
        <f>Main_Data!K309</f>
        <v>37</v>
      </c>
      <c r="L309" s="1" t="str">
        <f>Main_Data!L309</f>
        <v>Oceania</v>
      </c>
      <c r="M309" s="1" t="str">
        <f>PROPER(TRIM(Main_Data!A309))</f>
        <v>Australia</v>
      </c>
      <c r="N309" s="1" t="str">
        <f>PROPER(TRIM(Main_Data!B309))</f>
        <v>Oceania</v>
      </c>
      <c r="O309" s="1" t="str" cm="1">
        <f t="array" ref="O309">_xlfn.IFS(F309&gt;=80,"Very High",F309&gt;=70,"High",F309&gt;=60,"Medium",TRUE,"Low")</f>
        <v>Medium</v>
      </c>
      <c r="P309" s="1" t="str" cm="1">
        <f t="array" ref="P309">_xlfn.IFS(D309&gt;=40000,"High Income",D309&gt;=15000,"Middle Income",TRUE,"Low Income")</f>
        <v>Middle Income</v>
      </c>
      <c r="Q309" s="1" t="str">
        <f t="shared" si="4"/>
        <v>Duplicate</v>
      </c>
    </row>
    <row r="310" spans="1:17" x14ac:dyDescent="0.25">
      <c r="A310" s="1" t="str">
        <f>Main_Data!A310</f>
        <v>Japan</v>
      </c>
      <c r="B310" s="1" t="str">
        <f>Main_Data!B310</f>
        <v>East Asia</v>
      </c>
      <c r="C310" s="1">
        <f>Main_Data!C310</f>
        <v>2020</v>
      </c>
      <c r="D310" s="1">
        <f>Main_Data!D310</f>
        <v>40599</v>
      </c>
      <c r="E310" s="1">
        <f>Main_Data!E310</f>
        <v>12.8</v>
      </c>
      <c r="F310" s="1">
        <f>Main_Data!F310</f>
        <v>68</v>
      </c>
      <c r="G310" s="1">
        <f>Main_Data!G310</f>
        <v>388891570</v>
      </c>
      <c r="H310" s="1">
        <f>Main_Data!H310</f>
        <v>92</v>
      </c>
      <c r="I310" s="1">
        <f>Main_Data!I310</f>
        <v>24.3</v>
      </c>
      <c r="J310" s="1">
        <f>Main_Data!J310</f>
        <v>92</v>
      </c>
      <c r="K310" s="1">
        <f>Main_Data!K310</f>
        <v>82</v>
      </c>
      <c r="L310" s="1" t="str">
        <f>Main_Data!L310</f>
        <v>Asia</v>
      </c>
      <c r="M310" s="1" t="str">
        <f>PROPER(TRIM(Main_Data!A310))</f>
        <v>Japan</v>
      </c>
      <c r="N310" s="1" t="str">
        <f>PROPER(TRIM(Main_Data!B310))</f>
        <v>East Asia</v>
      </c>
      <c r="O310" s="1" t="str" cm="1">
        <f t="array" ref="O310">_xlfn.IFS(F310&gt;=80,"Very High",F310&gt;=70,"High",F310&gt;=60,"Medium",TRUE,"Low")</f>
        <v>Medium</v>
      </c>
      <c r="P310" s="1" t="str" cm="1">
        <f t="array" ref="P310">_xlfn.IFS(D310&gt;=40000,"High Income",D310&gt;=15000,"Middle Income",TRUE,"Low Income")</f>
        <v>High Income</v>
      </c>
      <c r="Q310" s="1" t="str">
        <f t="shared" si="4"/>
        <v>Duplicate</v>
      </c>
    </row>
    <row r="311" spans="1:17" x14ac:dyDescent="0.25">
      <c r="A311" s="1" t="str">
        <f>Main_Data!A311</f>
        <v>South Africa</v>
      </c>
      <c r="B311" s="1" t="str">
        <f>Main_Data!B311</f>
        <v>Africa</v>
      </c>
      <c r="C311" s="1">
        <f>Main_Data!C311</f>
        <v>2021</v>
      </c>
      <c r="D311" s="1">
        <f>Main_Data!D311</f>
        <v>30884</v>
      </c>
      <c r="E311" s="1">
        <f>Main_Data!E311</f>
        <v>7.2</v>
      </c>
      <c r="F311" s="1">
        <f>Main_Data!F311</f>
        <v>71</v>
      </c>
      <c r="G311" s="1">
        <f>Main_Data!G311</f>
        <v>838739934</v>
      </c>
      <c r="H311" s="1">
        <f>Main_Data!H311</f>
        <v>70</v>
      </c>
      <c r="I311" s="1">
        <f>Main_Data!I311</f>
        <v>12.4</v>
      </c>
      <c r="J311" s="1">
        <f>Main_Data!J311</f>
        <v>89</v>
      </c>
      <c r="K311" s="1">
        <f>Main_Data!K311</f>
        <v>42</v>
      </c>
      <c r="L311" s="1" t="str">
        <f>Main_Data!L311</f>
        <v>Africa</v>
      </c>
      <c r="M311" s="1" t="str">
        <f>PROPER(TRIM(Main_Data!A311))</f>
        <v>South Africa</v>
      </c>
      <c r="N311" s="1" t="str">
        <f>PROPER(TRIM(Main_Data!B311))</f>
        <v>Africa</v>
      </c>
      <c r="O311" s="1" t="str" cm="1">
        <f t="array" ref="O311">_xlfn.IFS(F311&gt;=80,"Very High",F311&gt;=70,"High",F311&gt;=60,"Medium",TRUE,"Low")</f>
        <v>High</v>
      </c>
      <c r="P311" s="1" t="str" cm="1">
        <f t="array" ref="P311">_xlfn.IFS(D311&gt;=40000,"High Income",D311&gt;=15000,"Middle Income",TRUE,"Low Income")</f>
        <v>Middle Income</v>
      </c>
      <c r="Q311" s="1" t="str">
        <f t="shared" si="4"/>
        <v>Duplicate</v>
      </c>
    </row>
    <row r="312" spans="1:17" x14ac:dyDescent="0.25">
      <c r="A312" s="1" t="str">
        <f>Main_Data!A312</f>
        <v>India</v>
      </c>
      <c r="B312" s="1" t="str">
        <f>Main_Data!B312</f>
        <v>South Asia</v>
      </c>
      <c r="C312" s="1">
        <f>Main_Data!C312</f>
        <v>2021</v>
      </c>
      <c r="D312" s="1">
        <f>Main_Data!D312</f>
        <v>8088</v>
      </c>
      <c r="E312" s="1">
        <f>Main_Data!E312</f>
        <v>10.5</v>
      </c>
      <c r="F312" s="1">
        <f>Main_Data!F312</f>
        <v>62</v>
      </c>
      <c r="G312" s="1">
        <f>Main_Data!G312</f>
        <v>1438981351</v>
      </c>
      <c r="H312" s="1">
        <f>Main_Data!H312</f>
        <v>93</v>
      </c>
      <c r="I312" s="1">
        <f>Main_Data!I312</f>
        <v>3.3</v>
      </c>
      <c r="J312" s="1">
        <f>Main_Data!J312</f>
        <v>74</v>
      </c>
      <c r="K312" s="1">
        <f>Main_Data!K312</f>
        <v>78</v>
      </c>
      <c r="L312" s="1" t="str">
        <f>Main_Data!L312</f>
        <v>Asia</v>
      </c>
      <c r="M312" s="1" t="str">
        <f>PROPER(TRIM(Main_Data!A312))</f>
        <v>India</v>
      </c>
      <c r="N312" s="1" t="str">
        <f>PROPER(TRIM(Main_Data!B312))</f>
        <v>South Asia</v>
      </c>
      <c r="O312" s="1" t="str" cm="1">
        <f t="array" ref="O312">_xlfn.IFS(F312&gt;=80,"Very High",F312&gt;=70,"High",F312&gt;=60,"Medium",TRUE,"Low")</f>
        <v>Medium</v>
      </c>
      <c r="P312" s="1" t="str" cm="1">
        <f t="array" ref="P312">_xlfn.IFS(D312&gt;=40000,"High Income",D312&gt;=15000,"Middle Income",TRUE,"Low Income")</f>
        <v>Low Income</v>
      </c>
      <c r="Q312" s="1" t="str">
        <f t="shared" si="4"/>
        <v>Duplicate</v>
      </c>
    </row>
    <row r="313" spans="1:17" x14ac:dyDescent="0.25">
      <c r="A313" s="1" t="str">
        <f>Main_Data!A313</f>
        <v>USA</v>
      </c>
      <c r="B313" s="1" t="str">
        <f>Main_Data!B313</f>
        <v>North America</v>
      </c>
      <c r="C313" s="1">
        <f>Main_Data!C313</f>
        <v>2020</v>
      </c>
      <c r="D313" s="1">
        <f>Main_Data!D313</f>
        <v>52254</v>
      </c>
      <c r="E313" s="1">
        <f>Main_Data!E313</f>
        <v>14.7</v>
      </c>
      <c r="F313" s="1">
        <f>Main_Data!F313</f>
        <v>71</v>
      </c>
      <c r="G313" s="1">
        <f>Main_Data!G313</f>
        <v>536167628</v>
      </c>
      <c r="H313" s="1">
        <f>Main_Data!H313</f>
        <v>51</v>
      </c>
      <c r="I313" s="1">
        <f>Main_Data!I313</f>
        <v>7.5</v>
      </c>
      <c r="J313" s="1">
        <f>Main_Data!J313</f>
        <v>98</v>
      </c>
      <c r="K313" s="1">
        <f>Main_Data!K313</f>
        <v>55</v>
      </c>
      <c r="L313" s="1" t="str">
        <f>Main_Data!L313</f>
        <v>North America</v>
      </c>
      <c r="M313" s="1" t="str">
        <f>PROPER(TRIM(Main_Data!A313))</f>
        <v>Usa</v>
      </c>
      <c r="N313" s="1" t="str">
        <f>PROPER(TRIM(Main_Data!B313))</f>
        <v>North America</v>
      </c>
      <c r="O313" s="1" t="str" cm="1">
        <f t="array" ref="O313">_xlfn.IFS(F313&gt;=80,"Very High",F313&gt;=70,"High",F313&gt;=60,"Medium",TRUE,"Low")</f>
        <v>High</v>
      </c>
      <c r="P313" s="1" t="str" cm="1">
        <f t="array" ref="P313">_xlfn.IFS(D313&gt;=40000,"High Income",D313&gt;=15000,"Middle Income",TRUE,"Low Income")</f>
        <v>High Income</v>
      </c>
      <c r="Q313" s="1" t="str">
        <f t="shared" si="4"/>
        <v>Duplicate</v>
      </c>
    </row>
    <row r="314" spans="1:17" x14ac:dyDescent="0.25">
      <c r="A314" s="1" t="str">
        <f>Main_Data!A314</f>
        <v>Germany</v>
      </c>
      <c r="B314" s="1" t="str">
        <f>Main_Data!B314</f>
        <v>Europe</v>
      </c>
      <c r="C314" s="1">
        <f>Main_Data!C314</f>
        <v>2020</v>
      </c>
      <c r="D314" s="1">
        <f>Main_Data!D314</f>
        <v>25129</v>
      </c>
      <c r="E314" s="1">
        <f>Main_Data!E314</f>
        <v>9.5</v>
      </c>
      <c r="F314" s="1">
        <f>Main_Data!F314</f>
        <v>69</v>
      </c>
      <c r="G314" s="1">
        <f>Main_Data!G314</f>
        <v>1244586459</v>
      </c>
      <c r="H314" s="1">
        <f>Main_Data!H314</f>
        <v>58</v>
      </c>
      <c r="I314" s="1">
        <f>Main_Data!I314</f>
        <v>21.2</v>
      </c>
      <c r="J314" s="1">
        <f>Main_Data!J314</f>
        <v>96</v>
      </c>
      <c r="K314" s="1">
        <f>Main_Data!K314</f>
        <v>59</v>
      </c>
      <c r="L314" s="1" t="str">
        <f>Main_Data!L314</f>
        <v>Europe</v>
      </c>
      <c r="M314" s="1" t="str">
        <f>PROPER(TRIM(Main_Data!A314))</f>
        <v>Germany</v>
      </c>
      <c r="N314" s="1" t="str">
        <f>PROPER(TRIM(Main_Data!B314))</f>
        <v>Europe</v>
      </c>
      <c r="O314" s="1" t="str" cm="1">
        <f t="array" ref="O314">_xlfn.IFS(F314&gt;=80,"Very High",F314&gt;=70,"High",F314&gt;=60,"Medium",TRUE,"Low")</f>
        <v>Medium</v>
      </c>
      <c r="P314" s="1" t="str" cm="1">
        <f t="array" ref="P314">_xlfn.IFS(D314&gt;=40000,"High Income",D314&gt;=15000,"Middle Income",TRUE,"Low Income")</f>
        <v>Middle Income</v>
      </c>
      <c r="Q314" s="1" t="str">
        <f t="shared" si="4"/>
        <v>Duplicate</v>
      </c>
    </row>
    <row r="315" spans="1:17" x14ac:dyDescent="0.25">
      <c r="A315" s="1" t="str">
        <f>Main_Data!A315</f>
        <v>Brazil</v>
      </c>
      <c r="B315" s="1" t="str">
        <f>Main_Data!B315</f>
        <v>South America</v>
      </c>
      <c r="C315" s="1">
        <f>Main_Data!C315</f>
        <v>2021</v>
      </c>
      <c r="D315" s="1">
        <f>Main_Data!D315</f>
        <v>4331</v>
      </c>
      <c r="E315" s="1">
        <f>Main_Data!E315</f>
        <v>16.3</v>
      </c>
      <c r="F315" s="1">
        <f>Main_Data!F315</f>
        <v>74</v>
      </c>
      <c r="G315" s="1">
        <f>Main_Data!G315</f>
        <v>47967447</v>
      </c>
      <c r="H315" s="1">
        <f>Main_Data!H315</f>
        <v>58</v>
      </c>
      <c r="I315" s="1">
        <f>Main_Data!I315</f>
        <v>8.6</v>
      </c>
      <c r="J315" s="1">
        <f>Main_Data!J315</f>
        <v>72</v>
      </c>
      <c r="K315" s="1">
        <f>Main_Data!K315</f>
        <v>42</v>
      </c>
      <c r="L315" s="1" t="str">
        <f>Main_Data!L315</f>
        <v>South America</v>
      </c>
      <c r="M315" s="1" t="str">
        <f>PROPER(TRIM(Main_Data!A315))</f>
        <v>Brazil</v>
      </c>
      <c r="N315" s="1" t="str">
        <f>PROPER(TRIM(Main_Data!B315))</f>
        <v>South America</v>
      </c>
      <c r="O315" s="1" t="str" cm="1">
        <f t="array" ref="O315">_xlfn.IFS(F315&gt;=80,"Very High",F315&gt;=70,"High",F315&gt;=60,"Medium",TRUE,"Low")</f>
        <v>High</v>
      </c>
      <c r="P315" s="1" t="str" cm="1">
        <f t="array" ref="P315">_xlfn.IFS(D315&gt;=40000,"High Income",D315&gt;=15000,"Middle Income",TRUE,"Low Income")</f>
        <v>Low Income</v>
      </c>
      <c r="Q315" s="1" t="str">
        <f t="shared" si="4"/>
        <v>Duplicate</v>
      </c>
    </row>
    <row r="316" spans="1:17" x14ac:dyDescent="0.25">
      <c r="A316" s="1" t="str">
        <f>Main_Data!A316</f>
        <v>China</v>
      </c>
      <c r="B316" s="1" t="str">
        <f>Main_Data!B316</f>
        <v>East Asia</v>
      </c>
      <c r="C316" s="1">
        <f>Main_Data!C316</f>
        <v>2022</v>
      </c>
      <c r="D316" s="1">
        <f>Main_Data!D316</f>
        <v>58368</v>
      </c>
      <c r="E316" s="1">
        <f>Main_Data!E316</f>
        <v>4.8</v>
      </c>
      <c r="F316" s="1">
        <f>Main_Data!F316</f>
        <v>64</v>
      </c>
      <c r="G316" s="1">
        <f>Main_Data!G316</f>
        <v>585456731</v>
      </c>
      <c r="H316" s="1">
        <f>Main_Data!H316</f>
        <v>54</v>
      </c>
      <c r="I316" s="1">
        <f>Main_Data!I316</f>
        <v>14.4</v>
      </c>
      <c r="J316" s="1">
        <f>Main_Data!J316</f>
        <v>93</v>
      </c>
      <c r="K316" s="1">
        <f>Main_Data!K316</f>
        <v>55</v>
      </c>
      <c r="L316" s="1" t="str">
        <f>Main_Data!L316</f>
        <v>Asia</v>
      </c>
      <c r="M316" s="1" t="str">
        <f>PROPER(TRIM(Main_Data!A316))</f>
        <v>China</v>
      </c>
      <c r="N316" s="1" t="str">
        <f>PROPER(TRIM(Main_Data!B316))</f>
        <v>East Asia</v>
      </c>
      <c r="O316" s="1" t="str" cm="1">
        <f t="array" ref="O316">_xlfn.IFS(F316&gt;=80,"Very High",F316&gt;=70,"High",F316&gt;=60,"Medium",TRUE,"Low")</f>
        <v>Medium</v>
      </c>
      <c r="P316" s="1" t="str" cm="1">
        <f t="array" ref="P316">_xlfn.IFS(D316&gt;=40000,"High Income",D316&gt;=15000,"Middle Income",TRUE,"Low Income")</f>
        <v>High Income</v>
      </c>
      <c r="Q316" s="1" t="str">
        <f t="shared" si="4"/>
        <v>Duplicate</v>
      </c>
    </row>
    <row r="317" spans="1:17" x14ac:dyDescent="0.25">
      <c r="A317" s="1" t="str">
        <f>Main_Data!A317</f>
        <v>UK</v>
      </c>
      <c r="B317" s="1" t="str">
        <f>Main_Data!B317</f>
        <v>Europe</v>
      </c>
      <c r="C317" s="1">
        <f>Main_Data!C317</f>
        <v>2020</v>
      </c>
      <c r="D317" s="1">
        <f>Main_Data!D317</f>
        <v>33367</v>
      </c>
      <c r="E317" s="1">
        <f>Main_Data!E317</f>
        <v>11.4</v>
      </c>
      <c r="F317" s="1">
        <f>Main_Data!F317</f>
        <v>69</v>
      </c>
      <c r="G317" s="1">
        <f>Main_Data!G317</f>
        <v>119689761</v>
      </c>
      <c r="H317" s="1">
        <f>Main_Data!H317</f>
        <v>84</v>
      </c>
      <c r="I317" s="1">
        <f>Main_Data!I317</f>
        <v>9</v>
      </c>
      <c r="J317" s="1">
        <f>Main_Data!J317</f>
        <v>91</v>
      </c>
      <c r="K317" s="1">
        <f>Main_Data!K317</f>
        <v>73</v>
      </c>
      <c r="L317" s="1" t="str">
        <f>Main_Data!L317</f>
        <v>Europe</v>
      </c>
      <c r="M317" s="1" t="str">
        <f>PROPER(TRIM(Main_Data!A317))</f>
        <v>Uk</v>
      </c>
      <c r="N317" s="1" t="str">
        <f>PROPER(TRIM(Main_Data!B317))</f>
        <v>Europe</v>
      </c>
      <c r="O317" s="1" t="str" cm="1">
        <f t="array" ref="O317">_xlfn.IFS(F317&gt;=80,"Very High",F317&gt;=70,"High",F317&gt;=60,"Medium",TRUE,"Low")</f>
        <v>Medium</v>
      </c>
      <c r="P317" s="1" t="str" cm="1">
        <f t="array" ref="P317">_xlfn.IFS(D317&gt;=40000,"High Income",D317&gt;=15000,"Middle Income",TRUE,"Low Income")</f>
        <v>Middle Income</v>
      </c>
      <c r="Q317" s="1" t="str">
        <f t="shared" si="4"/>
        <v>Duplicate</v>
      </c>
    </row>
    <row r="318" spans="1:17" x14ac:dyDescent="0.25">
      <c r="A318" s="1" t="str">
        <f>Main_Data!A318</f>
        <v>Canada</v>
      </c>
      <c r="B318" s="1" t="str">
        <f>Main_Data!B318</f>
        <v>North America</v>
      </c>
      <c r="C318" s="1">
        <f>Main_Data!C318</f>
        <v>2022</v>
      </c>
      <c r="D318" s="1">
        <f>Main_Data!D318</f>
        <v>43109</v>
      </c>
      <c r="E318" s="1">
        <f>Main_Data!E318</f>
        <v>4.7</v>
      </c>
      <c r="F318" s="1">
        <f>Main_Data!F318</f>
        <v>77</v>
      </c>
      <c r="G318" s="1">
        <f>Main_Data!G318</f>
        <v>581988730</v>
      </c>
      <c r="H318" s="1">
        <f>Main_Data!H318</f>
        <v>67</v>
      </c>
      <c r="I318" s="1">
        <f>Main_Data!I318</f>
        <v>9.5</v>
      </c>
      <c r="J318" s="1">
        <f>Main_Data!J318</f>
        <v>98</v>
      </c>
      <c r="K318" s="1">
        <f>Main_Data!K318</f>
        <v>60</v>
      </c>
      <c r="L318" s="1" t="str">
        <f>Main_Data!L318</f>
        <v>North America</v>
      </c>
      <c r="M318" s="1" t="str">
        <f>PROPER(TRIM(Main_Data!A318))</f>
        <v>Canada</v>
      </c>
      <c r="N318" s="1" t="str">
        <f>PROPER(TRIM(Main_Data!B318))</f>
        <v>North America</v>
      </c>
      <c r="O318" s="1" t="str" cm="1">
        <f t="array" ref="O318">_xlfn.IFS(F318&gt;=80,"Very High",F318&gt;=70,"High",F318&gt;=60,"Medium",TRUE,"Low")</f>
        <v>High</v>
      </c>
      <c r="P318" s="1" t="str" cm="1">
        <f t="array" ref="P318">_xlfn.IFS(D318&gt;=40000,"High Income",D318&gt;=15000,"Middle Income",TRUE,"Low Income")</f>
        <v>High Income</v>
      </c>
      <c r="Q318" s="1" t="str">
        <f t="shared" si="4"/>
        <v>Duplicate</v>
      </c>
    </row>
    <row r="319" spans="1:17" x14ac:dyDescent="0.25">
      <c r="A319" s="1" t="str">
        <f>Main_Data!A319</f>
        <v>Australia</v>
      </c>
      <c r="B319" s="1" t="str">
        <f>Main_Data!B319</f>
        <v>Oceania</v>
      </c>
      <c r="C319" s="1">
        <f>Main_Data!C319</f>
        <v>2021</v>
      </c>
      <c r="D319" s="1">
        <f>Main_Data!D319</f>
        <v>11953</v>
      </c>
      <c r="E319" s="1">
        <f>Main_Data!E319</f>
        <v>15</v>
      </c>
      <c r="F319" s="1">
        <f>Main_Data!F319</f>
        <v>63</v>
      </c>
      <c r="G319" s="1">
        <f>Main_Data!G319</f>
        <v>1008189171</v>
      </c>
      <c r="H319" s="1">
        <f>Main_Data!H319</f>
        <v>91</v>
      </c>
      <c r="I319" s="1">
        <f>Main_Data!I319</f>
        <v>19.3</v>
      </c>
      <c r="J319" s="1">
        <f>Main_Data!J319</f>
        <v>100</v>
      </c>
      <c r="K319" s="1">
        <f>Main_Data!K319</f>
        <v>90</v>
      </c>
      <c r="L319" s="1" t="str">
        <f>Main_Data!L319</f>
        <v>Oceania</v>
      </c>
      <c r="M319" s="1" t="str">
        <f>PROPER(TRIM(Main_Data!A319))</f>
        <v>Australia</v>
      </c>
      <c r="N319" s="1" t="str">
        <f>PROPER(TRIM(Main_Data!B319))</f>
        <v>Oceania</v>
      </c>
      <c r="O319" s="1" t="str" cm="1">
        <f t="array" ref="O319">_xlfn.IFS(F319&gt;=80,"Very High",F319&gt;=70,"High",F319&gt;=60,"Medium",TRUE,"Low")</f>
        <v>Medium</v>
      </c>
      <c r="P319" s="1" t="str" cm="1">
        <f t="array" ref="P319">_xlfn.IFS(D319&gt;=40000,"High Income",D319&gt;=15000,"Middle Income",TRUE,"Low Income")</f>
        <v>Low Income</v>
      </c>
      <c r="Q319" s="1" t="str">
        <f t="shared" si="4"/>
        <v>Duplicate</v>
      </c>
    </row>
    <row r="320" spans="1:17" x14ac:dyDescent="0.25">
      <c r="A320" s="1" t="str">
        <f>Main_Data!A320</f>
        <v>Japan</v>
      </c>
      <c r="B320" s="1" t="str">
        <f>Main_Data!B320</f>
        <v>East Asia</v>
      </c>
      <c r="C320" s="1">
        <f>Main_Data!C320</f>
        <v>2022</v>
      </c>
      <c r="D320" s="1">
        <f>Main_Data!D320</f>
        <v>42457</v>
      </c>
      <c r="E320" s="1">
        <f>Main_Data!E320</f>
        <v>6.7</v>
      </c>
      <c r="F320" s="1">
        <f>Main_Data!F320</f>
        <v>64</v>
      </c>
      <c r="G320" s="1">
        <f>Main_Data!G320</f>
        <v>995432119</v>
      </c>
      <c r="H320" s="1">
        <f>Main_Data!H320</f>
        <v>89</v>
      </c>
      <c r="I320" s="1">
        <f>Main_Data!I320</f>
        <v>22.9</v>
      </c>
      <c r="J320" s="1">
        <f>Main_Data!J320</f>
        <v>73</v>
      </c>
      <c r="K320" s="1">
        <f>Main_Data!K320</f>
        <v>58</v>
      </c>
      <c r="L320" s="1" t="str">
        <f>Main_Data!L320</f>
        <v>Asia</v>
      </c>
      <c r="M320" s="1" t="str">
        <f>PROPER(TRIM(Main_Data!A320))</f>
        <v>Japan</v>
      </c>
      <c r="N320" s="1" t="str">
        <f>PROPER(TRIM(Main_Data!B320))</f>
        <v>East Asia</v>
      </c>
      <c r="O320" s="1" t="str" cm="1">
        <f t="array" ref="O320">_xlfn.IFS(F320&gt;=80,"Very High",F320&gt;=70,"High",F320&gt;=60,"Medium",TRUE,"Low")</f>
        <v>Medium</v>
      </c>
      <c r="P320" s="1" t="str" cm="1">
        <f t="array" ref="P320">_xlfn.IFS(D320&gt;=40000,"High Income",D320&gt;=15000,"Middle Income",TRUE,"Low Income")</f>
        <v>High Income</v>
      </c>
      <c r="Q320" s="1" t="str">
        <f t="shared" si="4"/>
        <v>Duplicate</v>
      </c>
    </row>
    <row r="321" spans="1:17" x14ac:dyDescent="0.25">
      <c r="A321" s="1" t="str">
        <f>Main_Data!A321</f>
        <v>South Africa</v>
      </c>
      <c r="B321" s="1" t="str">
        <f>Main_Data!B321</f>
        <v>Africa</v>
      </c>
      <c r="C321" s="1">
        <f>Main_Data!C321</f>
        <v>2020</v>
      </c>
      <c r="D321" s="1">
        <f>Main_Data!D321</f>
        <v>64269</v>
      </c>
      <c r="E321" s="1">
        <f>Main_Data!E321</f>
        <v>4.5999999999999996</v>
      </c>
      <c r="F321" s="1">
        <f>Main_Data!F321</f>
        <v>63</v>
      </c>
      <c r="G321" s="1">
        <f>Main_Data!G321</f>
        <v>591421225</v>
      </c>
      <c r="H321" s="1">
        <f>Main_Data!H321</f>
        <v>51</v>
      </c>
      <c r="I321" s="1">
        <f>Main_Data!I321</f>
        <v>9.3000000000000007</v>
      </c>
      <c r="J321" s="1">
        <f>Main_Data!J321</f>
        <v>81</v>
      </c>
      <c r="K321" s="1">
        <f>Main_Data!K321</f>
        <v>51</v>
      </c>
      <c r="L321" s="1" t="str">
        <f>Main_Data!L321</f>
        <v>Africa</v>
      </c>
      <c r="M321" s="1" t="str">
        <f>PROPER(TRIM(Main_Data!A321))</f>
        <v>South Africa</v>
      </c>
      <c r="N321" s="1" t="str">
        <f>PROPER(TRIM(Main_Data!B321))</f>
        <v>Africa</v>
      </c>
      <c r="O321" s="1" t="str" cm="1">
        <f t="array" ref="O321">_xlfn.IFS(F321&gt;=80,"Very High",F321&gt;=70,"High",F321&gt;=60,"Medium",TRUE,"Low")</f>
        <v>Medium</v>
      </c>
      <c r="P321" s="1" t="str" cm="1">
        <f t="array" ref="P321">_xlfn.IFS(D321&gt;=40000,"High Income",D321&gt;=15000,"Middle Income",TRUE,"Low Income")</f>
        <v>High Income</v>
      </c>
      <c r="Q321" s="1" t="str">
        <f t="shared" si="4"/>
        <v>Duplicate</v>
      </c>
    </row>
    <row r="322" spans="1:17" x14ac:dyDescent="0.25">
      <c r="A322" s="1" t="str">
        <f>Main_Data!A322</f>
        <v>India</v>
      </c>
      <c r="B322" s="1" t="str">
        <f>Main_Data!B322</f>
        <v>South Asia</v>
      </c>
      <c r="C322" s="1">
        <f>Main_Data!C322</f>
        <v>2020</v>
      </c>
      <c r="D322" s="1">
        <f>Main_Data!D322</f>
        <v>37447</v>
      </c>
      <c r="E322" s="1">
        <f>Main_Data!E322</f>
        <v>7.5</v>
      </c>
      <c r="F322" s="1">
        <f>Main_Data!F322</f>
        <v>61</v>
      </c>
      <c r="G322" s="1">
        <f>Main_Data!G322</f>
        <v>643543016</v>
      </c>
      <c r="H322" s="1">
        <f>Main_Data!H322</f>
        <v>85</v>
      </c>
      <c r="I322" s="1">
        <f>Main_Data!I322</f>
        <v>19.899999999999999</v>
      </c>
      <c r="J322" s="1">
        <f>Main_Data!J322</f>
        <v>89</v>
      </c>
      <c r="K322" s="1">
        <f>Main_Data!K322</f>
        <v>42</v>
      </c>
      <c r="L322" s="1" t="str">
        <f>Main_Data!L322</f>
        <v>Asia</v>
      </c>
      <c r="M322" s="1" t="str">
        <f>PROPER(TRIM(Main_Data!A322))</f>
        <v>India</v>
      </c>
      <c r="N322" s="1" t="str">
        <f>PROPER(TRIM(Main_Data!B322))</f>
        <v>South Asia</v>
      </c>
      <c r="O322" s="1" t="str" cm="1">
        <f t="array" ref="O322">_xlfn.IFS(F322&gt;=80,"Very High",F322&gt;=70,"High",F322&gt;=60,"Medium",TRUE,"Low")</f>
        <v>Medium</v>
      </c>
      <c r="P322" s="1" t="str" cm="1">
        <f t="array" ref="P322">_xlfn.IFS(D322&gt;=40000,"High Income",D322&gt;=15000,"Middle Income",TRUE,"Low Income")</f>
        <v>Middle Income</v>
      </c>
      <c r="Q322" s="1" t="str">
        <f t="shared" si="4"/>
        <v>Duplicate</v>
      </c>
    </row>
    <row r="323" spans="1:17" x14ac:dyDescent="0.25">
      <c r="A323" s="1" t="str">
        <f>Main_Data!A323</f>
        <v>USA</v>
      </c>
      <c r="B323" s="1" t="str">
        <f>Main_Data!B323</f>
        <v>North America</v>
      </c>
      <c r="C323" s="1">
        <f>Main_Data!C323</f>
        <v>2020</v>
      </c>
      <c r="D323" s="1">
        <f>Main_Data!D323</f>
        <v>20949</v>
      </c>
      <c r="E323" s="1">
        <f>Main_Data!E323</f>
        <v>16.2</v>
      </c>
      <c r="F323" s="1">
        <f>Main_Data!F323</f>
        <v>75</v>
      </c>
      <c r="G323" s="1">
        <f>Main_Data!G323</f>
        <v>830554157</v>
      </c>
      <c r="H323" s="1">
        <f>Main_Data!H323</f>
        <v>94</v>
      </c>
      <c r="I323" s="1">
        <f>Main_Data!I323</f>
        <v>11.5</v>
      </c>
      <c r="J323" s="1">
        <f>Main_Data!J323</f>
        <v>76</v>
      </c>
      <c r="K323" s="1">
        <f>Main_Data!K323</f>
        <v>84</v>
      </c>
      <c r="L323" s="1" t="str">
        <f>Main_Data!L323</f>
        <v>North America</v>
      </c>
      <c r="M323" s="1" t="str">
        <f>PROPER(TRIM(Main_Data!A323))</f>
        <v>Usa</v>
      </c>
      <c r="N323" s="1" t="str">
        <f>PROPER(TRIM(Main_Data!B323))</f>
        <v>North America</v>
      </c>
      <c r="O323" s="1" t="str" cm="1">
        <f t="array" ref="O323">_xlfn.IFS(F323&gt;=80,"Very High",F323&gt;=70,"High",F323&gt;=60,"Medium",TRUE,"Low")</f>
        <v>High</v>
      </c>
      <c r="P323" s="1" t="str" cm="1">
        <f t="array" ref="P323">_xlfn.IFS(D323&gt;=40000,"High Income",D323&gt;=15000,"Middle Income",TRUE,"Low Income")</f>
        <v>Middle Income</v>
      </c>
      <c r="Q323" s="1" t="str">
        <f t="shared" ref="Q323:Q386" si="5">IF(COUNTIFS(A:A,A323,C:C,C323)&gt;1,"Duplicate","OK")</f>
        <v>Duplicate</v>
      </c>
    </row>
    <row r="324" spans="1:17" x14ac:dyDescent="0.25">
      <c r="A324" s="1" t="str">
        <f>Main_Data!A324</f>
        <v>Germany</v>
      </c>
      <c r="B324" s="1" t="str">
        <f>Main_Data!B324</f>
        <v>Europe</v>
      </c>
      <c r="C324" s="1">
        <f>Main_Data!C324</f>
        <v>2020</v>
      </c>
      <c r="D324" s="1">
        <f>Main_Data!D324</f>
        <v>14552</v>
      </c>
      <c r="E324" s="1">
        <f>Main_Data!E324</f>
        <v>16.7</v>
      </c>
      <c r="F324" s="1">
        <f>Main_Data!F324</f>
        <v>76</v>
      </c>
      <c r="G324" s="1">
        <f>Main_Data!G324</f>
        <v>916954073</v>
      </c>
      <c r="H324" s="1">
        <f>Main_Data!H324</f>
        <v>70</v>
      </c>
      <c r="I324" s="1">
        <f>Main_Data!I324</f>
        <v>7.9</v>
      </c>
      <c r="J324" s="1">
        <f>Main_Data!J324</f>
        <v>77</v>
      </c>
      <c r="K324" s="1">
        <f>Main_Data!K324</f>
        <v>49</v>
      </c>
      <c r="L324" s="1" t="str">
        <f>Main_Data!L324</f>
        <v>Europe</v>
      </c>
      <c r="M324" s="1" t="str">
        <f>PROPER(TRIM(Main_Data!A324))</f>
        <v>Germany</v>
      </c>
      <c r="N324" s="1" t="str">
        <f>PROPER(TRIM(Main_Data!B324))</f>
        <v>Europe</v>
      </c>
      <c r="O324" s="1" t="str" cm="1">
        <f t="array" ref="O324">_xlfn.IFS(F324&gt;=80,"Very High",F324&gt;=70,"High",F324&gt;=60,"Medium",TRUE,"Low")</f>
        <v>High</v>
      </c>
      <c r="P324" s="1" t="str" cm="1">
        <f t="array" ref="P324">_xlfn.IFS(D324&gt;=40000,"High Income",D324&gt;=15000,"Middle Income",TRUE,"Low Income")</f>
        <v>Low Income</v>
      </c>
      <c r="Q324" s="1" t="str">
        <f t="shared" si="5"/>
        <v>Duplicate</v>
      </c>
    </row>
    <row r="325" spans="1:17" x14ac:dyDescent="0.25">
      <c r="A325" s="1" t="str">
        <f>Main_Data!A325</f>
        <v>Brazil</v>
      </c>
      <c r="B325" s="1" t="str">
        <f>Main_Data!B325</f>
        <v>South America</v>
      </c>
      <c r="C325" s="1">
        <f>Main_Data!C325</f>
        <v>2022</v>
      </c>
      <c r="D325" s="1">
        <f>Main_Data!D325</f>
        <v>29169</v>
      </c>
      <c r="E325" s="1">
        <f>Main_Data!E325</f>
        <v>3.9</v>
      </c>
      <c r="F325" s="1">
        <f>Main_Data!F325</f>
        <v>61</v>
      </c>
      <c r="G325" s="1">
        <f>Main_Data!G325</f>
        <v>493774114</v>
      </c>
      <c r="H325" s="1">
        <f>Main_Data!H325</f>
        <v>60</v>
      </c>
      <c r="I325" s="1">
        <f>Main_Data!I325</f>
        <v>13.7</v>
      </c>
      <c r="J325" s="1">
        <f>Main_Data!J325</f>
        <v>88</v>
      </c>
      <c r="K325" s="1">
        <f>Main_Data!K325</f>
        <v>79</v>
      </c>
      <c r="L325" s="1" t="str">
        <f>Main_Data!L325</f>
        <v>South America</v>
      </c>
      <c r="M325" s="1" t="str">
        <f>PROPER(TRIM(Main_Data!A325))</f>
        <v>Brazil</v>
      </c>
      <c r="N325" s="1" t="str">
        <f>PROPER(TRIM(Main_Data!B325))</f>
        <v>South America</v>
      </c>
      <c r="O325" s="1" t="str" cm="1">
        <f t="array" ref="O325">_xlfn.IFS(F325&gt;=80,"Very High",F325&gt;=70,"High",F325&gt;=60,"Medium",TRUE,"Low")</f>
        <v>Medium</v>
      </c>
      <c r="P325" s="1" t="str" cm="1">
        <f t="array" ref="P325">_xlfn.IFS(D325&gt;=40000,"High Income",D325&gt;=15000,"Middle Income",TRUE,"Low Income")</f>
        <v>Middle Income</v>
      </c>
      <c r="Q325" s="1" t="str">
        <f t="shared" si="5"/>
        <v>Duplicate</v>
      </c>
    </row>
    <row r="326" spans="1:17" x14ac:dyDescent="0.25">
      <c r="A326" s="1" t="str">
        <f>Main_Data!A326</f>
        <v>China</v>
      </c>
      <c r="B326" s="1" t="str">
        <f>Main_Data!B326</f>
        <v>East Asia</v>
      </c>
      <c r="C326" s="1">
        <f>Main_Data!C326</f>
        <v>2021</v>
      </c>
      <c r="D326" s="1">
        <f>Main_Data!D326</f>
        <v>67325</v>
      </c>
      <c r="E326" s="1">
        <f>Main_Data!E326</f>
        <v>8.8000000000000007</v>
      </c>
      <c r="F326" s="1">
        <f>Main_Data!F326</f>
        <v>74</v>
      </c>
      <c r="G326" s="1">
        <f>Main_Data!G326</f>
        <v>198751555</v>
      </c>
      <c r="H326" s="1">
        <f>Main_Data!H326</f>
        <v>85</v>
      </c>
      <c r="I326" s="1">
        <f>Main_Data!I326</f>
        <v>4.3</v>
      </c>
      <c r="J326" s="1">
        <f>Main_Data!J326</f>
        <v>76</v>
      </c>
      <c r="K326" s="1">
        <f>Main_Data!K326</f>
        <v>53</v>
      </c>
      <c r="L326" s="1" t="str">
        <f>Main_Data!L326</f>
        <v>Asia</v>
      </c>
      <c r="M326" s="1" t="str">
        <f>PROPER(TRIM(Main_Data!A326))</f>
        <v>China</v>
      </c>
      <c r="N326" s="1" t="str">
        <f>PROPER(TRIM(Main_Data!B326))</f>
        <v>East Asia</v>
      </c>
      <c r="O326" s="1" t="str" cm="1">
        <f t="array" ref="O326">_xlfn.IFS(F326&gt;=80,"Very High",F326&gt;=70,"High",F326&gt;=60,"Medium",TRUE,"Low")</f>
        <v>High</v>
      </c>
      <c r="P326" s="1" t="str" cm="1">
        <f t="array" ref="P326">_xlfn.IFS(D326&gt;=40000,"High Income",D326&gt;=15000,"Middle Income",TRUE,"Low Income")</f>
        <v>High Income</v>
      </c>
      <c r="Q326" s="1" t="str">
        <f t="shared" si="5"/>
        <v>Duplicate</v>
      </c>
    </row>
    <row r="327" spans="1:17" x14ac:dyDescent="0.25">
      <c r="A327" s="1" t="str">
        <f>Main_Data!A327</f>
        <v>UK</v>
      </c>
      <c r="B327" s="1" t="str">
        <f>Main_Data!B327</f>
        <v>Europe</v>
      </c>
      <c r="C327" s="1">
        <f>Main_Data!C327</f>
        <v>2020</v>
      </c>
      <c r="D327" s="1">
        <f>Main_Data!D327</f>
        <v>26828</v>
      </c>
      <c r="E327" s="1">
        <f>Main_Data!E327</f>
        <v>9</v>
      </c>
      <c r="F327" s="1">
        <f>Main_Data!F327</f>
        <v>62</v>
      </c>
      <c r="G327" s="1">
        <f>Main_Data!G327</f>
        <v>93378703</v>
      </c>
      <c r="H327" s="1">
        <f>Main_Data!H327</f>
        <v>81</v>
      </c>
      <c r="I327" s="1">
        <f>Main_Data!I327</f>
        <v>2.1</v>
      </c>
      <c r="J327" s="1">
        <f>Main_Data!J327</f>
        <v>80</v>
      </c>
      <c r="K327" s="1">
        <f>Main_Data!K327</f>
        <v>81</v>
      </c>
      <c r="L327" s="1" t="str">
        <f>Main_Data!L327</f>
        <v>Europe</v>
      </c>
      <c r="M327" s="1" t="str">
        <f>PROPER(TRIM(Main_Data!A327))</f>
        <v>Uk</v>
      </c>
      <c r="N327" s="1" t="str">
        <f>PROPER(TRIM(Main_Data!B327))</f>
        <v>Europe</v>
      </c>
      <c r="O327" s="1" t="str" cm="1">
        <f t="array" ref="O327">_xlfn.IFS(F327&gt;=80,"Very High",F327&gt;=70,"High",F327&gt;=60,"Medium",TRUE,"Low")</f>
        <v>Medium</v>
      </c>
      <c r="P327" s="1" t="str" cm="1">
        <f t="array" ref="P327">_xlfn.IFS(D327&gt;=40000,"High Income",D327&gt;=15000,"Middle Income",TRUE,"Low Income")</f>
        <v>Middle Income</v>
      </c>
      <c r="Q327" s="1" t="str">
        <f t="shared" si="5"/>
        <v>Duplicate</v>
      </c>
    </row>
    <row r="328" spans="1:17" x14ac:dyDescent="0.25">
      <c r="A328" s="1" t="str">
        <f>Main_Data!A328</f>
        <v>Canada</v>
      </c>
      <c r="B328" s="1" t="str">
        <f>Main_Data!B328</f>
        <v>North America</v>
      </c>
      <c r="C328" s="1">
        <f>Main_Data!C328</f>
        <v>2021</v>
      </c>
      <c r="D328" s="1">
        <f>Main_Data!D328</f>
        <v>65159</v>
      </c>
      <c r="E328" s="1">
        <f>Main_Data!E328</f>
        <v>8.1999999999999993</v>
      </c>
      <c r="F328" s="1">
        <f>Main_Data!F328</f>
        <v>69</v>
      </c>
      <c r="G328" s="1">
        <f>Main_Data!G328</f>
        <v>290686228</v>
      </c>
      <c r="H328" s="1">
        <f>Main_Data!H328</f>
        <v>61</v>
      </c>
      <c r="I328" s="1">
        <f>Main_Data!I328</f>
        <v>9.5</v>
      </c>
      <c r="J328" s="1">
        <f>Main_Data!J328</f>
        <v>81</v>
      </c>
      <c r="K328" s="1">
        <f>Main_Data!K328</f>
        <v>33</v>
      </c>
      <c r="L328" s="1" t="str">
        <f>Main_Data!L328</f>
        <v>North America</v>
      </c>
      <c r="M328" s="1" t="str">
        <f>PROPER(TRIM(Main_Data!A328))</f>
        <v>Canada</v>
      </c>
      <c r="N328" s="1" t="str">
        <f>PROPER(TRIM(Main_Data!B328))</f>
        <v>North America</v>
      </c>
      <c r="O328" s="1" t="str" cm="1">
        <f t="array" ref="O328">_xlfn.IFS(F328&gt;=80,"Very High",F328&gt;=70,"High",F328&gt;=60,"Medium",TRUE,"Low")</f>
        <v>Medium</v>
      </c>
      <c r="P328" s="1" t="str" cm="1">
        <f t="array" ref="P328">_xlfn.IFS(D328&gt;=40000,"High Income",D328&gt;=15000,"Middle Income",TRUE,"Low Income")</f>
        <v>High Income</v>
      </c>
      <c r="Q328" s="1" t="str">
        <f t="shared" si="5"/>
        <v>Duplicate</v>
      </c>
    </row>
    <row r="329" spans="1:17" x14ac:dyDescent="0.25">
      <c r="A329" s="1" t="str">
        <f>Main_Data!A329</f>
        <v>Australia</v>
      </c>
      <c r="B329" s="1" t="str">
        <f>Main_Data!B329</f>
        <v>Oceania</v>
      </c>
      <c r="C329" s="1">
        <f>Main_Data!C329</f>
        <v>2022</v>
      </c>
      <c r="D329" s="1">
        <f>Main_Data!D329</f>
        <v>33340</v>
      </c>
      <c r="E329" s="1">
        <f>Main_Data!E329</f>
        <v>14.3</v>
      </c>
      <c r="F329" s="1">
        <f>Main_Data!F329</f>
        <v>71</v>
      </c>
      <c r="G329" s="1">
        <f>Main_Data!G329</f>
        <v>879517218</v>
      </c>
      <c r="H329" s="1">
        <f>Main_Data!H329</f>
        <v>72</v>
      </c>
      <c r="I329" s="1">
        <f>Main_Data!I329</f>
        <v>15</v>
      </c>
      <c r="J329" s="1">
        <f>Main_Data!J329</f>
        <v>85</v>
      </c>
      <c r="K329" s="1">
        <f>Main_Data!K329</f>
        <v>76</v>
      </c>
      <c r="L329" s="1" t="str">
        <f>Main_Data!L329</f>
        <v>Oceania</v>
      </c>
      <c r="M329" s="1" t="str">
        <f>PROPER(TRIM(Main_Data!A329))</f>
        <v>Australia</v>
      </c>
      <c r="N329" s="1" t="str">
        <f>PROPER(TRIM(Main_Data!B329))</f>
        <v>Oceania</v>
      </c>
      <c r="O329" s="1" t="str" cm="1">
        <f t="array" ref="O329">_xlfn.IFS(F329&gt;=80,"Very High",F329&gt;=70,"High",F329&gt;=60,"Medium",TRUE,"Low")</f>
        <v>High</v>
      </c>
      <c r="P329" s="1" t="str" cm="1">
        <f t="array" ref="P329">_xlfn.IFS(D329&gt;=40000,"High Income",D329&gt;=15000,"Middle Income",TRUE,"Low Income")</f>
        <v>Middle Income</v>
      </c>
      <c r="Q329" s="1" t="str">
        <f t="shared" si="5"/>
        <v>Duplicate</v>
      </c>
    </row>
    <row r="330" spans="1:17" x14ac:dyDescent="0.25">
      <c r="A330" s="1" t="str">
        <f>Main_Data!A330</f>
        <v>Japan</v>
      </c>
      <c r="B330" s="1" t="str">
        <f>Main_Data!B330</f>
        <v>East Asia</v>
      </c>
      <c r="C330" s="1">
        <f>Main_Data!C330</f>
        <v>2021</v>
      </c>
      <c r="D330" s="1">
        <f>Main_Data!D330</f>
        <v>37713</v>
      </c>
      <c r="E330" s="1">
        <f>Main_Data!E330</f>
        <v>4.5</v>
      </c>
      <c r="F330" s="1">
        <f>Main_Data!F330</f>
        <v>83</v>
      </c>
      <c r="G330" s="1">
        <f>Main_Data!G330</f>
        <v>280596008</v>
      </c>
      <c r="H330" s="1">
        <f>Main_Data!H330</f>
        <v>60</v>
      </c>
      <c r="I330" s="1">
        <f>Main_Data!I330</f>
        <v>17</v>
      </c>
      <c r="J330" s="1">
        <f>Main_Data!J330</f>
        <v>85</v>
      </c>
      <c r="K330" s="1">
        <f>Main_Data!K330</f>
        <v>46</v>
      </c>
      <c r="L330" s="1" t="str">
        <f>Main_Data!L330</f>
        <v>Asia</v>
      </c>
      <c r="M330" s="1" t="str">
        <f>PROPER(TRIM(Main_Data!A330))</f>
        <v>Japan</v>
      </c>
      <c r="N330" s="1" t="str">
        <f>PROPER(TRIM(Main_Data!B330))</f>
        <v>East Asia</v>
      </c>
      <c r="O330" s="1" t="str" cm="1">
        <f t="array" ref="O330">_xlfn.IFS(F330&gt;=80,"Very High",F330&gt;=70,"High",F330&gt;=60,"Medium",TRUE,"Low")</f>
        <v>Very High</v>
      </c>
      <c r="P330" s="1" t="str" cm="1">
        <f t="array" ref="P330">_xlfn.IFS(D330&gt;=40000,"High Income",D330&gt;=15000,"Middle Income",TRUE,"Low Income")</f>
        <v>Middle Income</v>
      </c>
      <c r="Q330" s="1" t="str">
        <f t="shared" si="5"/>
        <v>Duplicate</v>
      </c>
    </row>
    <row r="331" spans="1:17" x14ac:dyDescent="0.25">
      <c r="A331" s="1" t="str">
        <f>Main_Data!A331</f>
        <v>South Africa</v>
      </c>
      <c r="B331" s="1" t="str">
        <f>Main_Data!B331</f>
        <v>Africa</v>
      </c>
      <c r="C331" s="1">
        <f>Main_Data!C331</f>
        <v>2021</v>
      </c>
      <c r="D331" s="1">
        <f>Main_Data!D331</f>
        <v>30791</v>
      </c>
      <c r="E331" s="1">
        <f>Main_Data!E331</f>
        <v>10.1</v>
      </c>
      <c r="F331" s="1">
        <f>Main_Data!F331</f>
        <v>84</v>
      </c>
      <c r="G331" s="1">
        <f>Main_Data!G331</f>
        <v>1126116189</v>
      </c>
      <c r="H331" s="1">
        <f>Main_Data!H331</f>
        <v>95</v>
      </c>
      <c r="I331" s="1">
        <f>Main_Data!I331</f>
        <v>20.3</v>
      </c>
      <c r="J331" s="1">
        <f>Main_Data!J331</f>
        <v>89</v>
      </c>
      <c r="K331" s="1">
        <f>Main_Data!K331</f>
        <v>48</v>
      </c>
      <c r="L331" s="1" t="str">
        <f>Main_Data!L331</f>
        <v>Africa</v>
      </c>
      <c r="M331" s="1" t="str">
        <f>PROPER(TRIM(Main_Data!A331))</f>
        <v>South Africa</v>
      </c>
      <c r="N331" s="1" t="str">
        <f>PROPER(TRIM(Main_Data!B331))</f>
        <v>Africa</v>
      </c>
      <c r="O331" s="1" t="str" cm="1">
        <f t="array" ref="O331">_xlfn.IFS(F331&gt;=80,"Very High",F331&gt;=70,"High",F331&gt;=60,"Medium",TRUE,"Low")</f>
        <v>Very High</v>
      </c>
      <c r="P331" s="1" t="str" cm="1">
        <f t="array" ref="P331">_xlfn.IFS(D331&gt;=40000,"High Income",D331&gt;=15000,"Middle Income",TRUE,"Low Income")</f>
        <v>Middle Income</v>
      </c>
      <c r="Q331" s="1" t="str">
        <f t="shared" si="5"/>
        <v>Duplicate</v>
      </c>
    </row>
    <row r="332" spans="1:17" x14ac:dyDescent="0.25">
      <c r="A332" s="1" t="str">
        <f>Main_Data!A332</f>
        <v>India</v>
      </c>
      <c r="B332" s="1" t="str">
        <f>Main_Data!B332</f>
        <v>South Asia</v>
      </c>
      <c r="C332" s="1">
        <f>Main_Data!C332</f>
        <v>2020</v>
      </c>
      <c r="D332" s="1">
        <f>Main_Data!D332</f>
        <v>43675</v>
      </c>
      <c r="E332" s="1">
        <f>Main_Data!E332</f>
        <v>5.7</v>
      </c>
      <c r="F332" s="1">
        <f>Main_Data!F332</f>
        <v>62</v>
      </c>
      <c r="G332" s="1">
        <f>Main_Data!G332</f>
        <v>762571734</v>
      </c>
      <c r="H332" s="1">
        <f>Main_Data!H332</f>
        <v>75</v>
      </c>
      <c r="I332" s="1">
        <f>Main_Data!I332</f>
        <v>5.9</v>
      </c>
      <c r="J332" s="1">
        <f>Main_Data!J332</f>
        <v>87</v>
      </c>
      <c r="K332" s="1">
        <f>Main_Data!K332</f>
        <v>39</v>
      </c>
      <c r="L332" s="1" t="str">
        <f>Main_Data!L332</f>
        <v>Asia</v>
      </c>
      <c r="M332" s="1" t="str">
        <f>PROPER(TRIM(Main_Data!A332))</f>
        <v>India</v>
      </c>
      <c r="N332" s="1" t="str">
        <f>PROPER(TRIM(Main_Data!B332))</f>
        <v>South Asia</v>
      </c>
      <c r="O332" s="1" t="str" cm="1">
        <f t="array" ref="O332">_xlfn.IFS(F332&gt;=80,"Very High",F332&gt;=70,"High",F332&gt;=60,"Medium",TRUE,"Low")</f>
        <v>Medium</v>
      </c>
      <c r="P332" s="1" t="str" cm="1">
        <f t="array" ref="P332">_xlfn.IFS(D332&gt;=40000,"High Income",D332&gt;=15000,"Middle Income",TRUE,"Low Income")</f>
        <v>High Income</v>
      </c>
      <c r="Q332" s="1" t="str">
        <f t="shared" si="5"/>
        <v>Duplicate</v>
      </c>
    </row>
    <row r="333" spans="1:17" x14ac:dyDescent="0.25">
      <c r="A333" s="1" t="str">
        <f>Main_Data!A333</f>
        <v>USA</v>
      </c>
      <c r="B333" s="1" t="str">
        <f>Main_Data!B333</f>
        <v>North America</v>
      </c>
      <c r="C333" s="1">
        <f>Main_Data!C333</f>
        <v>2020</v>
      </c>
      <c r="D333" s="1">
        <f>Main_Data!D333</f>
        <v>68392</v>
      </c>
      <c r="E333" s="1">
        <f>Main_Data!E333</f>
        <v>11.2</v>
      </c>
      <c r="F333" s="1">
        <f>Main_Data!F333</f>
        <v>63</v>
      </c>
      <c r="G333" s="1">
        <f>Main_Data!G333</f>
        <v>1475280515</v>
      </c>
      <c r="H333" s="1">
        <f>Main_Data!H333</f>
        <v>73</v>
      </c>
      <c r="I333" s="1">
        <f>Main_Data!I333</f>
        <v>21.9</v>
      </c>
      <c r="J333" s="1">
        <f>Main_Data!J333</f>
        <v>70</v>
      </c>
      <c r="K333" s="1">
        <f>Main_Data!K333</f>
        <v>58</v>
      </c>
      <c r="L333" s="1" t="str">
        <f>Main_Data!L333</f>
        <v>North America</v>
      </c>
      <c r="M333" s="1" t="str">
        <f>PROPER(TRIM(Main_Data!A333))</f>
        <v>Usa</v>
      </c>
      <c r="N333" s="1" t="str">
        <f>PROPER(TRIM(Main_Data!B333))</f>
        <v>North America</v>
      </c>
      <c r="O333" s="1" t="str" cm="1">
        <f t="array" ref="O333">_xlfn.IFS(F333&gt;=80,"Very High",F333&gt;=70,"High",F333&gt;=60,"Medium",TRUE,"Low")</f>
        <v>Medium</v>
      </c>
      <c r="P333" s="1" t="str" cm="1">
        <f t="array" ref="P333">_xlfn.IFS(D333&gt;=40000,"High Income",D333&gt;=15000,"Middle Income",TRUE,"Low Income")</f>
        <v>High Income</v>
      </c>
      <c r="Q333" s="1" t="str">
        <f t="shared" si="5"/>
        <v>Duplicate</v>
      </c>
    </row>
    <row r="334" spans="1:17" x14ac:dyDescent="0.25">
      <c r="A334" s="1" t="str">
        <f>Main_Data!A334</f>
        <v>Germany</v>
      </c>
      <c r="B334" s="1" t="str">
        <f>Main_Data!B334</f>
        <v>Europe</v>
      </c>
      <c r="C334" s="1">
        <f>Main_Data!C334</f>
        <v>2020</v>
      </c>
      <c r="D334" s="1">
        <f>Main_Data!D334</f>
        <v>15020</v>
      </c>
      <c r="E334" s="1">
        <f>Main_Data!E334</f>
        <v>4.9000000000000004</v>
      </c>
      <c r="F334" s="1">
        <f>Main_Data!F334</f>
        <v>70</v>
      </c>
      <c r="G334" s="1">
        <f>Main_Data!G334</f>
        <v>506526463</v>
      </c>
      <c r="H334" s="1">
        <f>Main_Data!H334</f>
        <v>65</v>
      </c>
      <c r="I334" s="1">
        <f>Main_Data!I334</f>
        <v>15</v>
      </c>
      <c r="J334" s="1">
        <f>Main_Data!J334</f>
        <v>78</v>
      </c>
      <c r="K334" s="1">
        <f>Main_Data!K334</f>
        <v>46</v>
      </c>
      <c r="L334" s="1" t="str">
        <f>Main_Data!L334</f>
        <v>Europe</v>
      </c>
      <c r="M334" s="1" t="str">
        <f>PROPER(TRIM(Main_Data!A334))</f>
        <v>Germany</v>
      </c>
      <c r="N334" s="1" t="str">
        <f>PROPER(TRIM(Main_Data!B334))</f>
        <v>Europe</v>
      </c>
      <c r="O334" s="1" t="str" cm="1">
        <f t="array" ref="O334">_xlfn.IFS(F334&gt;=80,"Very High",F334&gt;=70,"High",F334&gt;=60,"Medium",TRUE,"Low")</f>
        <v>High</v>
      </c>
      <c r="P334" s="1" t="str" cm="1">
        <f t="array" ref="P334">_xlfn.IFS(D334&gt;=40000,"High Income",D334&gt;=15000,"Middle Income",TRUE,"Low Income")</f>
        <v>Middle Income</v>
      </c>
      <c r="Q334" s="1" t="str">
        <f t="shared" si="5"/>
        <v>Duplicate</v>
      </c>
    </row>
    <row r="335" spans="1:17" x14ac:dyDescent="0.25">
      <c r="A335" s="1" t="str">
        <f>Main_Data!A335</f>
        <v>Brazil</v>
      </c>
      <c r="B335" s="1" t="str">
        <f>Main_Data!B335</f>
        <v>South America</v>
      </c>
      <c r="C335" s="1">
        <f>Main_Data!C335</f>
        <v>2022</v>
      </c>
      <c r="D335" s="1">
        <f>Main_Data!D335</f>
        <v>3592</v>
      </c>
      <c r="E335" s="1">
        <f>Main_Data!E335</f>
        <v>13.4</v>
      </c>
      <c r="F335" s="1">
        <f>Main_Data!F335</f>
        <v>79</v>
      </c>
      <c r="G335" s="1">
        <f>Main_Data!G335</f>
        <v>1097647114</v>
      </c>
      <c r="H335" s="1">
        <f>Main_Data!H335</f>
        <v>67</v>
      </c>
      <c r="I335" s="1">
        <f>Main_Data!I335</f>
        <v>13.8</v>
      </c>
      <c r="J335" s="1">
        <f>Main_Data!J335</f>
        <v>85</v>
      </c>
      <c r="K335" s="1">
        <f>Main_Data!K335</f>
        <v>41</v>
      </c>
      <c r="L335" s="1" t="str">
        <f>Main_Data!L335</f>
        <v>South America</v>
      </c>
      <c r="M335" s="1" t="str">
        <f>PROPER(TRIM(Main_Data!A335))</f>
        <v>Brazil</v>
      </c>
      <c r="N335" s="1" t="str">
        <f>PROPER(TRIM(Main_Data!B335))</f>
        <v>South America</v>
      </c>
      <c r="O335" s="1" t="str" cm="1">
        <f t="array" ref="O335">_xlfn.IFS(F335&gt;=80,"Very High",F335&gt;=70,"High",F335&gt;=60,"Medium",TRUE,"Low")</f>
        <v>High</v>
      </c>
      <c r="P335" s="1" t="str" cm="1">
        <f t="array" ref="P335">_xlfn.IFS(D335&gt;=40000,"High Income",D335&gt;=15000,"Middle Income",TRUE,"Low Income")</f>
        <v>Low Income</v>
      </c>
      <c r="Q335" s="1" t="str">
        <f t="shared" si="5"/>
        <v>Duplicate</v>
      </c>
    </row>
    <row r="336" spans="1:17" x14ac:dyDescent="0.25">
      <c r="A336" s="1" t="str">
        <f>Main_Data!A336</f>
        <v>China</v>
      </c>
      <c r="B336" s="1" t="str">
        <f>Main_Data!B336</f>
        <v>East Asia</v>
      </c>
      <c r="C336" s="1">
        <f>Main_Data!C336</f>
        <v>2020</v>
      </c>
      <c r="D336" s="1">
        <f>Main_Data!D336</f>
        <v>16623</v>
      </c>
      <c r="E336" s="1">
        <f>Main_Data!E336</f>
        <v>7.1</v>
      </c>
      <c r="F336" s="1">
        <f>Main_Data!F336</f>
        <v>63</v>
      </c>
      <c r="G336" s="1">
        <f>Main_Data!G336</f>
        <v>1153026740</v>
      </c>
      <c r="H336" s="1">
        <f>Main_Data!H336</f>
        <v>67</v>
      </c>
      <c r="I336" s="1">
        <f>Main_Data!I336</f>
        <v>18.3</v>
      </c>
      <c r="J336" s="1">
        <f>Main_Data!J336</f>
        <v>70</v>
      </c>
      <c r="K336" s="1">
        <f>Main_Data!K336</f>
        <v>60</v>
      </c>
      <c r="L336" s="1" t="str">
        <f>Main_Data!L336</f>
        <v>Asia</v>
      </c>
      <c r="M336" s="1" t="str">
        <f>PROPER(TRIM(Main_Data!A336))</f>
        <v>China</v>
      </c>
      <c r="N336" s="1" t="str">
        <f>PROPER(TRIM(Main_Data!B336))</f>
        <v>East Asia</v>
      </c>
      <c r="O336" s="1" t="str" cm="1">
        <f t="array" ref="O336">_xlfn.IFS(F336&gt;=80,"Very High",F336&gt;=70,"High",F336&gt;=60,"Medium",TRUE,"Low")</f>
        <v>Medium</v>
      </c>
      <c r="P336" s="1" t="str" cm="1">
        <f t="array" ref="P336">_xlfn.IFS(D336&gt;=40000,"High Income",D336&gt;=15000,"Middle Income",TRUE,"Low Income")</f>
        <v>Middle Income</v>
      </c>
      <c r="Q336" s="1" t="str">
        <f t="shared" si="5"/>
        <v>Duplicate</v>
      </c>
    </row>
    <row r="337" spans="1:17" x14ac:dyDescent="0.25">
      <c r="A337" s="1" t="str">
        <f>Main_Data!A337</f>
        <v>UK</v>
      </c>
      <c r="B337" s="1" t="str">
        <f>Main_Data!B337</f>
        <v>Europe</v>
      </c>
      <c r="C337" s="1">
        <f>Main_Data!C337</f>
        <v>2021</v>
      </c>
      <c r="D337" s="1">
        <f>Main_Data!D337</f>
        <v>40106</v>
      </c>
      <c r="E337" s="1">
        <f>Main_Data!E337</f>
        <v>9.8000000000000007</v>
      </c>
      <c r="F337" s="1">
        <f>Main_Data!F337</f>
        <v>64</v>
      </c>
      <c r="G337" s="1">
        <f>Main_Data!G337</f>
        <v>295202050</v>
      </c>
      <c r="H337" s="1">
        <f>Main_Data!H337</f>
        <v>67</v>
      </c>
      <c r="I337" s="1">
        <f>Main_Data!I337</f>
        <v>15.4</v>
      </c>
      <c r="J337" s="1">
        <f>Main_Data!J337</f>
        <v>79</v>
      </c>
      <c r="K337" s="1">
        <f>Main_Data!K337</f>
        <v>30</v>
      </c>
      <c r="L337" s="1" t="str">
        <f>Main_Data!L337</f>
        <v>Europe</v>
      </c>
      <c r="M337" s="1" t="str">
        <f>PROPER(TRIM(Main_Data!A337))</f>
        <v>Uk</v>
      </c>
      <c r="N337" s="1" t="str">
        <f>PROPER(TRIM(Main_Data!B337))</f>
        <v>Europe</v>
      </c>
      <c r="O337" s="1" t="str" cm="1">
        <f t="array" ref="O337">_xlfn.IFS(F337&gt;=80,"Very High",F337&gt;=70,"High",F337&gt;=60,"Medium",TRUE,"Low")</f>
        <v>Medium</v>
      </c>
      <c r="P337" s="1" t="str" cm="1">
        <f t="array" ref="P337">_xlfn.IFS(D337&gt;=40000,"High Income",D337&gt;=15000,"Middle Income",TRUE,"Low Income")</f>
        <v>High Income</v>
      </c>
      <c r="Q337" s="1" t="str">
        <f t="shared" si="5"/>
        <v>Duplicate</v>
      </c>
    </row>
    <row r="338" spans="1:17" x14ac:dyDescent="0.25">
      <c r="A338" s="1" t="str">
        <f>Main_Data!A338</f>
        <v>Canada</v>
      </c>
      <c r="B338" s="1" t="str">
        <f>Main_Data!B338</f>
        <v>North America</v>
      </c>
      <c r="C338" s="1">
        <f>Main_Data!C338</f>
        <v>2021</v>
      </c>
      <c r="D338" s="1">
        <f>Main_Data!D338</f>
        <v>12105</v>
      </c>
      <c r="E338" s="1">
        <f>Main_Data!E338</f>
        <v>6.9</v>
      </c>
      <c r="F338" s="1">
        <f>Main_Data!F338</f>
        <v>70</v>
      </c>
      <c r="G338" s="1">
        <f>Main_Data!G338</f>
        <v>1253164896</v>
      </c>
      <c r="H338" s="1">
        <f>Main_Data!H338</f>
        <v>71</v>
      </c>
      <c r="I338" s="1">
        <f>Main_Data!I338</f>
        <v>4.5999999999999996</v>
      </c>
      <c r="J338" s="1">
        <f>Main_Data!J338</f>
        <v>72</v>
      </c>
      <c r="K338" s="1">
        <f>Main_Data!K338</f>
        <v>33</v>
      </c>
      <c r="L338" s="1" t="str">
        <f>Main_Data!L338</f>
        <v>North America</v>
      </c>
      <c r="M338" s="1" t="str">
        <f>PROPER(TRIM(Main_Data!A338))</f>
        <v>Canada</v>
      </c>
      <c r="N338" s="1" t="str">
        <f>PROPER(TRIM(Main_Data!B338))</f>
        <v>North America</v>
      </c>
      <c r="O338" s="1" t="str" cm="1">
        <f t="array" ref="O338">_xlfn.IFS(F338&gt;=80,"Very High",F338&gt;=70,"High",F338&gt;=60,"Medium",TRUE,"Low")</f>
        <v>High</v>
      </c>
      <c r="P338" s="1" t="str" cm="1">
        <f t="array" ref="P338">_xlfn.IFS(D338&gt;=40000,"High Income",D338&gt;=15000,"Middle Income",TRUE,"Low Income")</f>
        <v>Low Income</v>
      </c>
      <c r="Q338" s="1" t="str">
        <f t="shared" si="5"/>
        <v>Duplicate</v>
      </c>
    </row>
    <row r="339" spans="1:17" x14ac:dyDescent="0.25">
      <c r="A339" s="1" t="str">
        <f>Main_Data!A339</f>
        <v>Australia</v>
      </c>
      <c r="B339" s="1" t="str">
        <f>Main_Data!B339</f>
        <v>Oceania</v>
      </c>
      <c r="C339" s="1">
        <f>Main_Data!C339</f>
        <v>2020</v>
      </c>
      <c r="D339" s="1">
        <f>Main_Data!D339</f>
        <v>48363</v>
      </c>
      <c r="E339" s="1">
        <f>Main_Data!E339</f>
        <v>9.3000000000000007</v>
      </c>
      <c r="F339" s="1">
        <f>Main_Data!F339</f>
        <v>61</v>
      </c>
      <c r="G339" s="1">
        <f>Main_Data!G339</f>
        <v>236721507</v>
      </c>
      <c r="H339" s="1">
        <f>Main_Data!H339</f>
        <v>78</v>
      </c>
      <c r="I339" s="1">
        <f>Main_Data!I339</f>
        <v>5.2</v>
      </c>
      <c r="J339" s="1">
        <f>Main_Data!J339</f>
        <v>79</v>
      </c>
      <c r="K339" s="1">
        <f>Main_Data!K339</f>
        <v>81</v>
      </c>
      <c r="L339" s="1" t="str">
        <f>Main_Data!L339</f>
        <v>Oceania</v>
      </c>
      <c r="M339" s="1" t="str">
        <f>PROPER(TRIM(Main_Data!A339))</f>
        <v>Australia</v>
      </c>
      <c r="N339" s="1" t="str">
        <f>PROPER(TRIM(Main_Data!B339))</f>
        <v>Oceania</v>
      </c>
      <c r="O339" s="1" t="str" cm="1">
        <f t="array" ref="O339">_xlfn.IFS(F339&gt;=80,"Very High",F339&gt;=70,"High",F339&gt;=60,"Medium",TRUE,"Low")</f>
        <v>Medium</v>
      </c>
      <c r="P339" s="1" t="str" cm="1">
        <f t="array" ref="P339">_xlfn.IFS(D339&gt;=40000,"High Income",D339&gt;=15000,"Middle Income",TRUE,"Low Income")</f>
        <v>High Income</v>
      </c>
      <c r="Q339" s="1" t="str">
        <f t="shared" si="5"/>
        <v>Duplicate</v>
      </c>
    </row>
    <row r="340" spans="1:17" x14ac:dyDescent="0.25">
      <c r="A340" s="1" t="str">
        <f>Main_Data!A340</f>
        <v>Japan</v>
      </c>
      <c r="B340" s="1" t="str">
        <f>Main_Data!B340</f>
        <v>East Asia</v>
      </c>
      <c r="C340" s="1">
        <f>Main_Data!C340</f>
        <v>2020</v>
      </c>
      <c r="D340" s="1">
        <f>Main_Data!D340</f>
        <v>19002</v>
      </c>
      <c r="E340" s="1">
        <f>Main_Data!E340</f>
        <v>12.5</v>
      </c>
      <c r="F340" s="1">
        <f>Main_Data!F340</f>
        <v>74</v>
      </c>
      <c r="G340" s="1">
        <f>Main_Data!G340</f>
        <v>1176849241</v>
      </c>
      <c r="H340" s="1">
        <f>Main_Data!H340</f>
        <v>92</v>
      </c>
      <c r="I340" s="1">
        <f>Main_Data!I340</f>
        <v>14.8</v>
      </c>
      <c r="J340" s="1">
        <f>Main_Data!J340</f>
        <v>97</v>
      </c>
      <c r="K340" s="1">
        <f>Main_Data!K340</f>
        <v>32</v>
      </c>
      <c r="L340" s="1" t="str">
        <f>Main_Data!L340</f>
        <v>Asia</v>
      </c>
      <c r="M340" s="1" t="str">
        <f>PROPER(TRIM(Main_Data!A340))</f>
        <v>Japan</v>
      </c>
      <c r="N340" s="1" t="str">
        <f>PROPER(TRIM(Main_Data!B340))</f>
        <v>East Asia</v>
      </c>
      <c r="O340" s="1" t="str" cm="1">
        <f t="array" ref="O340">_xlfn.IFS(F340&gt;=80,"Very High",F340&gt;=70,"High",F340&gt;=60,"Medium",TRUE,"Low")</f>
        <v>High</v>
      </c>
      <c r="P340" s="1" t="str" cm="1">
        <f t="array" ref="P340">_xlfn.IFS(D340&gt;=40000,"High Income",D340&gt;=15000,"Middle Income",TRUE,"Low Income")</f>
        <v>Middle Income</v>
      </c>
      <c r="Q340" s="1" t="str">
        <f t="shared" si="5"/>
        <v>Duplicate</v>
      </c>
    </row>
    <row r="341" spans="1:17" x14ac:dyDescent="0.25">
      <c r="A341" s="1" t="str">
        <f>Main_Data!A341</f>
        <v>South Africa</v>
      </c>
      <c r="B341" s="1" t="str">
        <f>Main_Data!B341</f>
        <v>Africa</v>
      </c>
      <c r="C341" s="1">
        <f>Main_Data!C341</f>
        <v>2020</v>
      </c>
      <c r="D341" s="1">
        <f>Main_Data!D341</f>
        <v>50244</v>
      </c>
      <c r="E341" s="1">
        <f>Main_Data!E341</f>
        <v>16.8</v>
      </c>
      <c r="F341" s="1">
        <f>Main_Data!F341</f>
        <v>60</v>
      </c>
      <c r="G341" s="1">
        <f>Main_Data!G341</f>
        <v>848454583</v>
      </c>
      <c r="H341" s="1">
        <f>Main_Data!H341</f>
        <v>61</v>
      </c>
      <c r="I341" s="1">
        <f>Main_Data!I341</f>
        <v>20.399999999999999</v>
      </c>
      <c r="J341" s="1">
        <f>Main_Data!J341</f>
        <v>77</v>
      </c>
      <c r="K341" s="1">
        <f>Main_Data!K341</f>
        <v>31</v>
      </c>
      <c r="L341" s="1" t="str">
        <f>Main_Data!L341</f>
        <v>Africa</v>
      </c>
      <c r="M341" s="1" t="str">
        <f>PROPER(TRIM(Main_Data!A341))</f>
        <v>South Africa</v>
      </c>
      <c r="N341" s="1" t="str">
        <f>PROPER(TRIM(Main_Data!B341))</f>
        <v>Africa</v>
      </c>
      <c r="O341" s="1" t="str" cm="1">
        <f t="array" ref="O341">_xlfn.IFS(F341&gt;=80,"Very High",F341&gt;=70,"High",F341&gt;=60,"Medium",TRUE,"Low")</f>
        <v>Medium</v>
      </c>
      <c r="P341" s="1" t="str" cm="1">
        <f t="array" ref="P341">_xlfn.IFS(D341&gt;=40000,"High Income",D341&gt;=15000,"Middle Income",TRUE,"Low Income")</f>
        <v>High Income</v>
      </c>
      <c r="Q341" s="1" t="str">
        <f t="shared" si="5"/>
        <v>Duplicate</v>
      </c>
    </row>
    <row r="342" spans="1:17" x14ac:dyDescent="0.25">
      <c r="A342" s="1" t="str">
        <f>Main_Data!A342</f>
        <v>India</v>
      </c>
      <c r="B342" s="1" t="str">
        <f>Main_Data!B342</f>
        <v>South Asia</v>
      </c>
      <c r="C342" s="1">
        <f>Main_Data!C342</f>
        <v>2021</v>
      </c>
      <c r="D342" s="1">
        <f>Main_Data!D342</f>
        <v>19121</v>
      </c>
      <c r="E342" s="1">
        <f>Main_Data!E342</f>
        <v>3.2</v>
      </c>
      <c r="F342" s="1">
        <f>Main_Data!F342</f>
        <v>64</v>
      </c>
      <c r="G342" s="1">
        <f>Main_Data!G342</f>
        <v>897075017</v>
      </c>
      <c r="H342" s="1">
        <f>Main_Data!H342</f>
        <v>60</v>
      </c>
      <c r="I342" s="1">
        <f>Main_Data!I342</f>
        <v>20.100000000000001</v>
      </c>
      <c r="J342" s="1">
        <f>Main_Data!J342</f>
        <v>80</v>
      </c>
      <c r="K342" s="1">
        <f>Main_Data!K342</f>
        <v>51</v>
      </c>
      <c r="L342" s="1" t="str">
        <f>Main_Data!L342</f>
        <v>Asia</v>
      </c>
      <c r="M342" s="1" t="str">
        <f>PROPER(TRIM(Main_Data!A342))</f>
        <v>India</v>
      </c>
      <c r="N342" s="1" t="str">
        <f>PROPER(TRIM(Main_Data!B342))</f>
        <v>South Asia</v>
      </c>
      <c r="O342" s="1" t="str" cm="1">
        <f t="array" ref="O342">_xlfn.IFS(F342&gt;=80,"Very High",F342&gt;=70,"High",F342&gt;=60,"Medium",TRUE,"Low")</f>
        <v>Medium</v>
      </c>
      <c r="P342" s="1" t="str" cm="1">
        <f t="array" ref="P342">_xlfn.IFS(D342&gt;=40000,"High Income",D342&gt;=15000,"Middle Income",TRUE,"Low Income")</f>
        <v>Middle Income</v>
      </c>
      <c r="Q342" s="1" t="str">
        <f t="shared" si="5"/>
        <v>Duplicate</v>
      </c>
    </row>
    <row r="343" spans="1:17" x14ac:dyDescent="0.25">
      <c r="A343" s="1" t="str">
        <f>Main_Data!A343</f>
        <v>USA</v>
      </c>
      <c r="B343" s="1" t="str">
        <f>Main_Data!B343</f>
        <v>North America</v>
      </c>
      <c r="C343" s="1">
        <f>Main_Data!C343</f>
        <v>2021</v>
      </c>
      <c r="D343" s="1">
        <f>Main_Data!D343</f>
        <v>41996</v>
      </c>
      <c r="E343" s="1">
        <f>Main_Data!E343</f>
        <v>13.4</v>
      </c>
      <c r="F343" s="1">
        <f>Main_Data!F343</f>
        <v>85</v>
      </c>
      <c r="G343" s="1">
        <f>Main_Data!G343</f>
        <v>577123435</v>
      </c>
      <c r="H343" s="1">
        <f>Main_Data!H343</f>
        <v>62</v>
      </c>
      <c r="I343" s="1">
        <f>Main_Data!I343</f>
        <v>13.7</v>
      </c>
      <c r="J343" s="1">
        <f>Main_Data!J343</f>
        <v>76</v>
      </c>
      <c r="K343" s="1">
        <f>Main_Data!K343</f>
        <v>39</v>
      </c>
      <c r="L343" s="1" t="str">
        <f>Main_Data!L343</f>
        <v>North America</v>
      </c>
      <c r="M343" s="1" t="str">
        <f>PROPER(TRIM(Main_Data!A343))</f>
        <v>Usa</v>
      </c>
      <c r="N343" s="1" t="str">
        <f>PROPER(TRIM(Main_Data!B343))</f>
        <v>North America</v>
      </c>
      <c r="O343" s="1" t="str" cm="1">
        <f t="array" ref="O343">_xlfn.IFS(F343&gt;=80,"Very High",F343&gt;=70,"High",F343&gt;=60,"Medium",TRUE,"Low")</f>
        <v>Very High</v>
      </c>
      <c r="P343" s="1" t="str" cm="1">
        <f t="array" ref="P343">_xlfn.IFS(D343&gt;=40000,"High Income",D343&gt;=15000,"Middle Income",TRUE,"Low Income")</f>
        <v>High Income</v>
      </c>
      <c r="Q343" s="1" t="str">
        <f t="shared" si="5"/>
        <v>Duplicate</v>
      </c>
    </row>
    <row r="344" spans="1:17" x14ac:dyDescent="0.25">
      <c r="A344" s="1" t="str">
        <f>Main_Data!A344</f>
        <v>Germany</v>
      </c>
      <c r="B344" s="1" t="str">
        <f>Main_Data!B344</f>
        <v>Europe</v>
      </c>
      <c r="C344" s="1">
        <f>Main_Data!C344</f>
        <v>2021</v>
      </c>
      <c r="D344" s="1">
        <f>Main_Data!D344</f>
        <v>6464</v>
      </c>
      <c r="E344" s="1">
        <f>Main_Data!E344</f>
        <v>11.6</v>
      </c>
      <c r="F344" s="1">
        <f>Main_Data!F344</f>
        <v>69</v>
      </c>
      <c r="G344" s="1">
        <f>Main_Data!G344</f>
        <v>127849080</v>
      </c>
      <c r="H344" s="1">
        <f>Main_Data!H344</f>
        <v>64</v>
      </c>
      <c r="I344" s="1">
        <f>Main_Data!I344</f>
        <v>20.6</v>
      </c>
      <c r="J344" s="1">
        <f>Main_Data!J344</f>
        <v>72</v>
      </c>
      <c r="K344" s="1">
        <f>Main_Data!K344</f>
        <v>55</v>
      </c>
      <c r="L344" s="1" t="str">
        <f>Main_Data!L344</f>
        <v>Europe</v>
      </c>
      <c r="M344" s="1" t="str">
        <f>PROPER(TRIM(Main_Data!A344))</f>
        <v>Germany</v>
      </c>
      <c r="N344" s="1" t="str">
        <f>PROPER(TRIM(Main_Data!B344))</f>
        <v>Europe</v>
      </c>
      <c r="O344" s="1" t="str" cm="1">
        <f t="array" ref="O344">_xlfn.IFS(F344&gt;=80,"Very High",F344&gt;=70,"High",F344&gt;=60,"Medium",TRUE,"Low")</f>
        <v>Medium</v>
      </c>
      <c r="P344" s="1" t="str" cm="1">
        <f t="array" ref="P344">_xlfn.IFS(D344&gt;=40000,"High Income",D344&gt;=15000,"Middle Income",TRUE,"Low Income")</f>
        <v>Low Income</v>
      </c>
      <c r="Q344" s="1" t="str">
        <f t="shared" si="5"/>
        <v>Duplicate</v>
      </c>
    </row>
    <row r="345" spans="1:17" x14ac:dyDescent="0.25">
      <c r="A345" s="1" t="str">
        <f>Main_Data!A345</f>
        <v>Brazil</v>
      </c>
      <c r="B345" s="1" t="str">
        <f>Main_Data!B345</f>
        <v>South America</v>
      </c>
      <c r="C345" s="1">
        <f>Main_Data!C345</f>
        <v>2022</v>
      </c>
      <c r="D345" s="1">
        <f>Main_Data!D345</f>
        <v>31097</v>
      </c>
      <c r="E345" s="1">
        <f>Main_Data!E345</f>
        <v>11.6</v>
      </c>
      <c r="F345" s="1">
        <f>Main_Data!F345</f>
        <v>76</v>
      </c>
      <c r="G345" s="1">
        <f>Main_Data!G345</f>
        <v>459994120</v>
      </c>
      <c r="H345" s="1">
        <f>Main_Data!H345</f>
        <v>67</v>
      </c>
      <c r="I345" s="1">
        <f>Main_Data!I345</f>
        <v>22.8</v>
      </c>
      <c r="J345" s="1">
        <f>Main_Data!J345</f>
        <v>77</v>
      </c>
      <c r="K345" s="1">
        <f>Main_Data!K345</f>
        <v>84</v>
      </c>
      <c r="L345" s="1" t="str">
        <f>Main_Data!L345</f>
        <v>South America</v>
      </c>
      <c r="M345" s="1" t="str">
        <f>PROPER(TRIM(Main_Data!A345))</f>
        <v>Brazil</v>
      </c>
      <c r="N345" s="1" t="str">
        <f>PROPER(TRIM(Main_Data!B345))</f>
        <v>South America</v>
      </c>
      <c r="O345" s="1" t="str" cm="1">
        <f t="array" ref="O345">_xlfn.IFS(F345&gt;=80,"Very High",F345&gt;=70,"High",F345&gt;=60,"Medium",TRUE,"Low")</f>
        <v>High</v>
      </c>
      <c r="P345" s="1" t="str" cm="1">
        <f t="array" ref="P345">_xlfn.IFS(D345&gt;=40000,"High Income",D345&gt;=15000,"Middle Income",TRUE,"Low Income")</f>
        <v>Middle Income</v>
      </c>
      <c r="Q345" s="1" t="str">
        <f t="shared" si="5"/>
        <v>Duplicate</v>
      </c>
    </row>
    <row r="346" spans="1:17" x14ac:dyDescent="0.25">
      <c r="A346" s="1" t="str">
        <f>Main_Data!A346</f>
        <v>China</v>
      </c>
      <c r="B346" s="1" t="str">
        <f>Main_Data!B346</f>
        <v>East Asia</v>
      </c>
      <c r="C346" s="1">
        <f>Main_Data!C346</f>
        <v>2020</v>
      </c>
      <c r="D346" s="1">
        <f>Main_Data!D346</f>
        <v>31723</v>
      </c>
      <c r="E346" s="1">
        <f>Main_Data!E346</f>
        <v>14.9</v>
      </c>
      <c r="F346" s="1">
        <f>Main_Data!F346</f>
        <v>82</v>
      </c>
      <c r="G346" s="1">
        <f>Main_Data!G346</f>
        <v>1357989704</v>
      </c>
      <c r="H346" s="1">
        <f>Main_Data!H346</f>
        <v>59</v>
      </c>
      <c r="I346" s="1">
        <f>Main_Data!I346</f>
        <v>24.2</v>
      </c>
      <c r="J346" s="1">
        <f>Main_Data!J346</f>
        <v>74</v>
      </c>
      <c r="K346" s="1">
        <f>Main_Data!K346</f>
        <v>60</v>
      </c>
      <c r="L346" s="1" t="str">
        <f>Main_Data!L346</f>
        <v>Asia</v>
      </c>
      <c r="M346" s="1" t="str">
        <f>PROPER(TRIM(Main_Data!A346))</f>
        <v>China</v>
      </c>
      <c r="N346" s="1" t="str">
        <f>PROPER(TRIM(Main_Data!B346))</f>
        <v>East Asia</v>
      </c>
      <c r="O346" s="1" t="str" cm="1">
        <f t="array" ref="O346">_xlfn.IFS(F346&gt;=80,"Very High",F346&gt;=70,"High",F346&gt;=60,"Medium",TRUE,"Low")</f>
        <v>Very High</v>
      </c>
      <c r="P346" s="1" t="str" cm="1">
        <f t="array" ref="P346">_xlfn.IFS(D346&gt;=40000,"High Income",D346&gt;=15000,"Middle Income",TRUE,"Low Income")</f>
        <v>Middle Income</v>
      </c>
      <c r="Q346" s="1" t="str">
        <f t="shared" si="5"/>
        <v>Duplicate</v>
      </c>
    </row>
    <row r="347" spans="1:17" x14ac:dyDescent="0.25">
      <c r="A347" s="1" t="str">
        <f>Main_Data!A347</f>
        <v>UK</v>
      </c>
      <c r="B347" s="1" t="str">
        <f>Main_Data!B347</f>
        <v>Europe</v>
      </c>
      <c r="C347" s="1">
        <f>Main_Data!C347</f>
        <v>2020</v>
      </c>
      <c r="D347" s="1">
        <f>Main_Data!D347</f>
        <v>16904</v>
      </c>
      <c r="E347" s="1">
        <f>Main_Data!E347</f>
        <v>12.5</v>
      </c>
      <c r="F347" s="1">
        <f>Main_Data!F347</f>
        <v>63</v>
      </c>
      <c r="G347" s="1">
        <f>Main_Data!G347</f>
        <v>440790761</v>
      </c>
      <c r="H347" s="1">
        <f>Main_Data!H347</f>
        <v>81</v>
      </c>
      <c r="I347" s="1">
        <f>Main_Data!I347</f>
        <v>23</v>
      </c>
      <c r="J347" s="1">
        <f>Main_Data!J347</f>
        <v>87</v>
      </c>
      <c r="K347" s="1">
        <f>Main_Data!K347</f>
        <v>62</v>
      </c>
      <c r="L347" s="1" t="str">
        <f>Main_Data!L347</f>
        <v>Europe</v>
      </c>
      <c r="M347" s="1" t="str">
        <f>PROPER(TRIM(Main_Data!A347))</f>
        <v>Uk</v>
      </c>
      <c r="N347" s="1" t="str">
        <f>PROPER(TRIM(Main_Data!B347))</f>
        <v>Europe</v>
      </c>
      <c r="O347" s="1" t="str" cm="1">
        <f t="array" ref="O347">_xlfn.IFS(F347&gt;=80,"Very High",F347&gt;=70,"High",F347&gt;=60,"Medium",TRUE,"Low")</f>
        <v>Medium</v>
      </c>
      <c r="P347" s="1" t="str" cm="1">
        <f t="array" ref="P347">_xlfn.IFS(D347&gt;=40000,"High Income",D347&gt;=15000,"Middle Income",TRUE,"Low Income")</f>
        <v>Middle Income</v>
      </c>
      <c r="Q347" s="1" t="str">
        <f t="shared" si="5"/>
        <v>Duplicate</v>
      </c>
    </row>
    <row r="348" spans="1:17" x14ac:dyDescent="0.25">
      <c r="A348" s="1" t="str">
        <f>Main_Data!A348</f>
        <v>Canada</v>
      </c>
      <c r="B348" s="1" t="str">
        <f>Main_Data!B348</f>
        <v>North America</v>
      </c>
      <c r="C348" s="1">
        <f>Main_Data!C348</f>
        <v>2022</v>
      </c>
      <c r="D348" s="1">
        <f>Main_Data!D348</f>
        <v>25858</v>
      </c>
      <c r="E348" s="1">
        <f>Main_Data!E348</f>
        <v>14.1</v>
      </c>
      <c r="F348" s="1">
        <f>Main_Data!F348</f>
        <v>79</v>
      </c>
      <c r="G348" s="1">
        <f>Main_Data!G348</f>
        <v>215994106</v>
      </c>
      <c r="H348" s="1">
        <f>Main_Data!H348</f>
        <v>90</v>
      </c>
      <c r="I348" s="1">
        <f>Main_Data!I348</f>
        <v>14.4</v>
      </c>
      <c r="J348" s="1">
        <f>Main_Data!J348</f>
        <v>89</v>
      </c>
      <c r="K348" s="1">
        <f>Main_Data!K348</f>
        <v>60</v>
      </c>
      <c r="L348" s="1" t="str">
        <f>Main_Data!L348</f>
        <v>North America</v>
      </c>
      <c r="M348" s="1" t="str">
        <f>PROPER(TRIM(Main_Data!A348))</f>
        <v>Canada</v>
      </c>
      <c r="N348" s="1" t="str">
        <f>PROPER(TRIM(Main_Data!B348))</f>
        <v>North America</v>
      </c>
      <c r="O348" s="1" t="str" cm="1">
        <f t="array" ref="O348">_xlfn.IFS(F348&gt;=80,"Very High",F348&gt;=70,"High",F348&gt;=60,"Medium",TRUE,"Low")</f>
        <v>High</v>
      </c>
      <c r="P348" s="1" t="str" cm="1">
        <f t="array" ref="P348">_xlfn.IFS(D348&gt;=40000,"High Income",D348&gt;=15000,"Middle Income",TRUE,"Low Income")</f>
        <v>Middle Income</v>
      </c>
      <c r="Q348" s="1" t="str">
        <f t="shared" si="5"/>
        <v>Duplicate</v>
      </c>
    </row>
    <row r="349" spans="1:17" x14ac:dyDescent="0.25">
      <c r="A349" s="1" t="str">
        <f>Main_Data!A349</f>
        <v>Australia</v>
      </c>
      <c r="B349" s="1" t="str">
        <f>Main_Data!B349</f>
        <v>Oceania</v>
      </c>
      <c r="C349" s="1">
        <f>Main_Data!C349</f>
        <v>2020</v>
      </c>
      <c r="D349" s="1">
        <f>Main_Data!D349</f>
        <v>39090</v>
      </c>
      <c r="E349" s="1">
        <f>Main_Data!E349</f>
        <v>6.3</v>
      </c>
      <c r="F349" s="1">
        <f>Main_Data!F349</f>
        <v>81</v>
      </c>
      <c r="G349" s="1">
        <f>Main_Data!G349</f>
        <v>1476134950</v>
      </c>
      <c r="H349" s="1">
        <f>Main_Data!H349</f>
        <v>94</v>
      </c>
      <c r="I349" s="1">
        <f>Main_Data!I349</f>
        <v>2.2999999999999998</v>
      </c>
      <c r="J349" s="1">
        <f>Main_Data!J349</f>
        <v>88</v>
      </c>
      <c r="K349" s="1">
        <f>Main_Data!K349</f>
        <v>67</v>
      </c>
      <c r="L349" s="1" t="str">
        <f>Main_Data!L349</f>
        <v>Oceania</v>
      </c>
      <c r="M349" s="1" t="str">
        <f>PROPER(TRIM(Main_Data!A349))</f>
        <v>Australia</v>
      </c>
      <c r="N349" s="1" t="str">
        <f>PROPER(TRIM(Main_Data!B349))</f>
        <v>Oceania</v>
      </c>
      <c r="O349" s="1" t="str" cm="1">
        <f t="array" ref="O349">_xlfn.IFS(F349&gt;=80,"Very High",F349&gt;=70,"High",F349&gt;=60,"Medium",TRUE,"Low")</f>
        <v>Very High</v>
      </c>
      <c r="P349" s="1" t="str" cm="1">
        <f t="array" ref="P349">_xlfn.IFS(D349&gt;=40000,"High Income",D349&gt;=15000,"Middle Income",TRUE,"Low Income")</f>
        <v>Middle Income</v>
      </c>
      <c r="Q349" s="1" t="str">
        <f t="shared" si="5"/>
        <v>Duplicate</v>
      </c>
    </row>
    <row r="350" spans="1:17" x14ac:dyDescent="0.25">
      <c r="A350" s="1" t="str">
        <f>Main_Data!A350</f>
        <v>Japan</v>
      </c>
      <c r="B350" s="1" t="str">
        <f>Main_Data!B350</f>
        <v>East Asia</v>
      </c>
      <c r="C350" s="1">
        <f>Main_Data!C350</f>
        <v>2020</v>
      </c>
      <c r="D350" s="1">
        <f>Main_Data!D350</f>
        <v>57924</v>
      </c>
      <c r="E350" s="1">
        <f>Main_Data!E350</f>
        <v>16</v>
      </c>
      <c r="F350" s="1">
        <f>Main_Data!F350</f>
        <v>77</v>
      </c>
      <c r="G350" s="1">
        <f>Main_Data!G350</f>
        <v>1413813761</v>
      </c>
      <c r="H350" s="1">
        <f>Main_Data!H350</f>
        <v>58</v>
      </c>
      <c r="I350" s="1">
        <f>Main_Data!I350</f>
        <v>20.7</v>
      </c>
      <c r="J350" s="1">
        <f>Main_Data!J350</f>
        <v>74</v>
      </c>
      <c r="K350" s="1">
        <f>Main_Data!K350</f>
        <v>40</v>
      </c>
      <c r="L350" s="1" t="str">
        <f>Main_Data!L350</f>
        <v>Asia</v>
      </c>
      <c r="M350" s="1" t="str">
        <f>PROPER(TRIM(Main_Data!A350))</f>
        <v>Japan</v>
      </c>
      <c r="N350" s="1" t="str">
        <f>PROPER(TRIM(Main_Data!B350))</f>
        <v>East Asia</v>
      </c>
      <c r="O350" s="1" t="str" cm="1">
        <f t="array" ref="O350">_xlfn.IFS(F350&gt;=80,"Very High",F350&gt;=70,"High",F350&gt;=60,"Medium",TRUE,"Low")</f>
        <v>High</v>
      </c>
      <c r="P350" s="1" t="str" cm="1">
        <f t="array" ref="P350">_xlfn.IFS(D350&gt;=40000,"High Income",D350&gt;=15000,"Middle Income",TRUE,"Low Income")</f>
        <v>High Income</v>
      </c>
      <c r="Q350" s="1" t="str">
        <f t="shared" si="5"/>
        <v>Duplicate</v>
      </c>
    </row>
    <row r="351" spans="1:17" x14ac:dyDescent="0.25">
      <c r="A351" s="1" t="str">
        <f>Main_Data!A351</f>
        <v>South Africa</v>
      </c>
      <c r="B351" s="1" t="str">
        <f>Main_Data!B351</f>
        <v>Africa</v>
      </c>
      <c r="C351" s="1">
        <f>Main_Data!C351</f>
        <v>2021</v>
      </c>
      <c r="D351" s="1">
        <f>Main_Data!D351</f>
        <v>21162</v>
      </c>
      <c r="E351" s="1">
        <f>Main_Data!E351</f>
        <v>6.3</v>
      </c>
      <c r="F351" s="1">
        <f>Main_Data!F351</f>
        <v>83</v>
      </c>
      <c r="G351" s="1">
        <f>Main_Data!G351</f>
        <v>27917842</v>
      </c>
      <c r="H351" s="1">
        <f>Main_Data!H351</f>
        <v>64</v>
      </c>
      <c r="I351" s="1">
        <f>Main_Data!I351</f>
        <v>20.5</v>
      </c>
      <c r="J351" s="1">
        <f>Main_Data!J351</f>
        <v>100</v>
      </c>
      <c r="K351" s="1">
        <f>Main_Data!K351</f>
        <v>74</v>
      </c>
      <c r="L351" s="1" t="str">
        <f>Main_Data!L351</f>
        <v>Africa</v>
      </c>
      <c r="M351" s="1" t="str">
        <f>PROPER(TRIM(Main_Data!A351))</f>
        <v>South Africa</v>
      </c>
      <c r="N351" s="1" t="str">
        <f>PROPER(TRIM(Main_Data!B351))</f>
        <v>Africa</v>
      </c>
      <c r="O351" s="1" t="str" cm="1">
        <f t="array" ref="O351">_xlfn.IFS(F351&gt;=80,"Very High",F351&gt;=70,"High",F351&gt;=60,"Medium",TRUE,"Low")</f>
        <v>Very High</v>
      </c>
      <c r="P351" s="1" t="str" cm="1">
        <f t="array" ref="P351">_xlfn.IFS(D351&gt;=40000,"High Income",D351&gt;=15000,"Middle Income",TRUE,"Low Income")</f>
        <v>Middle Income</v>
      </c>
      <c r="Q351" s="1" t="str">
        <f t="shared" si="5"/>
        <v>Duplicate</v>
      </c>
    </row>
    <row r="352" spans="1:17" x14ac:dyDescent="0.25">
      <c r="A352" s="1" t="str">
        <f>Main_Data!A352</f>
        <v>India</v>
      </c>
      <c r="B352" s="1" t="str">
        <f>Main_Data!B352</f>
        <v>South Asia</v>
      </c>
      <c r="C352" s="1">
        <f>Main_Data!C352</f>
        <v>2021</v>
      </c>
      <c r="D352" s="1">
        <f>Main_Data!D352</f>
        <v>55873</v>
      </c>
      <c r="E352" s="1">
        <f>Main_Data!E352</f>
        <v>5.4</v>
      </c>
      <c r="F352" s="1">
        <f>Main_Data!F352</f>
        <v>69</v>
      </c>
      <c r="G352" s="1">
        <f>Main_Data!G352</f>
        <v>218491208</v>
      </c>
      <c r="H352" s="1">
        <f>Main_Data!H352</f>
        <v>94</v>
      </c>
      <c r="I352" s="1">
        <f>Main_Data!I352</f>
        <v>16.3</v>
      </c>
      <c r="J352" s="1">
        <f>Main_Data!J352</f>
        <v>86</v>
      </c>
      <c r="K352" s="1">
        <f>Main_Data!K352</f>
        <v>88</v>
      </c>
      <c r="L352" s="1" t="str">
        <f>Main_Data!L352</f>
        <v>Asia</v>
      </c>
      <c r="M352" s="1" t="str">
        <f>PROPER(TRIM(Main_Data!A352))</f>
        <v>India</v>
      </c>
      <c r="N352" s="1" t="str">
        <f>PROPER(TRIM(Main_Data!B352))</f>
        <v>South Asia</v>
      </c>
      <c r="O352" s="1" t="str" cm="1">
        <f t="array" ref="O352">_xlfn.IFS(F352&gt;=80,"Very High",F352&gt;=70,"High",F352&gt;=60,"Medium",TRUE,"Low")</f>
        <v>Medium</v>
      </c>
      <c r="P352" s="1" t="str" cm="1">
        <f t="array" ref="P352">_xlfn.IFS(D352&gt;=40000,"High Income",D352&gt;=15000,"Middle Income",TRUE,"Low Income")</f>
        <v>High Income</v>
      </c>
      <c r="Q352" s="1" t="str">
        <f t="shared" si="5"/>
        <v>Duplicate</v>
      </c>
    </row>
    <row r="353" spans="1:17" x14ac:dyDescent="0.25">
      <c r="A353" s="1" t="str">
        <f>Main_Data!A353</f>
        <v>USA</v>
      </c>
      <c r="B353" s="1" t="str">
        <f>Main_Data!B353</f>
        <v>North America</v>
      </c>
      <c r="C353" s="1">
        <f>Main_Data!C353</f>
        <v>2022</v>
      </c>
      <c r="D353" s="1">
        <f>Main_Data!D353</f>
        <v>47245</v>
      </c>
      <c r="E353" s="1">
        <f>Main_Data!E353</f>
        <v>13.6</v>
      </c>
      <c r="F353" s="1">
        <f>Main_Data!F353</f>
        <v>60</v>
      </c>
      <c r="G353" s="1">
        <f>Main_Data!G353</f>
        <v>401373216</v>
      </c>
      <c r="H353" s="1">
        <f>Main_Data!H353</f>
        <v>66</v>
      </c>
      <c r="I353" s="1">
        <f>Main_Data!I353</f>
        <v>12.6</v>
      </c>
      <c r="J353" s="1">
        <f>Main_Data!J353</f>
        <v>80</v>
      </c>
      <c r="K353" s="1">
        <f>Main_Data!K353</f>
        <v>78</v>
      </c>
      <c r="L353" s="1" t="str">
        <f>Main_Data!L353</f>
        <v>North America</v>
      </c>
      <c r="M353" s="1" t="str">
        <f>PROPER(TRIM(Main_Data!A353))</f>
        <v>Usa</v>
      </c>
      <c r="N353" s="1" t="str">
        <f>PROPER(TRIM(Main_Data!B353))</f>
        <v>North America</v>
      </c>
      <c r="O353" s="1" t="str" cm="1">
        <f t="array" ref="O353">_xlfn.IFS(F353&gt;=80,"Very High",F353&gt;=70,"High",F353&gt;=60,"Medium",TRUE,"Low")</f>
        <v>Medium</v>
      </c>
      <c r="P353" s="1" t="str" cm="1">
        <f t="array" ref="P353">_xlfn.IFS(D353&gt;=40000,"High Income",D353&gt;=15000,"Middle Income",TRUE,"Low Income")</f>
        <v>High Income</v>
      </c>
      <c r="Q353" s="1" t="str">
        <f t="shared" si="5"/>
        <v>Duplicate</v>
      </c>
    </row>
    <row r="354" spans="1:17" x14ac:dyDescent="0.25">
      <c r="A354" s="1" t="str">
        <f>Main_Data!A354</f>
        <v>Germany</v>
      </c>
      <c r="B354" s="1" t="str">
        <f>Main_Data!B354</f>
        <v>Europe</v>
      </c>
      <c r="C354" s="1">
        <f>Main_Data!C354</f>
        <v>2020</v>
      </c>
      <c r="D354" s="1">
        <f>Main_Data!D354</f>
        <v>66912</v>
      </c>
      <c r="E354" s="1">
        <f>Main_Data!E354</f>
        <v>14</v>
      </c>
      <c r="F354" s="1">
        <f>Main_Data!F354</f>
        <v>70</v>
      </c>
      <c r="G354" s="1">
        <f>Main_Data!G354</f>
        <v>893992750</v>
      </c>
      <c r="H354" s="1">
        <f>Main_Data!H354</f>
        <v>58</v>
      </c>
      <c r="I354" s="1">
        <f>Main_Data!I354</f>
        <v>3.6</v>
      </c>
      <c r="J354" s="1">
        <f>Main_Data!J354</f>
        <v>94</v>
      </c>
      <c r="K354" s="1">
        <f>Main_Data!K354</f>
        <v>58</v>
      </c>
      <c r="L354" s="1" t="str">
        <f>Main_Data!L354</f>
        <v>Europe</v>
      </c>
      <c r="M354" s="1" t="str">
        <f>PROPER(TRIM(Main_Data!A354))</f>
        <v>Germany</v>
      </c>
      <c r="N354" s="1" t="str">
        <f>PROPER(TRIM(Main_Data!B354))</f>
        <v>Europe</v>
      </c>
      <c r="O354" s="1" t="str" cm="1">
        <f t="array" ref="O354">_xlfn.IFS(F354&gt;=80,"Very High",F354&gt;=70,"High",F354&gt;=60,"Medium",TRUE,"Low")</f>
        <v>High</v>
      </c>
      <c r="P354" s="1" t="str" cm="1">
        <f t="array" ref="P354">_xlfn.IFS(D354&gt;=40000,"High Income",D354&gt;=15000,"Middle Income",TRUE,"Low Income")</f>
        <v>High Income</v>
      </c>
      <c r="Q354" s="1" t="str">
        <f t="shared" si="5"/>
        <v>Duplicate</v>
      </c>
    </row>
    <row r="355" spans="1:17" x14ac:dyDescent="0.25">
      <c r="A355" s="1" t="str">
        <f>Main_Data!A355</f>
        <v>Brazil</v>
      </c>
      <c r="B355" s="1" t="str">
        <f>Main_Data!B355</f>
        <v>South America</v>
      </c>
      <c r="C355" s="1">
        <f>Main_Data!C355</f>
        <v>2022</v>
      </c>
      <c r="D355" s="1">
        <f>Main_Data!D355</f>
        <v>46344</v>
      </c>
      <c r="E355" s="1">
        <f>Main_Data!E355</f>
        <v>10.7</v>
      </c>
      <c r="F355" s="1">
        <f>Main_Data!F355</f>
        <v>65</v>
      </c>
      <c r="G355" s="1">
        <f>Main_Data!G355</f>
        <v>701763525</v>
      </c>
      <c r="H355" s="1">
        <f>Main_Data!H355</f>
        <v>86</v>
      </c>
      <c r="I355" s="1">
        <f>Main_Data!I355</f>
        <v>12.6</v>
      </c>
      <c r="J355" s="1">
        <f>Main_Data!J355</f>
        <v>90</v>
      </c>
      <c r="K355" s="1">
        <f>Main_Data!K355</f>
        <v>35</v>
      </c>
      <c r="L355" s="1" t="str">
        <f>Main_Data!L355</f>
        <v>South America</v>
      </c>
      <c r="M355" s="1" t="str">
        <f>PROPER(TRIM(Main_Data!A355))</f>
        <v>Brazil</v>
      </c>
      <c r="N355" s="1" t="str">
        <f>PROPER(TRIM(Main_Data!B355))</f>
        <v>South America</v>
      </c>
      <c r="O355" s="1" t="str" cm="1">
        <f t="array" ref="O355">_xlfn.IFS(F355&gt;=80,"Very High",F355&gt;=70,"High",F355&gt;=60,"Medium",TRUE,"Low")</f>
        <v>Medium</v>
      </c>
      <c r="P355" s="1" t="str" cm="1">
        <f t="array" ref="P355">_xlfn.IFS(D355&gt;=40000,"High Income",D355&gt;=15000,"Middle Income",TRUE,"Low Income")</f>
        <v>High Income</v>
      </c>
      <c r="Q355" s="1" t="str">
        <f t="shared" si="5"/>
        <v>Duplicate</v>
      </c>
    </row>
    <row r="356" spans="1:17" x14ac:dyDescent="0.25">
      <c r="A356" s="1" t="str">
        <f>Main_Data!A356</f>
        <v>China</v>
      </c>
      <c r="B356" s="1" t="str">
        <f>Main_Data!B356</f>
        <v>East Asia</v>
      </c>
      <c r="C356" s="1">
        <f>Main_Data!C356</f>
        <v>2022</v>
      </c>
      <c r="D356" s="1">
        <f>Main_Data!D356</f>
        <v>25337</v>
      </c>
      <c r="E356" s="1">
        <f>Main_Data!E356</f>
        <v>4.9000000000000004</v>
      </c>
      <c r="F356" s="1">
        <f>Main_Data!F356</f>
        <v>76</v>
      </c>
      <c r="G356" s="1">
        <f>Main_Data!G356</f>
        <v>856009677</v>
      </c>
      <c r="H356" s="1">
        <f>Main_Data!H356</f>
        <v>84</v>
      </c>
      <c r="I356" s="1">
        <f>Main_Data!I356</f>
        <v>12</v>
      </c>
      <c r="J356" s="1">
        <f>Main_Data!J356</f>
        <v>77</v>
      </c>
      <c r="K356" s="1">
        <f>Main_Data!K356</f>
        <v>33</v>
      </c>
      <c r="L356" s="1" t="str">
        <f>Main_Data!L356</f>
        <v>Asia</v>
      </c>
      <c r="M356" s="1" t="str">
        <f>PROPER(TRIM(Main_Data!A356))</f>
        <v>China</v>
      </c>
      <c r="N356" s="1" t="str">
        <f>PROPER(TRIM(Main_Data!B356))</f>
        <v>East Asia</v>
      </c>
      <c r="O356" s="1" t="str" cm="1">
        <f t="array" ref="O356">_xlfn.IFS(F356&gt;=80,"Very High",F356&gt;=70,"High",F356&gt;=60,"Medium",TRUE,"Low")</f>
        <v>High</v>
      </c>
      <c r="P356" s="1" t="str" cm="1">
        <f t="array" ref="P356">_xlfn.IFS(D356&gt;=40000,"High Income",D356&gt;=15000,"Middle Income",TRUE,"Low Income")</f>
        <v>Middle Income</v>
      </c>
      <c r="Q356" s="1" t="str">
        <f t="shared" si="5"/>
        <v>Duplicate</v>
      </c>
    </row>
    <row r="357" spans="1:17" x14ac:dyDescent="0.25">
      <c r="A357" s="1" t="str">
        <f>Main_Data!A357</f>
        <v>UK</v>
      </c>
      <c r="B357" s="1" t="str">
        <f>Main_Data!B357</f>
        <v>Europe</v>
      </c>
      <c r="C357" s="1">
        <f>Main_Data!C357</f>
        <v>2021</v>
      </c>
      <c r="D357" s="1">
        <f>Main_Data!D357</f>
        <v>60407</v>
      </c>
      <c r="E357" s="1">
        <f>Main_Data!E357</f>
        <v>10</v>
      </c>
      <c r="F357" s="1">
        <f>Main_Data!F357</f>
        <v>81</v>
      </c>
      <c r="G357" s="1">
        <f>Main_Data!G357</f>
        <v>83865122</v>
      </c>
      <c r="H357" s="1">
        <f>Main_Data!H357</f>
        <v>60</v>
      </c>
      <c r="I357" s="1">
        <f>Main_Data!I357</f>
        <v>10.6</v>
      </c>
      <c r="J357" s="1">
        <f>Main_Data!J357</f>
        <v>100</v>
      </c>
      <c r="K357" s="1">
        <f>Main_Data!K357</f>
        <v>81</v>
      </c>
      <c r="L357" s="1" t="str">
        <f>Main_Data!L357</f>
        <v>Europe</v>
      </c>
      <c r="M357" s="1" t="str">
        <f>PROPER(TRIM(Main_Data!A357))</f>
        <v>Uk</v>
      </c>
      <c r="N357" s="1" t="str">
        <f>PROPER(TRIM(Main_Data!B357))</f>
        <v>Europe</v>
      </c>
      <c r="O357" s="1" t="str" cm="1">
        <f t="array" ref="O357">_xlfn.IFS(F357&gt;=80,"Very High",F357&gt;=70,"High",F357&gt;=60,"Medium",TRUE,"Low")</f>
        <v>Very High</v>
      </c>
      <c r="P357" s="1" t="str" cm="1">
        <f t="array" ref="P357">_xlfn.IFS(D357&gt;=40000,"High Income",D357&gt;=15000,"Middle Income",TRUE,"Low Income")</f>
        <v>High Income</v>
      </c>
      <c r="Q357" s="1" t="str">
        <f t="shared" si="5"/>
        <v>Duplicate</v>
      </c>
    </row>
    <row r="358" spans="1:17" x14ac:dyDescent="0.25">
      <c r="A358" s="1" t="str">
        <f>Main_Data!A358</f>
        <v>Canada</v>
      </c>
      <c r="B358" s="1" t="str">
        <f>Main_Data!B358</f>
        <v>North America</v>
      </c>
      <c r="C358" s="1">
        <f>Main_Data!C358</f>
        <v>2022</v>
      </c>
      <c r="D358" s="1">
        <f>Main_Data!D358</f>
        <v>34173</v>
      </c>
      <c r="E358" s="1">
        <f>Main_Data!E358</f>
        <v>14.1</v>
      </c>
      <c r="F358" s="1">
        <f>Main_Data!F358</f>
        <v>68</v>
      </c>
      <c r="G358" s="1">
        <f>Main_Data!G358</f>
        <v>661590179</v>
      </c>
      <c r="H358" s="1">
        <f>Main_Data!H358</f>
        <v>60</v>
      </c>
      <c r="I358" s="1">
        <f>Main_Data!I358</f>
        <v>21.6</v>
      </c>
      <c r="J358" s="1">
        <f>Main_Data!J358</f>
        <v>100</v>
      </c>
      <c r="K358" s="1">
        <f>Main_Data!K358</f>
        <v>75</v>
      </c>
      <c r="L358" s="1" t="str">
        <f>Main_Data!L358</f>
        <v>North America</v>
      </c>
      <c r="M358" s="1" t="str">
        <f>PROPER(TRIM(Main_Data!A358))</f>
        <v>Canada</v>
      </c>
      <c r="N358" s="1" t="str">
        <f>PROPER(TRIM(Main_Data!B358))</f>
        <v>North America</v>
      </c>
      <c r="O358" s="1" t="str" cm="1">
        <f t="array" ref="O358">_xlfn.IFS(F358&gt;=80,"Very High",F358&gt;=70,"High",F358&gt;=60,"Medium",TRUE,"Low")</f>
        <v>Medium</v>
      </c>
      <c r="P358" s="1" t="str" cm="1">
        <f t="array" ref="P358">_xlfn.IFS(D358&gt;=40000,"High Income",D358&gt;=15000,"Middle Income",TRUE,"Low Income")</f>
        <v>Middle Income</v>
      </c>
      <c r="Q358" s="1" t="str">
        <f t="shared" si="5"/>
        <v>Duplicate</v>
      </c>
    </row>
    <row r="359" spans="1:17" x14ac:dyDescent="0.25">
      <c r="A359" s="1" t="str">
        <f>Main_Data!A359</f>
        <v>Australia</v>
      </c>
      <c r="B359" s="1" t="str">
        <f>Main_Data!B359</f>
        <v>Oceania</v>
      </c>
      <c r="C359" s="1">
        <f>Main_Data!C359</f>
        <v>2020</v>
      </c>
      <c r="D359" s="1">
        <f>Main_Data!D359</f>
        <v>9212</v>
      </c>
      <c r="E359" s="1">
        <f>Main_Data!E359</f>
        <v>8.1999999999999993</v>
      </c>
      <c r="F359" s="1">
        <f>Main_Data!F359</f>
        <v>81</v>
      </c>
      <c r="G359" s="1">
        <f>Main_Data!G359</f>
        <v>1116574399</v>
      </c>
      <c r="H359" s="1">
        <f>Main_Data!H359</f>
        <v>83</v>
      </c>
      <c r="I359" s="1">
        <f>Main_Data!I359</f>
        <v>2.4</v>
      </c>
      <c r="J359" s="1">
        <f>Main_Data!J359</f>
        <v>95</v>
      </c>
      <c r="K359" s="1">
        <f>Main_Data!K359</f>
        <v>31</v>
      </c>
      <c r="L359" s="1" t="str">
        <f>Main_Data!L359</f>
        <v>Oceania</v>
      </c>
      <c r="M359" s="1" t="str">
        <f>PROPER(TRIM(Main_Data!A359))</f>
        <v>Australia</v>
      </c>
      <c r="N359" s="1" t="str">
        <f>PROPER(TRIM(Main_Data!B359))</f>
        <v>Oceania</v>
      </c>
      <c r="O359" s="1" t="str" cm="1">
        <f t="array" ref="O359">_xlfn.IFS(F359&gt;=80,"Very High",F359&gt;=70,"High",F359&gt;=60,"Medium",TRUE,"Low")</f>
        <v>Very High</v>
      </c>
      <c r="P359" s="1" t="str" cm="1">
        <f t="array" ref="P359">_xlfn.IFS(D359&gt;=40000,"High Income",D359&gt;=15000,"Middle Income",TRUE,"Low Income")</f>
        <v>Low Income</v>
      </c>
      <c r="Q359" s="1" t="str">
        <f t="shared" si="5"/>
        <v>Duplicate</v>
      </c>
    </row>
    <row r="360" spans="1:17" x14ac:dyDescent="0.25">
      <c r="A360" s="1" t="str">
        <f>Main_Data!A360</f>
        <v>Japan</v>
      </c>
      <c r="B360" s="1" t="str">
        <f>Main_Data!B360</f>
        <v>East Asia</v>
      </c>
      <c r="C360" s="1">
        <f>Main_Data!C360</f>
        <v>2022</v>
      </c>
      <c r="D360" s="1">
        <f>Main_Data!D360</f>
        <v>62364</v>
      </c>
      <c r="E360" s="1">
        <f>Main_Data!E360</f>
        <v>13.8</v>
      </c>
      <c r="F360" s="1">
        <f>Main_Data!F360</f>
        <v>85</v>
      </c>
      <c r="G360" s="1">
        <f>Main_Data!G360</f>
        <v>94654996</v>
      </c>
      <c r="H360" s="1">
        <f>Main_Data!H360</f>
        <v>67</v>
      </c>
      <c r="I360" s="1">
        <f>Main_Data!I360</f>
        <v>12.7</v>
      </c>
      <c r="J360" s="1">
        <f>Main_Data!J360</f>
        <v>76</v>
      </c>
      <c r="K360" s="1">
        <f>Main_Data!K360</f>
        <v>63</v>
      </c>
      <c r="L360" s="1" t="str">
        <f>Main_Data!L360</f>
        <v>Asia</v>
      </c>
      <c r="M360" s="1" t="str">
        <f>PROPER(TRIM(Main_Data!A360))</f>
        <v>Japan</v>
      </c>
      <c r="N360" s="1" t="str">
        <f>PROPER(TRIM(Main_Data!B360))</f>
        <v>East Asia</v>
      </c>
      <c r="O360" s="1" t="str" cm="1">
        <f t="array" ref="O360">_xlfn.IFS(F360&gt;=80,"Very High",F360&gt;=70,"High",F360&gt;=60,"Medium",TRUE,"Low")</f>
        <v>Very High</v>
      </c>
      <c r="P360" s="1" t="str" cm="1">
        <f t="array" ref="P360">_xlfn.IFS(D360&gt;=40000,"High Income",D360&gt;=15000,"Middle Income",TRUE,"Low Income")</f>
        <v>High Income</v>
      </c>
      <c r="Q360" s="1" t="str">
        <f t="shared" si="5"/>
        <v>Duplicate</v>
      </c>
    </row>
    <row r="361" spans="1:17" x14ac:dyDescent="0.25">
      <c r="A361" s="1" t="str">
        <f>Main_Data!A361</f>
        <v>South Africa</v>
      </c>
      <c r="B361" s="1" t="str">
        <f>Main_Data!B361</f>
        <v>Africa</v>
      </c>
      <c r="C361" s="1">
        <f>Main_Data!C361</f>
        <v>2022</v>
      </c>
      <c r="D361" s="1">
        <f>Main_Data!D361</f>
        <v>22421</v>
      </c>
      <c r="E361" s="1">
        <f>Main_Data!E361</f>
        <v>9.6</v>
      </c>
      <c r="F361" s="1">
        <f>Main_Data!F361</f>
        <v>71</v>
      </c>
      <c r="G361" s="1">
        <f>Main_Data!G361</f>
        <v>1003413259</v>
      </c>
      <c r="H361" s="1">
        <f>Main_Data!H361</f>
        <v>75</v>
      </c>
      <c r="I361" s="1">
        <f>Main_Data!I361</f>
        <v>15.9</v>
      </c>
      <c r="J361" s="1">
        <f>Main_Data!J361</f>
        <v>97</v>
      </c>
      <c r="K361" s="1">
        <f>Main_Data!K361</f>
        <v>53</v>
      </c>
      <c r="L361" s="1" t="str">
        <f>Main_Data!L361</f>
        <v>Africa</v>
      </c>
      <c r="M361" s="1" t="str">
        <f>PROPER(TRIM(Main_Data!A361))</f>
        <v>South Africa</v>
      </c>
      <c r="N361" s="1" t="str">
        <f>PROPER(TRIM(Main_Data!B361))</f>
        <v>Africa</v>
      </c>
      <c r="O361" s="1" t="str" cm="1">
        <f t="array" ref="O361">_xlfn.IFS(F361&gt;=80,"Very High",F361&gt;=70,"High",F361&gt;=60,"Medium",TRUE,"Low")</f>
        <v>High</v>
      </c>
      <c r="P361" s="1" t="str" cm="1">
        <f t="array" ref="P361">_xlfn.IFS(D361&gt;=40000,"High Income",D361&gt;=15000,"Middle Income",TRUE,"Low Income")</f>
        <v>Middle Income</v>
      </c>
      <c r="Q361" s="1" t="str">
        <f t="shared" si="5"/>
        <v>Duplicate</v>
      </c>
    </row>
    <row r="362" spans="1:17" x14ac:dyDescent="0.25">
      <c r="A362" s="1" t="str">
        <f>Main_Data!A362</f>
        <v>India</v>
      </c>
      <c r="B362" s="1" t="str">
        <f>Main_Data!B362</f>
        <v>South Asia</v>
      </c>
      <c r="C362" s="1">
        <f>Main_Data!C362</f>
        <v>2022</v>
      </c>
      <c r="D362" s="1">
        <f>Main_Data!D362</f>
        <v>5352</v>
      </c>
      <c r="E362" s="1">
        <f>Main_Data!E362</f>
        <v>14.2</v>
      </c>
      <c r="F362" s="1">
        <f>Main_Data!F362</f>
        <v>67</v>
      </c>
      <c r="G362" s="1">
        <f>Main_Data!G362</f>
        <v>414625913</v>
      </c>
      <c r="H362" s="1">
        <f>Main_Data!H362</f>
        <v>61</v>
      </c>
      <c r="I362" s="1">
        <f>Main_Data!I362</f>
        <v>10.5</v>
      </c>
      <c r="J362" s="1">
        <f>Main_Data!J362</f>
        <v>82</v>
      </c>
      <c r="K362" s="1">
        <f>Main_Data!K362</f>
        <v>33</v>
      </c>
      <c r="L362" s="1" t="str">
        <f>Main_Data!L362</f>
        <v>Asia</v>
      </c>
      <c r="M362" s="1" t="str">
        <f>PROPER(TRIM(Main_Data!A362))</f>
        <v>India</v>
      </c>
      <c r="N362" s="1" t="str">
        <f>PROPER(TRIM(Main_Data!B362))</f>
        <v>South Asia</v>
      </c>
      <c r="O362" s="1" t="str" cm="1">
        <f t="array" ref="O362">_xlfn.IFS(F362&gt;=80,"Very High",F362&gt;=70,"High",F362&gt;=60,"Medium",TRUE,"Low")</f>
        <v>Medium</v>
      </c>
      <c r="P362" s="1" t="str" cm="1">
        <f t="array" ref="P362">_xlfn.IFS(D362&gt;=40000,"High Income",D362&gt;=15000,"Middle Income",TRUE,"Low Income")</f>
        <v>Low Income</v>
      </c>
      <c r="Q362" s="1" t="str">
        <f t="shared" si="5"/>
        <v>Duplicate</v>
      </c>
    </row>
    <row r="363" spans="1:17" x14ac:dyDescent="0.25">
      <c r="A363" s="1" t="str">
        <f>Main_Data!A363</f>
        <v>USA</v>
      </c>
      <c r="B363" s="1" t="str">
        <f>Main_Data!B363</f>
        <v>North America</v>
      </c>
      <c r="C363" s="1">
        <f>Main_Data!C363</f>
        <v>2020</v>
      </c>
      <c r="D363" s="1">
        <f>Main_Data!D363</f>
        <v>23422</v>
      </c>
      <c r="E363" s="1">
        <f>Main_Data!E363</f>
        <v>10.8</v>
      </c>
      <c r="F363" s="1">
        <f>Main_Data!F363</f>
        <v>75</v>
      </c>
      <c r="G363" s="1">
        <f>Main_Data!G363</f>
        <v>278348910</v>
      </c>
      <c r="H363" s="1">
        <f>Main_Data!H363</f>
        <v>86</v>
      </c>
      <c r="I363" s="1">
        <f>Main_Data!I363</f>
        <v>23.4</v>
      </c>
      <c r="J363" s="1">
        <f>Main_Data!J363</f>
        <v>82</v>
      </c>
      <c r="K363" s="1">
        <f>Main_Data!K363</f>
        <v>40</v>
      </c>
      <c r="L363" s="1" t="str">
        <f>Main_Data!L363</f>
        <v>North America</v>
      </c>
      <c r="M363" s="1" t="str">
        <f>PROPER(TRIM(Main_Data!A363))</f>
        <v>Usa</v>
      </c>
      <c r="N363" s="1" t="str">
        <f>PROPER(TRIM(Main_Data!B363))</f>
        <v>North America</v>
      </c>
      <c r="O363" s="1" t="str" cm="1">
        <f t="array" ref="O363">_xlfn.IFS(F363&gt;=80,"Very High",F363&gt;=70,"High",F363&gt;=60,"Medium",TRUE,"Low")</f>
        <v>High</v>
      </c>
      <c r="P363" s="1" t="str" cm="1">
        <f t="array" ref="P363">_xlfn.IFS(D363&gt;=40000,"High Income",D363&gt;=15000,"Middle Income",TRUE,"Low Income")</f>
        <v>Middle Income</v>
      </c>
      <c r="Q363" s="1" t="str">
        <f t="shared" si="5"/>
        <v>Duplicate</v>
      </c>
    </row>
    <row r="364" spans="1:17" x14ac:dyDescent="0.25">
      <c r="A364" s="1" t="str">
        <f>Main_Data!A364</f>
        <v>Germany</v>
      </c>
      <c r="B364" s="1" t="str">
        <f>Main_Data!B364</f>
        <v>Europe</v>
      </c>
      <c r="C364" s="1">
        <f>Main_Data!C364</f>
        <v>2022</v>
      </c>
      <c r="D364" s="1">
        <f>Main_Data!D364</f>
        <v>55688</v>
      </c>
      <c r="E364" s="1">
        <f>Main_Data!E364</f>
        <v>15.6</v>
      </c>
      <c r="F364" s="1">
        <f>Main_Data!F364</f>
        <v>65</v>
      </c>
      <c r="G364" s="1">
        <f>Main_Data!G364</f>
        <v>1183515905</v>
      </c>
      <c r="H364" s="1">
        <f>Main_Data!H364</f>
        <v>69</v>
      </c>
      <c r="I364" s="1">
        <f>Main_Data!I364</f>
        <v>8.6999999999999993</v>
      </c>
      <c r="J364" s="1">
        <f>Main_Data!J364</f>
        <v>96</v>
      </c>
      <c r="K364" s="1">
        <f>Main_Data!K364</f>
        <v>79</v>
      </c>
      <c r="L364" s="1" t="str">
        <f>Main_Data!L364</f>
        <v>Europe</v>
      </c>
      <c r="M364" s="1" t="str">
        <f>PROPER(TRIM(Main_Data!A364))</f>
        <v>Germany</v>
      </c>
      <c r="N364" s="1" t="str">
        <f>PROPER(TRIM(Main_Data!B364))</f>
        <v>Europe</v>
      </c>
      <c r="O364" s="1" t="str" cm="1">
        <f t="array" ref="O364">_xlfn.IFS(F364&gt;=80,"Very High",F364&gt;=70,"High",F364&gt;=60,"Medium",TRUE,"Low")</f>
        <v>Medium</v>
      </c>
      <c r="P364" s="1" t="str" cm="1">
        <f t="array" ref="P364">_xlfn.IFS(D364&gt;=40000,"High Income",D364&gt;=15000,"Middle Income",TRUE,"Low Income")</f>
        <v>High Income</v>
      </c>
      <c r="Q364" s="1" t="str">
        <f t="shared" si="5"/>
        <v>Duplicate</v>
      </c>
    </row>
    <row r="365" spans="1:17" x14ac:dyDescent="0.25">
      <c r="A365" s="1" t="str">
        <f>Main_Data!A365</f>
        <v>Brazil</v>
      </c>
      <c r="B365" s="1" t="str">
        <f>Main_Data!B365</f>
        <v>South America</v>
      </c>
      <c r="C365" s="1">
        <f>Main_Data!C365</f>
        <v>2021</v>
      </c>
      <c r="D365" s="1">
        <f>Main_Data!D365</f>
        <v>52617</v>
      </c>
      <c r="E365" s="1">
        <f>Main_Data!E365</f>
        <v>7.3</v>
      </c>
      <c r="F365" s="1">
        <f>Main_Data!F365</f>
        <v>68</v>
      </c>
      <c r="G365" s="1">
        <f>Main_Data!G365</f>
        <v>360684735</v>
      </c>
      <c r="H365" s="1">
        <f>Main_Data!H365</f>
        <v>60</v>
      </c>
      <c r="I365" s="1">
        <f>Main_Data!I365</f>
        <v>16.2</v>
      </c>
      <c r="J365" s="1">
        <f>Main_Data!J365</f>
        <v>90</v>
      </c>
      <c r="K365" s="1">
        <f>Main_Data!K365</f>
        <v>71</v>
      </c>
      <c r="L365" s="1" t="str">
        <f>Main_Data!L365</f>
        <v>South America</v>
      </c>
      <c r="M365" s="1" t="str">
        <f>PROPER(TRIM(Main_Data!A365))</f>
        <v>Brazil</v>
      </c>
      <c r="N365" s="1" t="str">
        <f>PROPER(TRIM(Main_Data!B365))</f>
        <v>South America</v>
      </c>
      <c r="O365" s="1" t="str" cm="1">
        <f t="array" ref="O365">_xlfn.IFS(F365&gt;=80,"Very High",F365&gt;=70,"High",F365&gt;=60,"Medium",TRUE,"Low")</f>
        <v>Medium</v>
      </c>
      <c r="P365" s="1" t="str" cm="1">
        <f t="array" ref="P365">_xlfn.IFS(D365&gt;=40000,"High Income",D365&gt;=15000,"Middle Income",TRUE,"Low Income")</f>
        <v>High Income</v>
      </c>
      <c r="Q365" s="1" t="str">
        <f t="shared" si="5"/>
        <v>Duplicate</v>
      </c>
    </row>
    <row r="366" spans="1:17" x14ac:dyDescent="0.25">
      <c r="A366" s="1" t="str">
        <f>Main_Data!A366</f>
        <v>China</v>
      </c>
      <c r="B366" s="1" t="str">
        <f>Main_Data!B366</f>
        <v>East Asia</v>
      </c>
      <c r="C366" s="1">
        <f>Main_Data!C366</f>
        <v>2022</v>
      </c>
      <c r="D366" s="1">
        <f>Main_Data!D366</f>
        <v>18268</v>
      </c>
      <c r="E366" s="1">
        <f>Main_Data!E366</f>
        <v>16.100000000000001</v>
      </c>
      <c r="F366" s="1">
        <f>Main_Data!F366</f>
        <v>60</v>
      </c>
      <c r="G366" s="1">
        <f>Main_Data!G366</f>
        <v>488893672</v>
      </c>
      <c r="H366" s="1">
        <f>Main_Data!H366</f>
        <v>75</v>
      </c>
      <c r="I366" s="1">
        <f>Main_Data!I366</f>
        <v>24</v>
      </c>
      <c r="J366" s="1">
        <f>Main_Data!J366</f>
        <v>79</v>
      </c>
      <c r="K366" s="1">
        <f>Main_Data!K366</f>
        <v>59</v>
      </c>
      <c r="L366" s="1" t="str">
        <f>Main_Data!L366</f>
        <v>Asia</v>
      </c>
      <c r="M366" s="1" t="str">
        <f>PROPER(TRIM(Main_Data!A366))</f>
        <v>China</v>
      </c>
      <c r="N366" s="1" t="str">
        <f>PROPER(TRIM(Main_Data!B366))</f>
        <v>East Asia</v>
      </c>
      <c r="O366" s="1" t="str" cm="1">
        <f t="array" ref="O366">_xlfn.IFS(F366&gt;=80,"Very High",F366&gt;=70,"High",F366&gt;=60,"Medium",TRUE,"Low")</f>
        <v>Medium</v>
      </c>
      <c r="P366" s="1" t="str" cm="1">
        <f t="array" ref="P366">_xlfn.IFS(D366&gt;=40000,"High Income",D366&gt;=15000,"Middle Income",TRUE,"Low Income")</f>
        <v>Middle Income</v>
      </c>
      <c r="Q366" s="1" t="str">
        <f t="shared" si="5"/>
        <v>Duplicate</v>
      </c>
    </row>
    <row r="367" spans="1:17" x14ac:dyDescent="0.25">
      <c r="A367" s="1" t="str">
        <f>Main_Data!A367</f>
        <v>UK</v>
      </c>
      <c r="B367" s="1" t="str">
        <f>Main_Data!B367</f>
        <v>Europe</v>
      </c>
      <c r="C367" s="1">
        <f>Main_Data!C367</f>
        <v>2022</v>
      </c>
      <c r="D367" s="1">
        <f>Main_Data!D367</f>
        <v>58179</v>
      </c>
      <c r="E367" s="1">
        <f>Main_Data!E367</f>
        <v>10.7</v>
      </c>
      <c r="F367" s="1">
        <f>Main_Data!F367</f>
        <v>60</v>
      </c>
      <c r="G367" s="1">
        <f>Main_Data!G367</f>
        <v>58407393</v>
      </c>
      <c r="H367" s="1">
        <f>Main_Data!H367</f>
        <v>78</v>
      </c>
      <c r="I367" s="1">
        <f>Main_Data!I367</f>
        <v>14.7</v>
      </c>
      <c r="J367" s="1">
        <f>Main_Data!J367</f>
        <v>100</v>
      </c>
      <c r="K367" s="1">
        <f>Main_Data!K367</f>
        <v>67</v>
      </c>
      <c r="L367" s="1" t="str">
        <f>Main_Data!L367</f>
        <v>Europe</v>
      </c>
      <c r="M367" s="1" t="str">
        <f>PROPER(TRIM(Main_Data!A367))</f>
        <v>Uk</v>
      </c>
      <c r="N367" s="1" t="str">
        <f>PROPER(TRIM(Main_Data!B367))</f>
        <v>Europe</v>
      </c>
      <c r="O367" s="1" t="str" cm="1">
        <f t="array" ref="O367">_xlfn.IFS(F367&gt;=80,"Very High",F367&gt;=70,"High",F367&gt;=60,"Medium",TRUE,"Low")</f>
        <v>Medium</v>
      </c>
      <c r="P367" s="1" t="str" cm="1">
        <f t="array" ref="P367">_xlfn.IFS(D367&gt;=40000,"High Income",D367&gt;=15000,"Middle Income",TRUE,"Low Income")</f>
        <v>High Income</v>
      </c>
      <c r="Q367" s="1" t="str">
        <f t="shared" si="5"/>
        <v>Duplicate</v>
      </c>
    </row>
    <row r="368" spans="1:17" x14ac:dyDescent="0.25">
      <c r="A368" s="1" t="str">
        <f>Main_Data!A368</f>
        <v>Canada</v>
      </c>
      <c r="B368" s="1" t="str">
        <f>Main_Data!B368</f>
        <v>North America</v>
      </c>
      <c r="C368" s="1">
        <f>Main_Data!C368</f>
        <v>2020</v>
      </c>
      <c r="D368" s="1">
        <f>Main_Data!D368</f>
        <v>67212</v>
      </c>
      <c r="E368" s="1">
        <f>Main_Data!E368</f>
        <v>10.4</v>
      </c>
      <c r="F368" s="1">
        <f>Main_Data!F368</f>
        <v>81</v>
      </c>
      <c r="G368" s="1">
        <f>Main_Data!G368</f>
        <v>443057589</v>
      </c>
      <c r="H368" s="1">
        <f>Main_Data!H368</f>
        <v>52</v>
      </c>
      <c r="I368" s="1">
        <f>Main_Data!I368</f>
        <v>19.899999999999999</v>
      </c>
      <c r="J368" s="1">
        <f>Main_Data!J368</f>
        <v>78</v>
      </c>
      <c r="K368" s="1">
        <f>Main_Data!K368</f>
        <v>85</v>
      </c>
      <c r="L368" s="1" t="str">
        <f>Main_Data!L368</f>
        <v>North America</v>
      </c>
      <c r="M368" s="1" t="str">
        <f>PROPER(TRIM(Main_Data!A368))</f>
        <v>Canada</v>
      </c>
      <c r="N368" s="1" t="str">
        <f>PROPER(TRIM(Main_Data!B368))</f>
        <v>North America</v>
      </c>
      <c r="O368" s="1" t="str" cm="1">
        <f t="array" ref="O368">_xlfn.IFS(F368&gt;=80,"Very High",F368&gt;=70,"High",F368&gt;=60,"Medium",TRUE,"Low")</f>
        <v>Very High</v>
      </c>
      <c r="P368" s="1" t="str" cm="1">
        <f t="array" ref="P368">_xlfn.IFS(D368&gt;=40000,"High Income",D368&gt;=15000,"Middle Income",TRUE,"Low Income")</f>
        <v>High Income</v>
      </c>
      <c r="Q368" s="1" t="str">
        <f t="shared" si="5"/>
        <v>Duplicate</v>
      </c>
    </row>
    <row r="369" spans="1:17" x14ac:dyDescent="0.25">
      <c r="A369" s="1" t="str">
        <f>Main_Data!A369</f>
        <v>Australia</v>
      </c>
      <c r="B369" s="1" t="str">
        <f>Main_Data!B369</f>
        <v>Oceania</v>
      </c>
      <c r="C369" s="1">
        <f>Main_Data!C369</f>
        <v>2020</v>
      </c>
      <c r="D369" s="1">
        <f>Main_Data!D369</f>
        <v>28417</v>
      </c>
      <c r="E369" s="1">
        <f>Main_Data!E369</f>
        <v>13.3</v>
      </c>
      <c r="F369" s="1">
        <f>Main_Data!F369</f>
        <v>81</v>
      </c>
      <c r="G369" s="1">
        <f>Main_Data!G369</f>
        <v>207120040</v>
      </c>
      <c r="H369" s="1">
        <f>Main_Data!H369</f>
        <v>83</v>
      </c>
      <c r="I369" s="1">
        <f>Main_Data!I369</f>
        <v>15.7</v>
      </c>
      <c r="J369" s="1">
        <f>Main_Data!J369</f>
        <v>87</v>
      </c>
      <c r="K369" s="1">
        <f>Main_Data!K369</f>
        <v>83</v>
      </c>
      <c r="L369" s="1" t="str">
        <f>Main_Data!L369</f>
        <v>Oceania</v>
      </c>
      <c r="M369" s="1" t="str">
        <f>PROPER(TRIM(Main_Data!A369))</f>
        <v>Australia</v>
      </c>
      <c r="N369" s="1" t="str">
        <f>PROPER(TRIM(Main_Data!B369))</f>
        <v>Oceania</v>
      </c>
      <c r="O369" s="1" t="str" cm="1">
        <f t="array" ref="O369">_xlfn.IFS(F369&gt;=80,"Very High",F369&gt;=70,"High",F369&gt;=60,"Medium",TRUE,"Low")</f>
        <v>Very High</v>
      </c>
      <c r="P369" s="1" t="str" cm="1">
        <f t="array" ref="P369">_xlfn.IFS(D369&gt;=40000,"High Income",D369&gt;=15000,"Middle Income",TRUE,"Low Income")</f>
        <v>Middle Income</v>
      </c>
      <c r="Q369" s="1" t="str">
        <f t="shared" si="5"/>
        <v>Duplicate</v>
      </c>
    </row>
    <row r="370" spans="1:17" x14ac:dyDescent="0.25">
      <c r="A370" s="1" t="str">
        <f>Main_Data!A370</f>
        <v>Japan</v>
      </c>
      <c r="B370" s="1" t="str">
        <f>Main_Data!B370</f>
        <v>East Asia</v>
      </c>
      <c r="C370" s="1">
        <f>Main_Data!C370</f>
        <v>2022</v>
      </c>
      <c r="D370" s="1">
        <f>Main_Data!D370</f>
        <v>61755</v>
      </c>
      <c r="E370" s="1">
        <f>Main_Data!E370</f>
        <v>6.9</v>
      </c>
      <c r="F370" s="1">
        <f>Main_Data!F370</f>
        <v>60</v>
      </c>
      <c r="G370" s="1">
        <f>Main_Data!G370</f>
        <v>736063375</v>
      </c>
      <c r="H370" s="1">
        <f>Main_Data!H370</f>
        <v>91</v>
      </c>
      <c r="I370" s="1">
        <f>Main_Data!I370</f>
        <v>2.6</v>
      </c>
      <c r="J370" s="1">
        <f>Main_Data!J370</f>
        <v>81</v>
      </c>
      <c r="K370" s="1">
        <f>Main_Data!K370</f>
        <v>71</v>
      </c>
      <c r="L370" s="1" t="str">
        <f>Main_Data!L370</f>
        <v>Asia</v>
      </c>
      <c r="M370" s="1" t="str">
        <f>PROPER(TRIM(Main_Data!A370))</f>
        <v>Japan</v>
      </c>
      <c r="N370" s="1" t="str">
        <f>PROPER(TRIM(Main_Data!B370))</f>
        <v>East Asia</v>
      </c>
      <c r="O370" s="1" t="str" cm="1">
        <f t="array" ref="O370">_xlfn.IFS(F370&gt;=80,"Very High",F370&gt;=70,"High",F370&gt;=60,"Medium",TRUE,"Low")</f>
        <v>Medium</v>
      </c>
      <c r="P370" s="1" t="str" cm="1">
        <f t="array" ref="P370">_xlfn.IFS(D370&gt;=40000,"High Income",D370&gt;=15000,"Middle Income",TRUE,"Low Income")</f>
        <v>High Income</v>
      </c>
      <c r="Q370" s="1" t="str">
        <f t="shared" si="5"/>
        <v>Duplicate</v>
      </c>
    </row>
    <row r="371" spans="1:17" x14ac:dyDescent="0.25">
      <c r="A371" s="1" t="str">
        <f>Main_Data!A371</f>
        <v>South Africa</v>
      </c>
      <c r="B371" s="1" t="str">
        <f>Main_Data!B371</f>
        <v>Africa</v>
      </c>
      <c r="C371" s="1">
        <f>Main_Data!C371</f>
        <v>2020</v>
      </c>
      <c r="D371" s="1">
        <f>Main_Data!D371</f>
        <v>52971</v>
      </c>
      <c r="E371" s="1">
        <f>Main_Data!E371</f>
        <v>5.0999999999999996</v>
      </c>
      <c r="F371" s="1">
        <f>Main_Data!F371</f>
        <v>73</v>
      </c>
      <c r="G371" s="1">
        <f>Main_Data!G371</f>
        <v>1361638540</v>
      </c>
      <c r="H371" s="1">
        <f>Main_Data!H371</f>
        <v>55</v>
      </c>
      <c r="I371" s="1">
        <f>Main_Data!I371</f>
        <v>17.7</v>
      </c>
      <c r="J371" s="1">
        <f>Main_Data!J371</f>
        <v>83</v>
      </c>
      <c r="K371" s="1">
        <f>Main_Data!K371</f>
        <v>60</v>
      </c>
      <c r="L371" s="1" t="str">
        <f>Main_Data!L371</f>
        <v>Africa</v>
      </c>
      <c r="M371" s="1" t="str">
        <f>PROPER(TRIM(Main_Data!A371))</f>
        <v>South Africa</v>
      </c>
      <c r="N371" s="1" t="str">
        <f>PROPER(TRIM(Main_Data!B371))</f>
        <v>Africa</v>
      </c>
      <c r="O371" s="1" t="str" cm="1">
        <f t="array" ref="O371">_xlfn.IFS(F371&gt;=80,"Very High",F371&gt;=70,"High",F371&gt;=60,"Medium",TRUE,"Low")</f>
        <v>High</v>
      </c>
      <c r="P371" s="1" t="str" cm="1">
        <f t="array" ref="P371">_xlfn.IFS(D371&gt;=40000,"High Income",D371&gt;=15000,"Middle Income",TRUE,"Low Income")</f>
        <v>High Income</v>
      </c>
      <c r="Q371" s="1" t="str">
        <f t="shared" si="5"/>
        <v>Duplicate</v>
      </c>
    </row>
    <row r="372" spans="1:17" x14ac:dyDescent="0.25">
      <c r="A372" s="1" t="str">
        <f>Main_Data!A372</f>
        <v>India</v>
      </c>
      <c r="B372" s="1" t="str">
        <f>Main_Data!B372</f>
        <v>South Asia</v>
      </c>
      <c r="C372" s="1">
        <f>Main_Data!C372</f>
        <v>2022</v>
      </c>
      <c r="D372" s="1">
        <f>Main_Data!D372</f>
        <v>65719</v>
      </c>
      <c r="E372" s="1">
        <f>Main_Data!E372</f>
        <v>15.9</v>
      </c>
      <c r="F372" s="1">
        <f>Main_Data!F372</f>
        <v>80</v>
      </c>
      <c r="G372" s="1">
        <f>Main_Data!G372</f>
        <v>998891419</v>
      </c>
      <c r="H372" s="1">
        <f>Main_Data!H372</f>
        <v>51</v>
      </c>
      <c r="I372" s="1">
        <f>Main_Data!I372</f>
        <v>20.2</v>
      </c>
      <c r="J372" s="1">
        <f>Main_Data!J372</f>
        <v>91</v>
      </c>
      <c r="K372" s="1">
        <f>Main_Data!K372</f>
        <v>32</v>
      </c>
      <c r="L372" s="1" t="str">
        <f>Main_Data!L372</f>
        <v>Asia</v>
      </c>
      <c r="M372" s="1" t="str">
        <f>PROPER(TRIM(Main_Data!A372))</f>
        <v>India</v>
      </c>
      <c r="N372" s="1" t="str">
        <f>PROPER(TRIM(Main_Data!B372))</f>
        <v>South Asia</v>
      </c>
      <c r="O372" s="1" t="str" cm="1">
        <f t="array" ref="O372">_xlfn.IFS(F372&gt;=80,"Very High",F372&gt;=70,"High",F372&gt;=60,"Medium",TRUE,"Low")</f>
        <v>Very High</v>
      </c>
      <c r="P372" s="1" t="str" cm="1">
        <f t="array" ref="P372">_xlfn.IFS(D372&gt;=40000,"High Income",D372&gt;=15000,"Middle Income",TRUE,"Low Income")</f>
        <v>High Income</v>
      </c>
      <c r="Q372" s="1" t="str">
        <f t="shared" si="5"/>
        <v>Duplicate</v>
      </c>
    </row>
    <row r="373" spans="1:17" x14ac:dyDescent="0.25">
      <c r="A373" s="1" t="str">
        <f>Main_Data!A373</f>
        <v>USA</v>
      </c>
      <c r="B373" s="1" t="str">
        <f>Main_Data!B373</f>
        <v>North America</v>
      </c>
      <c r="C373" s="1">
        <f>Main_Data!C373</f>
        <v>2022</v>
      </c>
      <c r="D373" s="1">
        <f>Main_Data!D373</f>
        <v>23935</v>
      </c>
      <c r="E373" s="1">
        <f>Main_Data!E373</f>
        <v>10.5</v>
      </c>
      <c r="F373" s="1">
        <f>Main_Data!F373</f>
        <v>75</v>
      </c>
      <c r="G373" s="1">
        <f>Main_Data!G373</f>
        <v>461110423</v>
      </c>
      <c r="H373" s="1">
        <f>Main_Data!H373</f>
        <v>57</v>
      </c>
      <c r="I373" s="1">
        <f>Main_Data!I373</f>
        <v>9.6</v>
      </c>
      <c r="J373" s="1">
        <f>Main_Data!J373</f>
        <v>98</v>
      </c>
      <c r="K373" s="1">
        <f>Main_Data!K373</f>
        <v>39</v>
      </c>
      <c r="L373" s="1" t="str">
        <f>Main_Data!L373</f>
        <v>North America</v>
      </c>
      <c r="M373" s="1" t="str">
        <f>PROPER(TRIM(Main_Data!A373))</f>
        <v>Usa</v>
      </c>
      <c r="N373" s="1" t="str">
        <f>PROPER(TRIM(Main_Data!B373))</f>
        <v>North America</v>
      </c>
      <c r="O373" s="1" t="str" cm="1">
        <f t="array" ref="O373">_xlfn.IFS(F373&gt;=80,"Very High",F373&gt;=70,"High",F373&gt;=60,"Medium",TRUE,"Low")</f>
        <v>High</v>
      </c>
      <c r="P373" s="1" t="str" cm="1">
        <f t="array" ref="P373">_xlfn.IFS(D373&gt;=40000,"High Income",D373&gt;=15000,"Middle Income",TRUE,"Low Income")</f>
        <v>Middle Income</v>
      </c>
      <c r="Q373" s="1" t="str">
        <f t="shared" si="5"/>
        <v>Duplicate</v>
      </c>
    </row>
    <row r="374" spans="1:17" x14ac:dyDescent="0.25">
      <c r="A374" s="1" t="str">
        <f>Main_Data!A374</f>
        <v>Germany</v>
      </c>
      <c r="B374" s="1" t="str">
        <f>Main_Data!B374</f>
        <v>Europe</v>
      </c>
      <c r="C374" s="1">
        <f>Main_Data!C374</f>
        <v>2022</v>
      </c>
      <c r="D374" s="1">
        <f>Main_Data!D374</f>
        <v>27508</v>
      </c>
      <c r="E374" s="1">
        <f>Main_Data!E374</f>
        <v>4.5999999999999996</v>
      </c>
      <c r="F374" s="1">
        <f>Main_Data!F374</f>
        <v>72</v>
      </c>
      <c r="G374" s="1">
        <f>Main_Data!G374</f>
        <v>725536174</v>
      </c>
      <c r="H374" s="1">
        <f>Main_Data!H374</f>
        <v>81</v>
      </c>
      <c r="I374" s="1">
        <f>Main_Data!I374</f>
        <v>3.5</v>
      </c>
      <c r="J374" s="1">
        <f>Main_Data!J374</f>
        <v>73</v>
      </c>
      <c r="K374" s="1">
        <f>Main_Data!K374</f>
        <v>65</v>
      </c>
      <c r="L374" s="1" t="str">
        <f>Main_Data!L374</f>
        <v>Europe</v>
      </c>
      <c r="M374" s="1" t="str">
        <f>PROPER(TRIM(Main_Data!A374))</f>
        <v>Germany</v>
      </c>
      <c r="N374" s="1" t="str">
        <f>PROPER(TRIM(Main_Data!B374))</f>
        <v>Europe</v>
      </c>
      <c r="O374" s="1" t="str" cm="1">
        <f t="array" ref="O374">_xlfn.IFS(F374&gt;=80,"Very High",F374&gt;=70,"High",F374&gt;=60,"Medium",TRUE,"Low")</f>
        <v>High</v>
      </c>
      <c r="P374" s="1" t="str" cm="1">
        <f t="array" ref="P374">_xlfn.IFS(D374&gt;=40000,"High Income",D374&gt;=15000,"Middle Income",TRUE,"Low Income")</f>
        <v>Middle Income</v>
      </c>
      <c r="Q374" s="1" t="str">
        <f t="shared" si="5"/>
        <v>Duplicate</v>
      </c>
    </row>
    <row r="375" spans="1:17" x14ac:dyDescent="0.25">
      <c r="A375" s="1" t="str">
        <f>Main_Data!A375</f>
        <v>Brazil</v>
      </c>
      <c r="B375" s="1" t="str">
        <f>Main_Data!B375</f>
        <v>South America</v>
      </c>
      <c r="C375" s="1">
        <f>Main_Data!C375</f>
        <v>2021</v>
      </c>
      <c r="D375" s="1">
        <f>Main_Data!D375</f>
        <v>67905</v>
      </c>
      <c r="E375" s="1">
        <f>Main_Data!E375</f>
        <v>9.6</v>
      </c>
      <c r="F375" s="1">
        <f>Main_Data!F375</f>
        <v>78</v>
      </c>
      <c r="G375" s="1">
        <f>Main_Data!G375</f>
        <v>967550619</v>
      </c>
      <c r="H375" s="1">
        <f>Main_Data!H375</f>
        <v>88</v>
      </c>
      <c r="I375" s="1">
        <f>Main_Data!I375</f>
        <v>12.8</v>
      </c>
      <c r="J375" s="1">
        <f>Main_Data!J375</f>
        <v>93</v>
      </c>
      <c r="K375" s="1">
        <f>Main_Data!K375</f>
        <v>44</v>
      </c>
      <c r="L375" s="1" t="str">
        <f>Main_Data!L375</f>
        <v>South America</v>
      </c>
      <c r="M375" s="1" t="str">
        <f>PROPER(TRIM(Main_Data!A375))</f>
        <v>Brazil</v>
      </c>
      <c r="N375" s="1" t="str">
        <f>PROPER(TRIM(Main_Data!B375))</f>
        <v>South America</v>
      </c>
      <c r="O375" s="1" t="str" cm="1">
        <f t="array" ref="O375">_xlfn.IFS(F375&gt;=80,"Very High",F375&gt;=70,"High",F375&gt;=60,"Medium",TRUE,"Low")</f>
        <v>High</v>
      </c>
      <c r="P375" s="1" t="str" cm="1">
        <f t="array" ref="P375">_xlfn.IFS(D375&gt;=40000,"High Income",D375&gt;=15000,"Middle Income",TRUE,"Low Income")</f>
        <v>High Income</v>
      </c>
      <c r="Q375" s="1" t="str">
        <f t="shared" si="5"/>
        <v>Duplicate</v>
      </c>
    </row>
    <row r="376" spans="1:17" x14ac:dyDescent="0.25">
      <c r="A376" s="1" t="str">
        <f>Main_Data!A376</f>
        <v>China</v>
      </c>
      <c r="B376" s="1" t="str">
        <f>Main_Data!B376</f>
        <v>East Asia</v>
      </c>
      <c r="C376" s="1">
        <f>Main_Data!C376</f>
        <v>2020</v>
      </c>
      <c r="D376" s="1">
        <f>Main_Data!D376</f>
        <v>13503</v>
      </c>
      <c r="E376" s="1">
        <f>Main_Data!E376</f>
        <v>4.7</v>
      </c>
      <c r="F376" s="1">
        <f>Main_Data!F376</f>
        <v>81</v>
      </c>
      <c r="G376" s="1">
        <f>Main_Data!G376</f>
        <v>236743613</v>
      </c>
      <c r="H376" s="1">
        <f>Main_Data!H376</f>
        <v>81</v>
      </c>
      <c r="I376" s="1">
        <f>Main_Data!I376</f>
        <v>20.2</v>
      </c>
      <c r="J376" s="1">
        <f>Main_Data!J376</f>
        <v>71</v>
      </c>
      <c r="K376" s="1">
        <f>Main_Data!K376</f>
        <v>71</v>
      </c>
      <c r="L376" s="1" t="str">
        <f>Main_Data!L376</f>
        <v>Asia</v>
      </c>
      <c r="M376" s="1" t="str">
        <f>PROPER(TRIM(Main_Data!A376))</f>
        <v>China</v>
      </c>
      <c r="N376" s="1" t="str">
        <f>PROPER(TRIM(Main_Data!B376))</f>
        <v>East Asia</v>
      </c>
      <c r="O376" s="1" t="str" cm="1">
        <f t="array" ref="O376">_xlfn.IFS(F376&gt;=80,"Very High",F376&gt;=70,"High",F376&gt;=60,"Medium",TRUE,"Low")</f>
        <v>Very High</v>
      </c>
      <c r="P376" s="1" t="str" cm="1">
        <f t="array" ref="P376">_xlfn.IFS(D376&gt;=40000,"High Income",D376&gt;=15000,"Middle Income",TRUE,"Low Income")</f>
        <v>Low Income</v>
      </c>
      <c r="Q376" s="1" t="str">
        <f t="shared" si="5"/>
        <v>Duplicate</v>
      </c>
    </row>
    <row r="377" spans="1:17" x14ac:dyDescent="0.25">
      <c r="A377" s="1" t="str">
        <f>Main_Data!A377</f>
        <v>UK</v>
      </c>
      <c r="B377" s="1" t="str">
        <f>Main_Data!B377</f>
        <v>Europe</v>
      </c>
      <c r="C377" s="1">
        <f>Main_Data!C377</f>
        <v>2020</v>
      </c>
      <c r="D377" s="1">
        <f>Main_Data!D377</f>
        <v>3780</v>
      </c>
      <c r="E377" s="1">
        <f>Main_Data!E377</f>
        <v>3</v>
      </c>
      <c r="F377" s="1">
        <f>Main_Data!F377</f>
        <v>78</v>
      </c>
      <c r="G377" s="1">
        <f>Main_Data!G377</f>
        <v>212496804</v>
      </c>
      <c r="H377" s="1">
        <f>Main_Data!H377</f>
        <v>75</v>
      </c>
      <c r="I377" s="1">
        <f>Main_Data!I377</f>
        <v>13.1</v>
      </c>
      <c r="J377" s="1">
        <f>Main_Data!J377</f>
        <v>77</v>
      </c>
      <c r="K377" s="1">
        <f>Main_Data!K377</f>
        <v>48</v>
      </c>
      <c r="L377" s="1" t="str">
        <f>Main_Data!L377</f>
        <v>Europe</v>
      </c>
      <c r="M377" s="1" t="str">
        <f>PROPER(TRIM(Main_Data!A377))</f>
        <v>Uk</v>
      </c>
      <c r="N377" s="1" t="str">
        <f>PROPER(TRIM(Main_Data!B377))</f>
        <v>Europe</v>
      </c>
      <c r="O377" s="1" t="str" cm="1">
        <f t="array" ref="O377">_xlfn.IFS(F377&gt;=80,"Very High",F377&gt;=70,"High",F377&gt;=60,"Medium",TRUE,"Low")</f>
        <v>High</v>
      </c>
      <c r="P377" s="1" t="str" cm="1">
        <f t="array" ref="P377">_xlfn.IFS(D377&gt;=40000,"High Income",D377&gt;=15000,"Middle Income",TRUE,"Low Income")</f>
        <v>Low Income</v>
      </c>
      <c r="Q377" s="1" t="str">
        <f t="shared" si="5"/>
        <v>Duplicate</v>
      </c>
    </row>
    <row r="378" spans="1:17" x14ac:dyDescent="0.25">
      <c r="A378" s="1" t="str">
        <f>Main_Data!A378</f>
        <v>Canada</v>
      </c>
      <c r="B378" s="1" t="str">
        <f>Main_Data!B378</f>
        <v>North America</v>
      </c>
      <c r="C378" s="1">
        <f>Main_Data!C378</f>
        <v>2020</v>
      </c>
      <c r="D378" s="1">
        <f>Main_Data!D378</f>
        <v>6049</v>
      </c>
      <c r="E378" s="1">
        <f>Main_Data!E378</f>
        <v>14.3</v>
      </c>
      <c r="F378" s="1">
        <f>Main_Data!F378</f>
        <v>74</v>
      </c>
      <c r="G378" s="1">
        <f>Main_Data!G378</f>
        <v>61857679</v>
      </c>
      <c r="H378" s="1">
        <f>Main_Data!H378</f>
        <v>85</v>
      </c>
      <c r="I378" s="1">
        <f>Main_Data!I378</f>
        <v>23.1</v>
      </c>
      <c r="J378" s="1">
        <f>Main_Data!J378</f>
        <v>97</v>
      </c>
      <c r="K378" s="1">
        <f>Main_Data!K378</f>
        <v>37</v>
      </c>
      <c r="L378" s="1" t="str">
        <f>Main_Data!L378</f>
        <v>North America</v>
      </c>
      <c r="M378" s="1" t="str">
        <f>PROPER(TRIM(Main_Data!A378))</f>
        <v>Canada</v>
      </c>
      <c r="N378" s="1" t="str">
        <f>PROPER(TRIM(Main_Data!B378))</f>
        <v>North America</v>
      </c>
      <c r="O378" s="1" t="str" cm="1">
        <f t="array" ref="O378">_xlfn.IFS(F378&gt;=80,"Very High",F378&gt;=70,"High",F378&gt;=60,"Medium",TRUE,"Low")</f>
        <v>High</v>
      </c>
      <c r="P378" s="1" t="str" cm="1">
        <f t="array" ref="P378">_xlfn.IFS(D378&gt;=40000,"High Income",D378&gt;=15000,"Middle Income",TRUE,"Low Income")</f>
        <v>Low Income</v>
      </c>
      <c r="Q378" s="1" t="str">
        <f t="shared" si="5"/>
        <v>Duplicate</v>
      </c>
    </row>
    <row r="379" spans="1:17" x14ac:dyDescent="0.25">
      <c r="A379" s="1" t="str">
        <f>Main_Data!A379</f>
        <v>Australia</v>
      </c>
      <c r="B379" s="1" t="str">
        <f>Main_Data!B379</f>
        <v>Oceania</v>
      </c>
      <c r="C379" s="1">
        <f>Main_Data!C379</f>
        <v>2022</v>
      </c>
      <c r="D379" s="1">
        <f>Main_Data!D379</f>
        <v>8851</v>
      </c>
      <c r="E379" s="1">
        <f>Main_Data!E379</f>
        <v>12</v>
      </c>
      <c r="F379" s="1">
        <f>Main_Data!F379</f>
        <v>78</v>
      </c>
      <c r="G379" s="1">
        <f>Main_Data!G379</f>
        <v>946720689</v>
      </c>
      <c r="H379" s="1">
        <f>Main_Data!H379</f>
        <v>92</v>
      </c>
      <c r="I379" s="1">
        <f>Main_Data!I379</f>
        <v>10.5</v>
      </c>
      <c r="J379" s="1">
        <f>Main_Data!J379</f>
        <v>91</v>
      </c>
      <c r="K379" s="1">
        <f>Main_Data!K379</f>
        <v>43</v>
      </c>
      <c r="L379" s="1" t="str">
        <f>Main_Data!L379</f>
        <v>Oceania</v>
      </c>
      <c r="M379" s="1" t="str">
        <f>PROPER(TRIM(Main_Data!A379))</f>
        <v>Australia</v>
      </c>
      <c r="N379" s="1" t="str">
        <f>PROPER(TRIM(Main_Data!B379))</f>
        <v>Oceania</v>
      </c>
      <c r="O379" s="1" t="str" cm="1">
        <f t="array" ref="O379">_xlfn.IFS(F379&gt;=80,"Very High",F379&gt;=70,"High",F379&gt;=60,"Medium",TRUE,"Low")</f>
        <v>High</v>
      </c>
      <c r="P379" s="1" t="str" cm="1">
        <f t="array" ref="P379">_xlfn.IFS(D379&gt;=40000,"High Income",D379&gt;=15000,"Middle Income",TRUE,"Low Income")</f>
        <v>Low Income</v>
      </c>
      <c r="Q379" s="1" t="str">
        <f t="shared" si="5"/>
        <v>Duplicate</v>
      </c>
    </row>
    <row r="380" spans="1:17" x14ac:dyDescent="0.25">
      <c r="A380" s="1" t="str">
        <f>Main_Data!A380</f>
        <v>Japan</v>
      </c>
      <c r="B380" s="1" t="str">
        <f>Main_Data!B380</f>
        <v>East Asia</v>
      </c>
      <c r="C380" s="1">
        <f>Main_Data!C380</f>
        <v>2020</v>
      </c>
      <c r="D380" s="1">
        <f>Main_Data!D380</f>
        <v>14242</v>
      </c>
      <c r="E380" s="1">
        <f>Main_Data!E380</f>
        <v>5</v>
      </c>
      <c r="F380" s="1">
        <f>Main_Data!F380</f>
        <v>84</v>
      </c>
      <c r="G380" s="1">
        <f>Main_Data!G380</f>
        <v>1205376478</v>
      </c>
      <c r="H380" s="1">
        <f>Main_Data!H380</f>
        <v>81</v>
      </c>
      <c r="I380" s="1">
        <f>Main_Data!I380</f>
        <v>7.1</v>
      </c>
      <c r="J380" s="1">
        <f>Main_Data!J380</f>
        <v>87</v>
      </c>
      <c r="K380" s="1">
        <f>Main_Data!K380</f>
        <v>84</v>
      </c>
      <c r="L380" s="1" t="str">
        <f>Main_Data!L380</f>
        <v>Asia</v>
      </c>
      <c r="M380" s="1" t="str">
        <f>PROPER(TRIM(Main_Data!A380))</f>
        <v>Japan</v>
      </c>
      <c r="N380" s="1" t="str">
        <f>PROPER(TRIM(Main_Data!B380))</f>
        <v>East Asia</v>
      </c>
      <c r="O380" s="1" t="str" cm="1">
        <f t="array" ref="O380">_xlfn.IFS(F380&gt;=80,"Very High",F380&gt;=70,"High",F380&gt;=60,"Medium",TRUE,"Low")</f>
        <v>Very High</v>
      </c>
      <c r="P380" s="1" t="str" cm="1">
        <f t="array" ref="P380">_xlfn.IFS(D380&gt;=40000,"High Income",D380&gt;=15000,"Middle Income",TRUE,"Low Income")</f>
        <v>Low Income</v>
      </c>
      <c r="Q380" s="1" t="str">
        <f t="shared" si="5"/>
        <v>Duplicate</v>
      </c>
    </row>
    <row r="381" spans="1:17" x14ac:dyDescent="0.25">
      <c r="A381" s="1" t="str">
        <f>Main_Data!A381</f>
        <v>South Africa</v>
      </c>
      <c r="B381" s="1" t="str">
        <f>Main_Data!B381</f>
        <v>Africa</v>
      </c>
      <c r="C381" s="1">
        <f>Main_Data!C381</f>
        <v>2020</v>
      </c>
      <c r="D381" s="1">
        <f>Main_Data!D381</f>
        <v>19980</v>
      </c>
      <c r="E381" s="1">
        <f>Main_Data!E381</f>
        <v>3.4</v>
      </c>
      <c r="F381" s="1">
        <f>Main_Data!F381</f>
        <v>67</v>
      </c>
      <c r="G381" s="1">
        <f>Main_Data!G381</f>
        <v>392211162</v>
      </c>
      <c r="H381" s="1">
        <f>Main_Data!H381</f>
        <v>53</v>
      </c>
      <c r="I381" s="1">
        <f>Main_Data!I381</f>
        <v>17.5</v>
      </c>
      <c r="J381" s="1">
        <f>Main_Data!J381</f>
        <v>73</v>
      </c>
      <c r="K381" s="1">
        <f>Main_Data!K381</f>
        <v>88</v>
      </c>
      <c r="L381" s="1" t="str">
        <f>Main_Data!L381</f>
        <v>Africa</v>
      </c>
      <c r="M381" s="1" t="str">
        <f>PROPER(TRIM(Main_Data!A381))</f>
        <v>South Africa</v>
      </c>
      <c r="N381" s="1" t="str">
        <f>PROPER(TRIM(Main_Data!B381))</f>
        <v>Africa</v>
      </c>
      <c r="O381" s="1" t="str" cm="1">
        <f t="array" ref="O381">_xlfn.IFS(F381&gt;=80,"Very High",F381&gt;=70,"High",F381&gt;=60,"Medium",TRUE,"Low")</f>
        <v>Medium</v>
      </c>
      <c r="P381" s="1" t="str" cm="1">
        <f t="array" ref="P381">_xlfn.IFS(D381&gt;=40000,"High Income",D381&gt;=15000,"Middle Income",TRUE,"Low Income")</f>
        <v>Middle Income</v>
      </c>
      <c r="Q381" s="1" t="str">
        <f t="shared" si="5"/>
        <v>Duplicate</v>
      </c>
    </row>
    <row r="382" spans="1:17" x14ac:dyDescent="0.25">
      <c r="A382" s="1" t="str">
        <f>Main_Data!A382</f>
        <v>India</v>
      </c>
      <c r="B382" s="1" t="str">
        <f>Main_Data!B382</f>
        <v>South Asia</v>
      </c>
      <c r="C382" s="1">
        <f>Main_Data!C382</f>
        <v>2020</v>
      </c>
      <c r="D382" s="1">
        <f>Main_Data!D382</f>
        <v>68223</v>
      </c>
      <c r="E382" s="1">
        <f>Main_Data!E382</f>
        <v>3.2</v>
      </c>
      <c r="F382" s="1">
        <f>Main_Data!F382</f>
        <v>72</v>
      </c>
      <c r="G382" s="1">
        <f>Main_Data!G382</f>
        <v>189284618</v>
      </c>
      <c r="H382" s="1">
        <f>Main_Data!H382</f>
        <v>58</v>
      </c>
      <c r="I382" s="1">
        <f>Main_Data!I382</f>
        <v>3.1</v>
      </c>
      <c r="J382" s="1">
        <f>Main_Data!J382</f>
        <v>82</v>
      </c>
      <c r="K382" s="1">
        <f>Main_Data!K382</f>
        <v>40</v>
      </c>
      <c r="L382" s="1" t="str">
        <f>Main_Data!L382</f>
        <v>Asia</v>
      </c>
      <c r="M382" s="1" t="str">
        <f>PROPER(TRIM(Main_Data!A382))</f>
        <v>India</v>
      </c>
      <c r="N382" s="1" t="str">
        <f>PROPER(TRIM(Main_Data!B382))</f>
        <v>South Asia</v>
      </c>
      <c r="O382" s="1" t="str" cm="1">
        <f t="array" ref="O382">_xlfn.IFS(F382&gt;=80,"Very High",F382&gt;=70,"High",F382&gt;=60,"Medium",TRUE,"Low")</f>
        <v>High</v>
      </c>
      <c r="P382" s="1" t="str" cm="1">
        <f t="array" ref="P382">_xlfn.IFS(D382&gt;=40000,"High Income",D382&gt;=15000,"Middle Income",TRUE,"Low Income")</f>
        <v>High Income</v>
      </c>
      <c r="Q382" s="1" t="str">
        <f t="shared" si="5"/>
        <v>Duplicate</v>
      </c>
    </row>
    <row r="383" spans="1:17" x14ac:dyDescent="0.25">
      <c r="A383" s="1" t="str">
        <f>Main_Data!A383</f>
        <v>USA</v>
      </c>
      <c r="B383" s="1" t="str">
        <f>Main_Data!B383</f>
        <v>North America</v>
      </c>
      <c r="C383" s="1">
        <f>Main_Data!C383</f>
        <v>2022</v>
      </c>
      <c r="D383" s="1">
        <f>Main_Data!D383</f>
        <v>65750</v>
      </c>
      <c r="E383" s="1">
        <f>Main_Data!E383</f>
        <v>13.4</v>
      </c>
      <c r="F383" s="1">
        <f>Main_Data!F383</f>
        <v>72</v>
      </c>
      <c r="G383" s="1">
        <f>Main_Data!G383</f>
        <v>705030364</v>
      </c>
      <c r="H383" s="1">
        <f>Main_Data!H383</f>
        <v>71</v>
      </c>
      <c r="I383" s="1">
        <f>Main_Data!I383</f>
        <v>9</v>
      </c>
      <c r="J383" s="1">
        <f>Main_Data!J383</f>
        <v>89</v>
      </c>
      <c r="K383" s="1">
        <f>Main_Data!K383</f>
        <v>46</v>
      </c>
      <c r="L383" s="1" t="str">
        <f>Main_Data!L383</f>
        <v>North America</v>
      </c>
      <c r="M383" s="1" t="str">
        <f>PROPER(TRIM(Main_Data!A383))</f>
        <v>Usa</v>
      </c>
      <c r="N383" s="1" t="str">
        <f>PROPER(TRIM(Main_Data!B383))</f>
        <v>North America</v>
      </c>
      <c r="O383" s="1" t="str" cm="1">
        <f t="array" ref="O383">_xlfn.IFS(F383&gt;=80,"Very High",F383&gt;=70,"High",F383&gt;=60,"Medium",TRUE,"Low")</f>
        <v>High</v>
      </c>
      <c r="P383" s="1" t="str" cm="1">
        <f t="array" ref="P383">_xlfn.IFS(D383&gt;=40000,"High Income",D383&gt;=15000,"Middle Income",TRUE,"Low Income")</f>
        <v>High Income</v>
      </c>
      <c r="Q383" s="1" t="str">
        <f t="shared" si="5"/>
        <v>Duplicate</v>
      </c>
    </row>
    <row r="384" spans="1:17" x14ac:dyDescent="0.25">
      <c r="A384" s="1" t="str">
        <f>Main_Data!A384</f>
        <v>Germany</v>
      </c>
      <c r="B384" s="1" t="str">
        <f>Main_Data!B384</f>
        <v>Europe</v>
      </c>
      <c r="C384" s="1">
        <f>Main_Data!C384</f>
        <v>2020</v>
      </c>
      <c r="D384" s="1">
        <f>Main_Data!D384</f>
        <v>27111</v>
      </c>
      <c r="E384" s="1">
        <f>Main_Data!E384</f>
        <v>14.4</v>
      </c>
      <c r="F384" s="1">
        <f>Main_Data!F384</f>
        <v>82</v>
      </c>
      <c r="G384" s="1">
        <f>Main_Data!G384</f>
        <v>1059301565</v>
      </c>
      <c r="H384" s="1">
        <f>Main_Data!H384</f>
        <v>53</v>
      </c>
      <c r="I384" s="1">
        <f>Main_Data!I384</f>
        <v>5.0999999999999996</v>
      </c>
      <c r="J384" s="1">
        <f>Main_Data!J384</f>
        <v>97</v>
      </c>
      <c r="K384" s="1">
        <f>Main_Data!K384</f>
        <v>53</v>
      </c>
      <c r="L384" s="1" t="str">
        <f>Main_Data!L384</f>
        <v>Europe</v>
      </c>
      <c r="M384" s="1" t="str">
        <f>PROPER(TRIM(Main_Data!A384))</f>
        <v>Germany</v>
      </c>
      <c r="N384" s="1" t="str">
        <f>PROPER(TRIM(Main_Data!B384))</f>
        <v>Europe</v>
      </c>
      <c r="O384" s="1" t="str" cm="1">
        <f t="array" ref="O384">_xlfn.IFS(F384&gt;=80,"Very High",F384&gt;=70,"High",F384&gt;=60,"Medium",TRUE,"Low")</f>
        <v>Very High</v>
      </c>
      <c r="P384" s="1" t="str" cm="1">
        <f t="array" ref="P384">_xlfn.IFS(D384&gt;=40000,"High Income",D384&gt;=15000,"Middle Income",TRUE,"Low Income")</f>
        <v>Middle Income</v>
      </c>
      <c r="Q384" s="1" t="str">
        <f t="shared" si="5"/>
        <v>Duplicate</v>
      </c>
    </row>
    <row r="385" spans="1:17" x14ac:dyDescent="0.25">
      <c r="A385" s="1" t="str">
        <f>Main_Data!A385</f>
        <v>Brazil</v>
      </c>
      <c r="B385" s="1" t="str">
        <f>Main_Data!B385</f>
        <v>South America</v>
      </c>
      <c r="C385" s="1">
        <f>Main_Data!C385</f>
        <v>2022</v>
      </c>
      <c r="D385" s="1">
        <f>Main_Data!D385</f>
        <v>8980</v>
      </c>
      <c r="E385" s="1">
        <f>Main_Data!E385</f>
        <v>13.3</v>
      </c>
      <c r="F385" s="1">
        <f>Main_Data!F385</f>
        <v>84</v>
      </c>
      <c r="G385" s="1">
        <f>Main_Data!G385</f>
        <v>324191940</v>
      </c>
      <c r="H385" s="1">
        <f>Main_Data!H385</f>
        <v>82</v>
      </c>
      <c r="I385" s="1">
        <f>Main_Data!I385</f>
        <v>11.5</v>
      </c>
      <c r="J385" s="1">
        <f>Main_Data!J385</f>
        <v>75</v>
      </c>
      <c r="K385" s="1">
        <f>Main_Data!K385</f>
        <v>83</v>
      </c>
      <c r="L385" s="1" t="str">
        <f>Main_Data!L385</f>
        <v>South America</v>
      </c>
      <c r="M385" s="1" t="str">
        <f>PROPER(TRIM(Main_Data!A385))</f>
        <v>Brazil</v>
      </c>
      <c r="N385" s="1" t="str">
        <f>PROPER(TRIM(Main_Data!B385))</f>
        <v>South America</v>
      </c>
      <c r="O385" s="1" t="str" cm="1">
        <f t="array" ref="O385">_xlfn.IFS(F385&gt;=80,"Very High",F385&gt;=70,"High",F385&gt;=60,"Medium",TRUE,"Low")</f>
        <v>Very High</v>
      </c>
      <c r="P385" s="1" t="str" cm="1">
        <f t="array" ref="P385">_xlfn.IFS(D385&gt;=40000,"High Income",D385&gt;=15000,"Middle Income",TRUE,"Low Income")</f>
        <v>Low Income</v>
      </c>
      <c r="Q385" s="1" t="str">
        <f t="shared" si="5"/>
        <v>Duplicate</v>
      </c>
    </row>
    <row r="386" spans="1:17" x14ac:dyDescent="0.25">
      <c r="A386" s="1" t="str">
        <f>Main_Data!A386</f>
        <v>China</v>
      </c>
      <c r="B386" s="1" t="str">
        <f>Main_Data!B386</f>
        <v>East Asia</v>
      </c>
      <c r="C386" s="1">
        <f>Main_Data!C386</f>
        <v>2020</v>
      </c>
      <c r="D386" s="1">
        <f>Main_Data!D386</f>
        <v>46639</v>
      </c>
      <c r="E386" s="1">
        <f>Main_Data!E386</f>
        <v>8.9</v>
      </c>
      <c r="F386" s="1">
        <f>Main_Data!F386</f>
        <v>84</v>
      </c>
      <c r="G386" s="1">
        <f>Main_Data!G386</f>
        <v>1499869837</v>
      </c>
      <c r="H386" s="1">
        <f>Main_Data!H386</f>
        <v>69</v>
      </c>
      <c r="I386" s="1">
        <f>Main_Data!I386</f>
        <v>21.1</v>
      </c>
      <c r="J386" s="1">
        <f>Main_Data!J386</f>
        <v>84</v>
      </c>
      <c r="K386" s="1">
        <f>Main_Data!K386</f>
        <v>47</v>
      </c>
      <c r="L386" s="1" t="str">
        <f>Main_Data!L386</f>
        <v>Asia</v>
      </c>
      <c r="M386" s="1" t="str">
        <f>PROPER(TRIM(Main_Data!A386))</f>
        <v>China</v>
      </c>
      <c r="N386" s="1" t="str">
        <f>PROPER(TRIM(Main_Data!B386))</f>
        <v>East Asia</v>
      </c>
      <c r="O386" s="1" t="str" cm="1">
        <f t="array" ref="O386">_xlfn.IFS(F386&gt;=80,"Very High",F386&gt;=70,"High",F386&gt;=60,"Medium",TRUE,"Low")</f>
        <v>Very High</v>
      </c>
      <c r="P386" s="1" t="str" cm="1">
        <f t="array" ref="P386">_xlfn.IFS(D386&gt;=40000,"High Income",D386&gt;=15000,"Middle Income",TRUE,"Low Income")</f>
        <v>High Income</v>
      </c>
      <c r="Q386" s="1" t="str">
        <f t="shared" si="5"/>
        <v>Duplicate</v>
      </c>
    </row>
    <row r="387" spans="1:17" x14ac:dyDescent="0.25">
      <c r="A387" s="1" t="str">
        <f>Main_Data!A387</f>
        <v>UK</v>
      </c>
      <c r="B387" s="1" t="str">
        <f>Main_Data!B387</f>
        <v>Europe</v>
      </c>
      <c r="C387" s="1">
        <f>Main_Data!C387</f>
        <v>2021</v>
      </c>
      <c r="D387" s="1">
        <f>Main_Data!D387</f>
        <v>23918</v>
      </c>
      <c r="E387" s="1">
        <f>Main_Data!E387</f>
        <v>10</v>
      </c>
      <c r="F387" s="1">
        <f>Main_Data!F387</f>
        <v>74</v>
      </c>
      <c r="G387" s="1">
        <f>Main_Data!G387</f>
        <v>844049896</v>
      </c>
      <c r="H387" s="1">
        <f>Main_Data!H387</f>
        <v>76</v>
      </c>
      <c r="I387" s="1">
        <f>Main_Data!I387</f>
        <v>15.5</v>
      </c>
      <c r="J387" s="1">
        <f>Main_Data!J387</f>
        <v>93</v>
      </c>
      <c r="K387" s="1">
        <f>Main_Data!K387</f>
        <v>49</v>
      </c>
      <c r="L387" s="1" t="str">
        <f>Main_Data!L387</f>
        <v>Europe</v>
      </c>
      <c r="M387" s="1" t="str">
        <f>PROPER(TRIM(Main_Data!A387))</f>
        <v>Uk</v>
      </c>
      <c r="N387" s="1" t="str">
        <f>PROPER(TRIM(Main_Data!B387))</f>
        <v>Europe</v>
      </c>
      <c r="O387" s="1" t="str" cm="1">
        <f t="array" ref="O387">_xlfn.IFS(F387&gt;=80,"Very High",F387&gt;=70,"High",F387&gt;=60,"Medium",TRUE,"Low")</f>
        <v>High</v>
      </c>
      <c r="P387" s="1" t="str" cm="1">
        <f t="array" ref="P387">_xlfn.IFS(D387&gt;=40000,"High Income",D387&gt;=15000,"Middle Income",TRUE,"Low Income")</f>
        <v>Middle Income</v>
      </c>
      <c r="Q387" s="1" t="str">
        <f t="shared" ref="Q387:Q450" si="6">IF(COUNTIFS(A:A,A387,C:C,C387)&gt;1,"Duplicate","OK")</f>
        <v>Duplicate</v>
      </c>
    </row>
    <row r="388" spans="1:17" x14ac:dyDescent="0.25">
      <c r="A388" s="1" t="str">
        <f>Main_Data!A388</f>
        <v>Canada</v>
      </c>
      <c r="B388" s="1" t="str">
        <f>Main_Data!B388</f>
        <v>North America</v>
      </c>
      <c r="C388" s="1">
        <f>Main_Data!C388</f>
        <v>2022</v>
      </c>
      <c r="D388" s="1">
        <f>Main_Data!D388</f>
        <v>59228</v>
      </c>
      <c r="E388" s="1">
        <f>Main_Data!E388</f>
        <v>8.8000000000000007</v>
      </c>
      <c r="F388" s="1">
        <f>Main_Data!F388</f>
        <v>66</v>
      </c>
      <c r="G388" s="1">
        <f>Main_Data!G388</f>
        <v>96035002</v>
      </c>
      <c r="H388" s="1">
        <f>Main_Data!H388</f>
        <v>76</v>
      </c>
      <c r="I388" s="1">
        <f>Main_Data!I388</f>
        <v>21.8</v>
      </c>
      <c r="J388" s="1">
        <f>Main_Data!J388</f>
        <v>89</v>
      </c>
      <c r="K388" s="1">
        <f>Main_Data!K388</f>
        <v>74</v>
      </c>
      <c r="L388" s="1" t="str">
        <f>Main_Data!L388</f>
        <v>North America</v>
      </c>
      <c r="M388" s="1" t="str">
        <f>PROPER(TRIM(Main_Data!A388))</f>
        <v>Canada</v>
      </c>
      <c r="N388" s="1" t="str">
        <f>PROPER(TRIM(Main_Data!B388))</f>
        <v>North America</v>
      </c>
      <c r="O388" s="1" t="str" cm="1">
        <f t="array" ref="O388">_xlfn.IFS(F388&gt;=80,"Very High",F388&gt;=70,"High",F388&gt;=60,"Medium",TRUE,"Low")</f>
        <v>Medium</v>
      </c>
      <c r="P388" s="1" t="str" cm="1">
        <f t="array" ref="P388">_xlfn.IFS(D388&gt;=40000,"High Income",D388&gt;=15000,"Middle Income",TRUE,"Low Income")</f>
        <v>High Income</v>
      </c>
      <c r="Q388" s="1" t="str">
        <f t="shared" si="6"/>
        <v>Duplicate</v>
      </c>
    </row>
    <row r="389" spans="1:17" x14ac:dyDescent="0.25">
      <c r="A389" s="1" t="str">
        <f>Main_Data!A389</f>
        <v>Australia</v>
      </c>
      <c r="B389" s="1" t="str">
        <f>Main_Data!B389</f>
        <v>Oceania</v>
      </c>
      <c r="C389" s="1">
        <f>Main_Data!C389</f>
        <v>2022</v>
      </c>
      <c r="D389" s="1">
        <f>Main_Data!D389</f>
        <v>28349</v>
      </c>
      <c r="E389" s="1">
        <f>Main_Data!E389</f>
        <v>7</v>
      </c>
      <c r="F389" s="1">
        <f>Main_Data!F389</f>
        <v>61</v>
      </c>
      <c r="G389" s="1">
        <f>Main_Data!G389</f>
        <v>421151082</v>
      </c>
      <c r="H389" s="1">
        <f>Main_Data!H389</f>
        <v>93</v>
      </c>
      <c r="I389" s="1">
        <f>Main_Data!I389</f>
        <v>19</v>
      </c>
      <c r="J389" s="1">
        <f>Main_Data!J389</f>
        <v>74</v>
      </c>
      <c r="K389" s="1">
        <f>Main_Data!K389</f>
        <v>47</v>
      </c>
      <c r="L389" s="1" t="str">
        <f>Main_Data!L389</f>
        <v>Oceania</v>
      </c>
      <c r="M389" s="1" t="str">
        <f>PROPER(TRIM(Main_Data!A389))</f>
        <v>Australia</v>
      </c>
      <c r="N389" s="1" t="str">
        <f>PROPER(TRIM(Main_Data!B389))</f>
        <v>Oceania</v>
      </c>
      <c r="O389" s="1" t="str" cm="1">
        <f t="array" ref="O389">_xlfn.IFS(F389&gt;=80,"Very High",F389&gt;=70,"High",F389&gt;=60,"Medium",TRUE,"Low")</f>
        <v>Medium</v>
      </c>
      <c r="P389" s="1" t="str" cm="1">
        <f t="array" ref="P389">_xlfn.IFS(D389&gt;=40000,"High Income",D389&gt;=15000,"Middle Income",TRUE,"Low Income")</f>
        <v>Middle Income</v>
      </c>
      <c r="Q389" s="1" t="str">
        <f t="shared" si="6"/>
        <v>Duplicate</v>
      </c>
    </row>
    <row r="390" spans="1:17" x14ac:dyDescent="0.25">
      <c r="A390" s="1" t="str">
        <f>Main_Data!A390</f>
        <v>Japan</v>
      </c>
      <c r="B390" s="1" t="str">
        <f>Main_Data!B390</f>
        <v>East Asia</v>
      </c>
      <c r="C390" s="1">
        <f>Main_Data!C390</f>
        <v>2022</v>
      </c>
      <c r="D390" s="1">
        <f>Main_Data!D390</f>
        <v>34011</v>
      </c>
      <c r="E390" s="1">
        <f>Main_Data!E390</f>
        <v>7.9</v>
      </c>
      <c r="F390" s="1">
        <f>Main_Data!F390</f>
        <v>63</v>
      </c>
      <c r="G390" s="1">
        <f>Main_Data!G390</f>
        <v>454896118</v>
      </c>
      <c r="H390" s="1">
        <f>Main_Data!H390</f>
        <v>59</v>
      </c>
      <c r="I390" s="1">
        <f>Main_Data!I390</f>
        <v>23.1</v>
      </c>
      <c r="J390" s="1">
        <f>Main_Data!J390</f>
        <v>79</v>
      </c>
      <c r="K390" s="1">
        <f>Main_Data!K390</f>
        <v>31</v>
      </c>
      <c r="L390" s="1" t="str">
        <f>Main_Data!L390</f>
        <v>Asia</v>
      </c>
      <c r="M390" s="1" t="str">
        <f>PROPER(TRIM(Main_Data!A390))</f>
        <v>Japan</v>
      </c>
      <c r="N390" s="1" t="str">
        <f>PROPER(TRIM(Main_Data!B390))</f>
        <v>East Asia</v>
      </c>
      <c r="O390" s="1" t="str" cm="1">
        <f t="array" ref="O390">_xlfn.IFS(F390&gt;=80,"Very High",F390&gt;=70,"High",F390&gt;=60,"Medium",TRUE,"Low")</f>
        <v>Medium</v>
      </c>
      <c r="P390" s="1" t="str" cm="1">
        <f t="array" ref="P390">_xlfn.IFS(D390&gt;=40000,"High Income",D390&gt;=15000,"Middle Income",TRUE,"Low Income")</f>
        <v>Middle Income</v>
      </c>
      <c r="Q390" s="1" t="str">
        <f t="shared" si="6"/>
        <v>Duplicate</v>
      </c>
    </row>
    <row r="391" spans="1:17" x14ac:dyDescent="0.25">
      <c r="A391" s="1" t="str">
        <f>Main_Data!A391</f>
        <v>South Africa</v>
      </c>
      <c r="B391" s="1" t="str">
        <f>Main_Data!B391</f>
        <v>Africa</v>
      </c>
      <c r="C391" s="1">
        <f>Main_Data!C391</f>
        <v>2020</v>
      </c>
      <c r="D391" s="1">
        <f>Main_Data!D391</f>
        <v>19879</v>
      </c>
      <c r="E391" s="1">
        <f>Main_Data!E391</f>
        <v>10.5</v>
      </c>
      <c r="F391" s="1">
        <f>Main_Data!F391</f>
        <v>66</v>
      </c>
      <c r="G391" s="1">
        <f>Main_Data!G391</f>
        <v>876409362</v>
      </c>
      <c r="H391" s="1">
        <f>Main_Data!H391</f>
        <v>90</v>
      </c>
      <c r="I391" s="1">
        <f>Main_Data!I391</f>
        <v>23.3</v>
      </c>
      <c r="J391" s="1">
        <f>Main_Data!J391</f>
        <v>79</v>
      </c>
      <c r="K391" s="1">
        <f>Main_Data!K391</f>
        <v>70</v>
      </c>
      <c r="L391" s="1" t="str">
        <f>Main_Data!L391</f>
        <v>Africa</v>
      </c>
      <c r="M391" s="1" t="str">
        <f>PROPER(TRIM(Main_Data!A391))</f>
        <v>South Africa</v>
      </c>
      <c r="N391" s="1" t="str">
        <f>PROPER(TRIM(Main_Data!B391))</f>
        <v>Africa</v>
      </c>
      <c r="O391" s="1" t="str" cm="1">
        <f t="array" ref="O391">_xlfn.IFS(F391&gt;=80,"Very High",F391&gt;=70,"High",F391&gt;=60,"Medium",TRUE,"Low")</f>
        <v>Medium</v>
      </c>
      <c r="P391" s="1" t="str" cm="1">
        <f t="array" ref="P391">_xlfn.IFS(D391&gt;=40000,"High Income",D391&gt;=15000,"Middle Income",TRUE,"Low Income")</f>
        <v>Middle Income</v>
      </c>
      <c r="Q391" s="1" t="str">
        <f t="shared" si="6"/>
        <v>Duplicate</v>
      </c>
    </row>
    <row r="392" spans="1:17" x14ac:dyDescent="0.25">
      <c r="A392" s="1" t="str">
        <f>Main_Data!A392</f>
        <v>India</v>
      </c>
      <c r="B392" s="1" t="str">
        <f>Main_Data!B392</f>
        <v>South Asia</v>
      </c>
      <c r="C392" s="1">
        <f>Main_Data!C392</f>
        <v>2020</v>
      </c>
      <c r="D392" s="1">
        <f>Main_Data!D392</f>
        <v>40859</v>
      </c>
      <c r="E392" s="1">
        <f>Main_Data!E392</f>
        <v>4.9000000000000004</v>
      </c>
      <c r="F392" s="1">
        <f>Main_Data!F392</f>
        <v>70</v>
      </c>
      <c r="G392" s="1">
        <f>Main_Data!G392</f>
        <v>1265409244</v>
      </c>
      <c r="H392" s="1">
        <f>Main_Data!H392</f>
        <v>69</v>
      </c>
      <c r="I392" s="1">
        <f>Main_Data!I392</f>
        <v>14.4</v>
      </c>
      <c r="J392" s="1">
        <f>Main_Data!J392</f>
        <v>86</v>
      </c>
      <c r="K392" s="1">
        <f>Main_Data!K392</f>
        <v>33</v>
      </c>
      <c r="L392" s="1" t="str">
        <f>Main_Data!L392</f>
        <v>Asia</v>
      </c>
      <c r="M392" s="1" t="str">
        <f>PROPER(TRIM(Main_Data!A392))</f>
        <v>India</v>
      </c>
      <c r="N392" s="1" t="str">
        <f>PROPER(TRIM(Main_Data!B392))</f>
        <v>South Asia</v>
      </c>
      <c r="O392" s="1" t="str" cm="1">
        <f t="array" ref="O392">_xlfn.IFS(F392&gt;=80,"Very High",F392&gt;=70,"High",F392&gt;=60,"Medium",TRUE,"Low")</f>
        <v>High</v>
      </c>
      <c r="P392" s="1" t="str" cm="1">
        <f t="array" ref="P392">_xlfn.IFS(D392&gt;=40000,"High Income",D392&gt;=15000,"Middle Income",TRUE,"Low Income")</f>
        <v>High Income</v>
      </c>
      <c r="Q392" s="1" t="str">
        <f t="shared" si="6"/>
        <v>Duplicate</v>
      </c>
    </row>
    <row r="393" spans="1:17" x14ac:dyDescent="0.25">
      <c r="A393" s="1" t="str">
        <f>Main_Data!A393</f>
        <v>USA</v>
      </c>
      <c r="B393" s="1" t="str">
        <f>Main_Data!B393</f>
        <v>North America</v>
      </c>
      <c r="C393" s="1">
        <f>Main_Data!C393</f>
        <v>2021</v>
      </c>
      <c r="D393" s="1">
        <f>Main_Data!D393</f>
        <v>3658</v>
      </c>
      <c r="E393" s="1">
        <f>Main_Data!E393</f>
        <v>16.2</v>
      </c>
      <c r="F393" s="1">
        <f>Main_Data!F393</f>
        <v>85</v>
      </c>
      <c r="G393" s="1">
        <f>Main_Data!G393</f>
        <v>1353066187</v>
      </c>
      <c r="H393" s="1">
        <f>Main_Data!H393</f>
        <v>80</v>
      </c>
      <c r="I393" s="1">
        <f>Main_Data!I393</f>
        <v>3.6</v>
      </c>
      <c r="J393" s="1">
        <f>Main_Data!J393</f>
        <v>84</v>
      </c>
      <c r="K393" s="1">
        <f>Main_Data!K393</f>
        <v>70</v>
      </c>
      <c r="L393" s="1" t="str">
        <f>Main_Data!L393</f>
        <v>North America</v>
      </c>
      <c r="M393" s="1" t="str">
        <f>PROPER(TRIM(Main_Data!A393))</f>
        <v>Usa</v>
      </c>
      <c r="N393" s="1" t="str">
        <f>PROPER(TRIM(Main_Data!B393))</f>
        <v>North America</v>
      </c>
      <c r="O393" s="1" t="str" cm="1">
        <f t="array" ref="O393">_xlfn.IFS(F393&gt;=80,"Very High",F393&gt;=70,"High",F393&gt;=60,"Medium",TRUE,"Low")</f>
        <v>Very High</v>
      </c>
      <c r="P393" s="1" t="str" cm="1">
        <f t="array" ref="P393">_xlfn.IFS(D393&gt;=40000,"High Income",D393&gt;=15000,"Middle Income",TRUE,"Low Income")</f>
        <v>Low Income</v>
      </c>
      <c r="Q393" s="1" t="str">
        <f t="shared" si="6"/>
        <v>Duplicate</v>
      </c>
    </row>
    <row r="394" spans="1:17" x14ac:dyDescent="0.25">
      <c r="A394" s="1" t="str">
        <f>Main_Data!A394</f>
        <v>Germany</v>
      </c>
      <c r="B394" s="1" t="str">
        <f>Main_Data!B394</f>
        <v>Europe</v>
      </c>
      <c r="C394" s="1">
        <f>Main_Data!C394</f>
        <v>2021</v>
      </c>
      <c r="D394" s="1">
        <f>Main_Data!D394</f>
        <v>28472</v>
      </c>
      <c r="E394" s="1">
        <f>Main_Data!E394</f>
        <v>9.1</v>
      </c>
      <c r="F394" s="1">
        <f>Main_Data!F394</f>
        <v>80</v>
      </c>
      <c r="G394" s="1">
        <f>Main_Data!G394</f>
        <v>1068064073</v>
      </c>
      <c r="H394" s="1">
        <f>Main_Data!H394</f>
        <v>59</v>
      </c>
      <c r="I394" s="1">
        <f>Main_Data!I394</f>
        <v>12.8</v>
      </c>
      <c r="J394" s="1">
        <f>Main_Data!J394</f>
        <v>71</v>
      </c>
      <c r="K394" s="1">
        <f>Main_Data!K394</f>
        <v>86</v>
      </c>
      <c r="L394" s="1" t="str">
        <f>Main_Data!L394</f>
        <v>Europe</v>
      </c>
      <c r="M394" s="1" t="str">
        <f>PROPER(TRIM(Main_Data!A394))</f>
        <v>Germany</v>
      </c>
      <c r="N394" s="1" t="str">
        <f>PROPER(TRIM(Main_Data!B394))</f>
        <v>Europe</v>
      </c>
      <c r="O394" s="1" t="str" cm="1">
        <f t="array" ref="O394">_xlfn.IFS(F394&gt;=80,"Very High",F394&gt;=70,"High",F394&gt;=60,"Medium",TRUE,"Low")</f>
        <v>Very High</v>
      </c>
      <c r="P394" s="1" t="str" cm="1">
        <f t="array" ref="P394">_xlfn.IFS(D394&gt;=40000,"High Income",D394&gt;=15000,"Middle Income",TRUE,"Low Income")</f>
        <v>Middle Income</v>
      </c>
      <c r="Q394" s="1" t="str">
        <f t="shared" si="6"/>
        <v>Duplicate</v>
      </c>
    </row>
    <row r="395" spans="1:17" x14ac:dyDescent="0.25">
      <c r="A395" s="1" t="str">
        <f>Main_Data!A395</f>
        <v>Brazil</v>
      </c>
      <c r="B395" s="1" t="str">
        <f>Main_Data!B395</f>
        <v>South America</v>
      </c>
      <c r="C395" s="1">
        <f>Main_Data!C395</f>
        <v>2022</v>
      </c>
      <c r="D395" s="1">
        <f>Main_Data!D395</f>
        <v>57516</v>
      </c>
      <c r="E395" s="1">
        <f>Main_Data!E395</f>
        <v>13.8</v>
      </c>
      <c r="F395" s="1">
        <f>Main_Data!F395</f>
        <v>76</v>
      </c>
      <c r="G395" s="1">
        <f>Main_Data!G395</f>
        <v>536204215</v>
      </c>
      <c r="H395" s="1">
        <f>Main_Data!H395</f>
        <v>75</v>
      </c>
      <c r="I395" s="1">
        <f>Main_Data!I395</f>
        <v>24.3</v>
      </c>
      <c r="J395" s="1">
        <f>Main_Data!J395</f>
        <v>75</v>
      </c>
      <c r="K395" s="1">
        <f>Main_Data!K395</f>
        <v>47</v>
      </c>
      <c r="L395" s="1" t="str">
        <f>Main_Data!L395</f>
        <v>South America</v>
      </c>
      <c r="M395" s="1" t="str">
        <f>PROPER(TRIM(Main_Data!A395))</f>
        <v>Brazil</v>
      </c>
      <c r="N395" s="1" t="str">
        <f>PROPER(TRIM(Main_Data!B395))</f>
        <v>South America</v>
      </c>
      <c r="O395" s="1" t="str" cm="1">
        <f t="array" ref="O395">_xlfn.IFS(F395&gt;=80,"Very High",F395&gt;=70,"High",F395&gt;=60,"Medium",TRUE,"Low")</f>
        <v>High</v>
      </c>
      <c r="P395" s="1" t="str" cm="1">
        <f t="array" ref="P395">_xlfn.IFS(D395&gt;=40000,"High Income",D395&gt;=15000,"Middle Income",TRUE,"Low Income")</f>
        <v>High Income</v>
      </c>
      <c r="Q395" s="1" t="str">
        <f t="shared" si="6"/>
        <v>Duplicate</v>
      </c>
    </row>
    <row r="396" spans="1:17" x14ac:dyDescent="0.25">
      <c r="A396" s="1" t="str">
        <f>Main_Data!A396</f>
        <v>China</v>
      </c>
      <c r="B396" s="1" t="str">
        <f>Main_Data!B396</f>
        <v>East Asia</v>
      </c>
      <c r="C396" s="1">
        <f>Main_Data!C396</f>
        <v>2020</v>
      </c>
      <c r="D396" s="1">
        <f>Main_Data!D396</f>
        <v>2363</v>
      </c>
      <c r="E396" s="1">
        <f>Main_Data!E396</f>
        <v>6</v>
      </c>
      <c r="F396" s="1">
        <f>Main_Data!F396</f>
        <v>79</v>
      </c>
      <c r="G396" s="1">
        <f>Main_Data!G396</f>
        <v>680837925</v>
      </c>
      <c r="H396" s="1">
        <f>Main_Data!H396</f>
        <v>65</v>
      </c>
      <c r="I396" s="1">
        <f>Main_Data!I396</f>
        <v>21.8</v>
      </c>
      <c r="J396" s="1">
        <f>Main_Data!J396</f>
        <v>100</v>
      </c>
      <c r="K396" s="1">
        <f>Main_Data!K396</f>
        <v>90</v>
      </c>
      <c r="L396" s="1" t="str">
        <f>Main_Data!L396</f>
        <v>Asia</v>
      </c>
      <c r="M396" s="1" t="str">
        <f>PROPER(TRIM(Main_Data!A396))</f>
        <v>China</v>
      </c>
      <c r="N396" s="1" t="str">
        <f>PROPER(TRIM(Main_Data!B396))</f>
        <v>East Asia</v>
      </c>
      <c r="O396" s="1" t="str" cm="1">
        <f t="array" ref="O396">_xlfn.IFS(F396&gt;=80,"Very High",F396&gt;=70,"High",F396&gt;=60,"Medium",TRUE,"Low")</f>
        <v>High</v>
      </c>
      <c r="P396" s="1" t="str" cm="1">
        <f t="array" ref="P396">_xlfn.IFS(D396&gt;=40000,"High Income",D396&gt;=15000,"Middle Income",TRUE,"Low Income")</f>
        <v>Low Income</v>
      </c>
      <c r="Q396" s="1" t="str">
        <f t="shared" si="6"/>
        <v>Duplicate</v>
      </c>
    </row>
    <row r="397" spans="1:17" x14ac:dyDescent="0.25">
      <c r="A397" s="1" t="str">
        <f>Main_Data!A397</f>
        <v>UK</v>
      </c>
      <c r="B397" s="1" t="str">
        <f>Main_Data!B397</f>
        <v>Europe</v>
      </c>
      <c r="C397" s="1">
        <f>Main_Data!C397</f>
        <v>2020</v>
      </c>
      <c r="D397" s="1">
        <f>Main_Data!D397</f>
        <v>7995</v>
      </c>
      <c r="E397" s="1">
        <f>Main_Data!E397</f>
        <v>15</v>
      </c>
      <c r="F397" s="1">
        <f>Main_Data!F397</f>
        <v>76</v>
      </c>
      <c r="G397" s="1">
        <f>Main_Data!G397</f>
        <v>45891353</v>
      </c>
      <c r="H397" s="1">
        <f>Main_Data!H397</f>
        <v>89</v>
      </c>
      <c r="I397" s="1">
        <f>Main_Data!I397</f>
        <v>3.1</v>
      </c>
      <c r="J397" s="1">
        <f>Main_Data!J397</f>
        <v>72</v>
      </c>
      <c r="K397" s="1">
        <f>Main_Data!K397</f>
        <v>81</v>
      </c>
      <c r="L397" s="1" t="str">
        <f>Main_Data!L397</f>
        <v>Europe</v>
      </c>
      <c r="M397" s="1" t="str">
        <f>PROPER(TRIM(Main_Data!A397))</f>
        <v>Uk</v>
      </c>
      <c r="N397" s="1" t="str">
        <f>PROPER(TRIM(Main_Data!B397))</f>
        <v>Europe</v>
      </c>
      <c r="O397" s="1" t="str" cm="1">
        <f t="array" ref="O397">_xlfn.IFS(F397&gt;=80,"Very High",F397&gt;=70,"High",F397&gt;=60,"Medium",TRUE,"Low")</f>
        <v>High</v>
      </c>
      <c r="P397" s="1" t="str" cm="1">
        <f t="array" ref="P397">_xlfn.IFS(D397&gt;=40000,"High Income",D397&gt;=15000,"Middle Income",TRUE,"Low Income")</f>
        <v>Low Income</v>
      </c>
      <c r="Q397" s="1" t="str">
        <f t="shared" si="6"/>
        <v>Duplicate</v>
      </c>
    </row>
    <row r="398" spans="1:17" x14ac:dyDescent="0.25">
      <c r="A398" s="1" t="str">
        <f>Main_Data!A398</f>
        <v>Canada</v>
      </c>
      <c r="B398" s="1" t="str">
        <f>Main_Data!B398</f>
        <v>North America</v>
      </c>
      <c r="C398" s="1">
        <f>Main_Data!C398</f>
        <v>2022</v>
      </c>
      <c r="D398" s="1">
        <f>Main_Data!D398</f>
        <v>16460</v>
      </c>
      <c r="E398" s="1">
        <f>Main_Data!E398</f>
        <v>11.6</v>
      </c>
      <c r="F398" s="1">
        <f>Main_Data!F398</f>
        <v>62</v>
      </c>
      <c r="G398" s="1">
        <f>Main_Data!G398</f>
        <v>944538253</v>
      </c>
      <c r="H398" s="1">
        <f>Main_Data!H398</f>
        <v>63</v>
      </c>
      <c r="I398" s="1">
        <f>Main_Data!I398</f>
        <v>10.6</v>
      </c>
      <c r="J398" s="1">
        <f>Main_Data!J398</f>
        <v>93</v>
      </c>
      <c r="K398" s="1">
        <f>Main_Data!K398</f>
        <v>56</v>
      </c>
      <c r="L398" s="1" t="str">
        <f>Main_Data!L398</f>
        <v>North America</v>
      </c>
      <c r="M398" s="1" t="str">
        <f>PROPER(TRIM(Main_Data!A398))</f>
        <v>Canada</v>
      </c>
      <c r="N398" s="1" t="str">
        <f>PROPER(TRIM(Main_Data!B398))</f>
        <v>North America</v>
      </c>
      <c r="O398" s="1" t="str" cm="1">
        <f t="array" ref="O398">_xlfn.IFS(F398&gt;=80,"Very High",F398&gt;=70,"High",F398&gt;=60,"Medium",TRUE,"Low")</f>
        <v>Medium</v>
      </c>
      <c r="P398" s="1" t="str" cm="1">
        <f t="array" ref="P398">_xlfn.IFS(D398&gt;=40000,"High Income",D398&gt;=15000,"Middle Income",TRUE,"Low Income")</f>
        <v>Middle Income</v>
      </c>
      <c r="Q398" s="1" t="str">
        <f t="shared" si="6"/>
        <v>Duplicate</v>
      </c>
    </row>
    <row r="399" spans="1:17" x14ac:dyDescent="0.25">
      <c r="A399" s="1" t="str">
        <f>Main_Data!A399</f>
        <v>Australia</v>
      </c>
      <c r="B399" s="1" t="str">
        <f>Main_Data!B399</f>
        <v>Oceania</v>
      </c>
      <c r="C399" s="1">
        <f>Main_Data!C399</f>
        <v>2020</v>
      </c>
      <c r="D399" s="1">
        <f>Main_Data!D399</f>
        <v>50989</v>
      </c>
      <c r="E399" s="1">
        <f>Main_Data!E399</f>
        <v>7.2</v>
      </c>
      <c r="F399" s="1">
        <f>Main_Data!F399</f>
        <v>74</v>
      </c>
      <c r="G399" s="1">
        <f>Main_Data!G399</f>
        <v>1444144732</v>
      </c>
      <c r="H399" s="1">
        <f>Main_Data!H399</f>
        <v>54</v>
      </c>
      <c r="I399" s="1">
        <f>Main_Data!I399</f>
        <v>18.2</v>
      </c>
      <c r="J399" s="1">
        <f>Main_Data!J399</f>
        <v>83</v>
      </c>
      <c r="K399" s="1">
        <f>Main_Data!K399</f>
        <v>35</v>
      </c>
      <c r="L399" s="1" t="str">
        <f>Main_Data!L399</f>
        <v>Oceania</v>
      </c>
      <c r="M399" s="1" t="str">
        <f>PROPER(TRIM(Main_Data!A399))</f>
        <v>Australia</v>
      </c>
      <c r="N399" s="1" t="str">
        <f>PROPER(TRIM(Main_Data!B399))</f>
        <v>Oceania</v>
      </c>
      <c r="O399" s="1" t="str" cm="1">
        <f t="array" ref="O399">_xlfn.IFS(F399&gt;=80,"Very High",F399&gt;=70,"High",F399&gt;=60,"Medium",TRUE,"Low")</f>
        <v>High</v>
      </c>
      <c r="P399" s="1" t="str" cm="1">
        <f t="array" ref="P399">_xlfn.IFS(D399&gt;=40000,"High Income",D399&gt;=15000,"Middle Income",TRUE,"Low Income")</f>
        <v>High Income</v>
      </c>
      <c r="Q399" s="1" t="str">
        <f t="shared" si="6"/>
        <v>Duplicate</v>
      </c>
    </row>
    <row r="400" spans="1:17" x14ac:dyDescent="0.25">
      <c r="A400" s="1" t="str">
        <f>Main_Data!A400</f>
        <v>Japan</v>
      </c>
      <c r="B400" s="1" t="str">
        <f>Main_Data!B400</f>
        <v>East Asia</v>
      </c>
      <c r="C400" s="1">
        <f>Main_Data!C400</f>
        <v>2021</v>
      </c>
      <c r="D400" s="1">
        <f>Main_Data!D400</f>
        <v>46887</v>
      </c>
      <c r="E400" s="1">
        <f>Main_Data!E400</f>
        <v>16.8</v>
      </c>
      <c r="F400" s="1">
        <f>Main_Data!F400</f>
        <v>72</v>
      </c>
      <c r="G400" s="1">
        <f>Main_Data!G400</f>
        <v>983193431</v>
      </c>
      <c r="H400" s="1">
        <f>Main_Data!H400</f>
        <v>58</v>
      </c>
      <c r="I400" s="1">
        <f>Main_Data!I400</f>
        <v>6</v>
      </c>
      <c r="J400" s="1">
        <f>Main_Data!J400</f>
        <v>79</v>
      </c>
      <c r="K400" s="1">
        <f>Main_Data!K400</f>
        <v>44</v>
      </c>
      <c r="L400" s="1" t="str">
        <f>Main_Data!L400</f>
        <v>Asia</v>
      </c>
      <c r="M400" s="1" t="str">
        <f>PROPER(TRIM(Main_Data!A400))</f>
        <v>Japan</v>
      </c>
      <c r="N400" s="1" t="str">
        <f>PROPER(TRIM(Main_Data!B400))</f>
        <v>East Asia</v>
      </c>
      <c r="O400" s="1" t="str" cm="1">
        <f t="array" ref="O400">_xlfn.IFS(F400&gt;=80,"Very High",F400&gt;=70,"High",F400&gt;=60,"Medium",TRUE,"Low")</f>
        <v>High</v>
      </c>
      <c r="P400" s="1" t="str" cm="1">
        <f t="array" ref="P400">_xlfn.IFS(D400&gt;=40000,"High Income",D400&gt;=15000,"Middle Income",TRUE,"Low Income")</f>
        <v>High Income</v>
      </c>
      <c r="Q400" s="1" t="str">
        <f t="shared" si="6"/>
        <v>Duplicate</v>
      </c>
    </row>
    <row r="401" spans="1:17" x14ac:dyDescent="0.25">
      <c r="A401" s="1" t="str">
        <f>Main_Data!A401</f>
        <v>South Africa</v>
      </c>
      <c r="B401" s="1" t="str">
        <f>Main_Data!B401</f>
        <v>Africa</v>
      </c>
      <c r="C401" s="1">
        <f>Main_Data!C401</f>
        <v>2021</v>
      </c>
      <c r="D401" s="1">
        <f>Main_Data!D401</f>
        <v>42307</v>
      </c>
      <c r="E401" s="1">
        <f>Main_Data!E401</f>
        <v>7.7</v>
      </c>
      <c r="F401" s="1">
        <f>Main_Data!F401</f>
        <v>71</v>
      </c>
      <c r="G401" s="1">
        <f>Main_Data!G401</f>
        <v>2676624</v>
      </c>
      <c r="H401" s="1">
        <f>Main_Data!H401</f>
        <v>92</v>
      </c>
      <c r="I401" s="1">
        <f>Main_Data!I401</f>
        <v>17.2</v>
      </c>
      <c r="J401" s="1">
        <f>Main_Data!J401</f>
        <v>97</v>
      </c>
      <c r="K401" s="1">
        <f>Main_Data!K401</f>
        <v>89</v>
      </c>
      <c r="L401" s="1" t="str">
        <f>Main_Data!L401</f>
        <v>Africa</v>
      </c>
      <c r="M401" s="1" t="str">
        <f>PROPER(TRIM(Main_Data!A401))</f>
        <v>South Africa</v>
      </c>
      <c r="N401" s="1" t="str">
        <f>PROPER(TRIM(Main_Data!B401))</f>
        <v>Africa</v>
      </c>
      <c r="O401" s="1" t="str" cm="1">
        <f t="array" ref="O401">_xlfn.IFS(F401&gt;=80,"Very High",F401&gt;=70,"High",F401&gt;=60,"Medium",TRUE,"Low")</f>
        <v>High</v>
      </c>
      <c r="P401" s="1" t="str" cm="1">
        <f t="array" ref="P401">_xlfn.IFS(D401&gt;=40000,"High Income",D401&gt;=15000,"Middle Income",TRUE,"Low Income")</f>
        <v>High Income</v>
      </c>
      <c r="Q401" s="1" t="str">
        <f t="shared" si="6"/>
        <v>Duplicate</v>
      </c>
    </row>
    <row r="402" spans="1:17" x14ac:dyDescent="0.25">
      <c r="A402" s="1" t="str">
        <f>Main_Data!A402</f>
        <v>India</v>
      </c>
      <c r="B402" s="1" t="str">
        <f>Main_Data!B402</f>
        <v>South Asia</v>
      </c>
      <c r="C402" s="1">
        <f>Main_Data!C402</f>
        <v>2021</v>
      </c>
      <c r="D402" s="1">
        <f>Main_Data!D402</f>
        <v>46124</v>
      </c>
      <c r="E402" s="1">
        <f>Main_Data!E402</f>
        <v>11.2</v>
      </c>
      <c r="F402" s="1">
        <f>Main_Data!F402</f>
        <v>78</v>
      </c>
      <c r="G402" s="1">
        <f>Main_Data!G402</f>
        <v>774704291</v>
      </c>
      <c r="H402" s="1">
        <f>Main_Data!H402</f>
        <v>51</v>
      </c>
      <c r="I402" s="1">
        <f>Main_Data!I402</f>
        <v>11.2</v>
      </c>
      <c r="J402" s="1">
        <f>Main_Data!J402</f>
        <v>88</v>
      </c>
      <c r="K402" s="1">
        <f>Main_Data!K402</f>
        <v>69</v>
      </c>
      <c r="L402" s="1" t="str">
        <f>Main_Data!L402</f>
        <v>Asia</v>
      </c>
      <c r="M402" s="1" t="str">
        <f>PROPER(TRIM(Main_Data!A402))</f>
        <v>India</v>
      </c>
      <c r="N402" s="1" t="str">
        <f>PROPER(TRIM(Main_Data!B402))</f>
        <v>South Asia</v>
      </c>
      <c r="O402" s="1" t="str" cm="1">
        <f t="array" ref="O402">_xlfn.IFS(F402&gt;=80,"Very High",F402&gt;=70,"High",F402&gt;=60,"Medium",TRUE,"Low")</f>
        <v>High</v>
      </c>
      <c r="P402" s="1" t="str" cm="1">
        <f t="array" ref="P402">_xlfn.IFS(D402&gt;=40000,"High Income",D402&gt;=15000,"Middle Income",TRUE,"Low Income")</f>
        <v>High Income</v>
      </c>
      <c r="Q402" s="1" t="str">
        <f t="shared" si="6"/>
        <v>Duplicate</v>
      </c>
    </row>
    <row r="403" spans="1:17" x14ac:dyDescent="0.25">
      <c r="A403" s="1" t="str">
        <f>Main_Data!A403</f>
        <v>USA</v>
      </c>
      <c r="B403" s="1" t="str">
        <f>Main_Data!B403</f>
        <v>North America</v>
      </c>
      <c r="C403" s="1">
        <f>Main_Data!C403</f>
        <v>2020</v>
      </c>
      <c r="D403" s="1">
        <f>Main_Data!D403</f>
        <v>66404</v>
      </c>
      <c r="E403" s="1">
        <f>Main_Data!E403</f>
        <v>13.5</v>
      </c>
      <c r="F403" s="1">
        <f>Main_Data!F403</f>
        <v>75</v>
      </c>
      <c r="G403" s="1">
        <f>Main_Data!G403</f>
        <v>425886178</v>
      </c>
      <c r="H403" s="1">
        <f>Main_Data!H403</f>
        <v>64</v>
      </c>
      <c r="I403" s="1">
        <f>Main_Data!I403</f>
        <v>15.6</v>
      </c>
      <c r="J403" s="1">
        <f>Main_Data!J403</f>
        <v>79</v>
      </c>
      <c r="K403" s="1">
        <f>Main_Data!K403</f>
        <v>74</v>
      </c>
      <c r="L403" s="1" t="str">
        <f>Main_Data!L403</f>
        <v>North America</v>
      </c>
      <c r="M403" s="1" t="str">
        <f>PROPER(TRIM(Main_Data!A403))</f>
        <v>Usa</v>
      </c>
      <c r="N403" s="1" t="str">
        <f>PROPER(TRIM(Main_Data!B403))</f>
        <v>North America</v>
      </c>
      <c r="O403" s="1" t="str" cm="1">
        <f t="array" ref="O403">_xlfn.IFS(F403&gt;=80,"Very High",F403&gt;=70,"High",F403&gt;=60,"Medium",TRUE,"Low")</f>
        <v>High</v>
      </c>
      <c r="P403" s="1" t="str" cm="1">
        <f t="array" ref="P403">_xlfn.IFS(D403&gt;=40000,"High Income",D403&gt;=15000,"Middle Income",TRUE,"Low Income")</f>
        <v>High Income</v>
      </c>
      <c r="Q403" s="1" t="str">
        <f t="shared" si="6"/>
        <v>Duplicate</v>
      </c>
    </row>
    <row r="404" spans="1:17" x14ac:dyDescent="0.25">
      <c r="A404" s="1" t="str">
        <f>Main_Data!A404</f>
        <v>Germany</v>
      </c>
      <c r="B404" s="1" t="str">
        <f>Main_Data!B404</f>
        <v>Europe</v>
      </c>
      <c r="C404" s="1">
        <f>Main_Data!C404</f>
        <v>2020</v>
      </c>
      <c r="D404" s="1">
        <f>Main_Data!D404</f>
        <v>67637</v>
      </c>
      <c r="E404" s="1">
        <f>Main_Data!E404</f>
        <v>9.8000000000000007</v>
      </c>
      <c r="F404" s="1">
        <f>Main_Data!F404</f>
        <v>82</v>
      </c>
      <c r="G404" s="1">
        <f>Main_Data!G404</f>
        <v>1122339088</v>
      </c>
      <c r="H404" s="1">
        <f>Main_Data!H404</f>
        <v>52</v>
      </c>
      <c r="I404" s="1">
        <f>Main_Data!I404</f>
        <v>23.4</v>
      </c>
      <c r="J404" s="1">
        <f>Main_Data!J404</f>
        <v>85</v>
      </c>
      <c r="K404" s="1">
        <f>Main_Data!K404</f>
        <v>86</v>
      </c>
      <c r="L404" s="1" t="str">
        <f>Main_Data!L404</f>
        <v>Europe</v>
      </c>
      <c r="M404" s="1" t="str">
        <f>PROPER(TRIM(Main_Data!A404))</f>
        <v>Germany</v>
      </c>
      <c r="N404" s="1" t="str">
        <f>PROPER(TRIM(Main_Data!B404))</f>
        <v>Europe</v>
      </c>
      <c r="O404" s="1" t="str" cm="1">
        <f t="array" ref="O404">_xlfn.IFS(F404&gt;=80,"Very High",F404&gt;=70,"High",F404&gt;=60,"Medium",TRUE,"Low")</f>
        <v>Very High</v>
      </c>
      <c r="P404" s="1" t="str" cm="1">
        <f t="array" ref="P404">_xlfn.IFS(D404&gt;=40000,"High Income",D404&gt;=15000,"Middle Income",TRUE,"Low Income")</f>
        <v>High Income</v>
      </c>
      <c r="Q404" s="1" t="str">
        <f t="shared" si="6"/>
        <v>Duplicate</v>
      </c>
    </row>
    <row r="405" spans="1:17" x14ac:dyDescent="0.25">
      <c r="A405" s="1" t="str">
        <f>Main_Data!A405</f>
        <v>Brazil</v>
      </c>
      <c r="B405" s="1" t="str">
        <f>Main_Data!B405</f>
        <v>South America</v>
      </c>
      <c r="C405" s="1">
        <f>Main_Data!C405</f>
        <v>2020</v>
      </c>
      <c r="D405" s="1">
        <f>Main_Data!D405</f>
        <v>55986</v>
      </c>
      <c r="E405" s="1">
        <f>Main_Data!E405</f>
        <v>15</v>
      </c>
      <c r="F405" s="1">
        <f>Main_Data!F405</f>
        <v>73</v>
      </c>
      <c r="G405" s="1">
        <f>Main_Data!G405</f>
        <v>628325803</v>
      </c>
      <c r="H405" s="1">
        <f>Main_Data!H405</f>
        <v>66</v>
      </c>
      <c r="I405" s="1">
        <f>Main_Data!I405</f>
        <v>8.1999999999999993</v>
      </c>
      <c r="J405" s="1">
        <f>Main_Data!J405</f>
        <v>85</v>
      </c>
      <c r="K405" s="1">
        <f>Main_Data!K405</f>
        <v>46</v>
      </c>
      <c r="L405" s="1" t="str">
        <f>Main_Data!L405</f>
        <v>South America</v>
      </c>
      <c r="M405" s="1" t="str">
        <f>PROPER(TRIM(Main_Data!A405))</f>
        <v>Brazil</v>
      </c>
      <c r="N405" s="1" t="str">
        <f>PROPER(TRIM(Main_Data!B405))</f>
        <v>South America</v>
      </c>
      <c r="O405" s="1" t="str" cm="1">
        <f t="array" ref="O405">_xlfn.IFS(F405&gt;=80,"Very High",F405&gt;=70,"High",F405&gt;=60,"Medium",TRUE,"Low")</f>
        <v>High</v>
      </c>
      <c r="P405" s="1" t="str" cm="1">
        <f t="array" ref="P405">_xlfn.IFS(D405&gt;=40000,"High Income",D405&gt;=15000,"Middle Income",TRUE,"Low Income")</f>
        <v>High Income</v>
      </c>
      <c r="Q405" s="1" t="str">
        <f t="shared" si="6"/>
        <v>Duplicate</v>
      </c>
    </row>
    <row r="406" spans="1:17" x14ac:dyDescent="0.25">
      <c r="A406" s="1" t="str">
        <f>Main_Data!A406</f>
        <v>China</v>
      </c>
      <c r="B406" s="1" t="str">
        <f>Main_Data!B406</f>
        <v>East Asia</v>
      </c>
      <c r="C406" s="1">
        <f>Main_Data!C406</f>
        <v>2021</v>
      </c>
      <c r="D406" s="1">
        <f>Main_Data!D406</f>
        <v>39651</v>
      </c>
      <c r="E406" s="1">
        <f>Main_Data!E406</f>
        <v>3.1</v>
      </c>
      <c r="F406" s="1">
        <f>Main_Data!F406</f>
        <v>64</v>
      </c>
      <c r="G406" s="1">
        <f>Main_Data!G406</f>
        <v>166171553</v>
      </c>
      <c r="H406" s="1">
        <f>Main_Data!H406</f>
        <v>53</v>
      </c>
      <c r="I406" s="1">
        <f>Main_Data!I406</f>
        <v>23.5</v>
      </c>
      <c r="J406" s="1">
        <f>Main_Data!J406</f>
        <v>74</v>
      </c>
      <c r="K406" s="1">
        <f>Main_Data!K406</f>
        <v>37</v>
      </c>
      <c r="L406" s="1" t="str">
        <f>Main_Data!L406</f>
        <v>Asia</v>
      </c>
      <c r="M406" s="1" t="str">
        <f>PROPER(TRIM(Main_Data!A406))</f>
        <v>China</v>
      </c>
      <c r="N406" s="1" t="str">
        <f>PROPER(TRIM(Main_Data!B406))</f>
        <v>East Asia</v>
      </c>
      <c r="O406" s="1" t="str" cm="1">
        <f t="array" ref="O406">_xlfn.IFS(F406&gt;=80,"Very High",F406&gt;=70,"High",F406&gt;=60,"Medium",TRUE,"Low")</f>
        <v>Medium</v>
      </c>
      <c r="P406" s="1" t="str" cm="1">
        <f t="array" ref="P406">_xlfn.IFS(D406&gt;=40000,"High Income",D406&gt;=15000,"Middle Income",TRUE,"Low Income")</f>
        <v>Middle Income</v>
      </c>
      <c r="Q406" s="1" t="str">
        <f t="shared" si="6"/>
        <v>Duplicate</v>
      </c>
    </row>
    <row r="407" spans="1:17" x14ac:dyDescent="0.25">
      <c r="A407" s="1" t="str">
        <f>Main_Data!A407</f>
        <v>UK</v>
      </c>
      <c r="B407" s="1" t="str">
        <f>Main_Data!B407</f>
        <v>Europe</v>
      </c>
      <c r="C407" s="1">
        <f>Main_Data!C407</f>
        <v>2021</v>
      </c>
      <c r="D407" s="1">
        <f>Main_Data!D407</f>
        <v>2362</v>
      </c>
      <c r="E407" s="1">
        <f>Main_Data!E407</f>
        <v>8.8000000000000007</v>
      </c>
      <c r="F407" s="1">
        <f>Main_Data!F407</f>
        <v>63</v>
      </c>
      <c r="G407" s="1">
        <f>Main_Data!G407</f>
        <v>937189115</v>
      </c>
      <c r="H407" s="1">
        <f>Main_Data!H407</f>
        <v>85</v>
      </c>
      <c r="I407" s="1">
        <f>Main_Data!I407</f>
        <v>20.100000000000001</v>
      </c>
      <c r="J407" s="1">
        <f>Main_Data!J407</f>
        <v>95</v>
      </c>
      <c r="K407" s="1">
        <f>Main_Data!K407</f>
        <v>62</v>
      </c>
      <c r="L407" s="1" t="str">
        <f>Main_Data!L407</f>
        <v>Europe</v>
      </c>
      <c r="M407" s="1" t="str">
        <f>PROPER(TRIM(Main_Data!A407))</f>
        <v>Uk</v>
      </c>
      <c r="N407" s="1" t="str">
        <f>PROPER(TRIM(Main_Data!B407))</f>
        <v>Europe</v>
      </c>
      <c r="O407" s="1" t="str" cm="1">
        <f t="array" ref="O407">_xlfn.IFS(F407&gt;=80,"Very High",F407&gt;=70,"High",F407&gt;=60,"Medium",TRUE,"Low")</f>
        <v>Medium</v>
      </c>
      <c r="P407" s="1" t="str" cm="1">
        <f t="array" ref="P407">_xlfn.IFS(D407&gt;=40000,"High Income",D407&gt;=15000,"Middle Income",TRUE,"Low Income")</f>
        <v>Low Income</v>
      </c>
      <c r="Q407" s="1" t="str">
        <f t="shared" si="6"/>
        <v>Duplicate</v>
      </c>
    </row>
    <row r="408" spans="1:17" x14ac:dyDescent="0.25">
      <c r="A408" s="1" t="str">
        <f>Main_Data!A408</f>
        <v>Canada</v>
      </c>
      <c r="B408" s="1" t="str">
        <f>Main_Data!B408</f>
        <v>North America</v>
      </c>
      <c r="C408" s="1">
        <f>Main_Data!C408</f>
        <v>2021</v>
      </c>
      <c r="D408" s="1">
        <f>Main_Data!D408</f>
        <v>42932</v>
      </c>
      <c r="E408" s="1">
        <f>Main_Data!E408</f>
        <v>13.2</v>
      </c>
      <c r="F408" s="1">
        <f>Main_Data!F408</f>
        <v>84</v>
      </c>
      <c r="G408" s="1">
        <f>Main_Data!G408</f>
        <v>1362571651</v>
      </c>
      <c r="H408" s="1">
        <f>Main_Data!H408</f>
        <v>78</v>
      </c>
      <c r="I408" s="1">
        <f>Main_Data!I408</f>
        <v>8.4</v>
      </c>
      <c r="J408" s="1">
        <f>Main_Data!J408</f>
        <v>76</v>
      </c>
      <c r="K408" s="1">
        <f>Main_Data!K408</f>
        <v>69</v>
      </c>
      <c r="L408" s="1" t="str">
        <f>Main_Data!L408</f>
        <v>North America</v>
      </c>
      <c r="M408" s="1" t="str">
        <f>PROPER(TRIM(Main_Data!A408))</f>
        <v>Canada</v>
      </c>
      <c r="N408" s="1" t="str">
        <f>PROPER(TRIM(Main_Data!B408))</f>
        <v>North America</v>
      </c>
      <c r="O408" s="1" t="str" cm="1">
        <f t="array" ref="O408">_xlfn.IFS(F408&gt;=80,"Very High",F408&gt;=70,"High",F408&gt;=60,"Medium",TRUE,"Low")</f>
        <v>Very High</v>
      </c>
      <c r="P408" s="1" t="str" cm="1">
        <f t="array" ref="P408">_xlfn.IFS(D408&gt;=40000,"High Income",D408&gt;=15000,"Middle Income",TRUE,"Low Income")</f>
        <v>High Income</v>
      </c>
      <c r="Q408" s="1" t="str">
        <f t="shared" si="6"/>
        <v>Duplicate</v>
      </c>
    </row>
    <row r="409" spans="1:17" x14ac:dyDescent="0.25">
      <c r="A409" s="1" t="str">
        <f>Main_Data!A409</f>
        <v>Australia</v>
      </c>
      <c r="B409" s="1" t="str">
        <f>Main_Data!B409</f>
        <v>Oceania</v>
      </c>
      <c r="C409" s="1">
        <f>Main_Data!C409</f>
        <v>2021</v>
      </c>
      <c r="D409" s="1">
        <f>Main_Data!D409</f>
        <v>16882</v>
      </c>
      <c r="E409" s="1">
        <f>Main_Data!E409</f>
        <v>3.3</v>
      </c>
      <c r="F409" s="1">
        <f>Main_Data!F409</f>
        <v>66</v>
      </c>
      <c r="G409" s="1">
        <f>Main_Data!G409</f>
        <v>11015019</v>
      </c>
      <c r="H409" s="1">
        <f>Main_Data!H409</f>
        <v>68</v>
      </c>
      <c r="I409" s="1">
        <f>Main_Data!I409</f>
        <v>11</v>
      </c>
      <c r="J409" s="1">
        <f>Main_Data!J409</f>
        <v>100</v>
      </c>
      <c r="K409" s="1">
        <f>Main_Data!K409</f>
        <v>52</v>
      </c>
      <c r="L409" s="1" t="str">
        <f>Main_Data!L409</f>
        <v>Oceania</v>
      </c>
      <c r="M409" s="1" t="str">
        <f>PROPER(TRIM(Main_Data!A409))</f>
        <v>Australia</v>
      </c>
      <c r="N409" s="1" t="str">
        <f>PROPER(TRIM(Main_Data!B409))</f>
        <v>Oceania</v>
      </c>
      <c r="O409" s="1" t="str" cm="1">
        <f t="array" ref="O409">_xlfn.IFS(F409&gt;=80,"Very High",F409&gt;=70,"High",F409&gt;=60,"Medium",TRUE,"Low")</f>
        <v>Medium</v>
      </c>
      <c r="P409" s="1" t="str" cm="1">
        <f t="array" ref="P409">_xlfn.IFS(D409&gt;=40000,"High Income",D409&gt;=15000,"Middle Income",TRUE,"Low Income")</f>
        <v>Middle Income</v>
      </c>
      <c r="Q409" s="1" t="str">
        <f t="shared" si="6"/>
        <v>Duplicate</v>
      </c>
    </row>
    <row r="410" spans="1:17" x14ac:dyDescent="0.25">
      <c r="A410" s="1" t="str">
        <f>Main_Data!A410</f>
        <v>Japan</v>
      </c>
      <c r="B410" s="1" t="str">
        <f>Main_Data!B410</f>
        <v>East Asia</v>
      </c>
      <c r="C410" s="1">
        <f>Main_Data!C410</f>
        <v>2021</v>
      </c>
      <c r="D410" s="1">
        <f>Main_Data!D410</f>
        <v>2094</v>
      </c>
      <c r="E410" s="1">
        <f>Main_Data!E410</f>
        <v>13.3</v>
      </c>
      <c r="F410" s="1">
        <f>Main_Data!F410</f>
        <v>82</v>
      </c>
      <c r="G410" s="1">
        <f>Main_Data!G410</f>
        <v>516523945</v>
      </c>
      <c r="H410" s="1">
        <f>Main_Data!H410</f>
        <v>89</v>
      </c>
      <c r="I410" s="1">
        <f>Main_Data!I410</f>
        <v>20.8</v>
      </c>
      <c r="J410" s="1">
        <f>Main_Data!J410</f>
        <v>81</v>
      </c>
      <c r="K410" s="1">
        <f>Main_Data!K410</f>
        <v>74</v>
      </c>
      <c r="L410" s="1" t="str">
        <f>Main_Data!L410</f>
        <v>Asia</v>
      </c>
      <c r="M410" s="1" t="str">
        <f>PROPER(TRIM(Main_Data!A410))</f>
        <v>Japan</v>
      </c>
      <c r="N410" s="1" t="str">
        <f>PROPER(TRIM(Main_Data!B410))</f>
        <v>East Asia</v>
      </c>
      <c r="O410" s="1" t="str" cm="1">
        <f t="array" ref="O410">_xlfn.IFS(F410&gt;=80,"Very High",F410&gt;=70,"High",F410&gt;=60,"Medium",TRUE,"Low")</f>
        <v>Very High</v>
      </c>
      <c r="P410" s="1" t="str" cm="1">
        <f t="array" ref="P410">_xlfn.IFS(D410&gt;=40000,"High Income",D410&gt;=15000,"Middle Income",TRUE,"Low Income")</f>
        <v>Low Income</v>
      </c>
      <c r="Q410" s="1" t="str">
        <f t="shared" si="6"/>
        <v>Duplicate</v>
      </c>
    </row>
    <row r="411" spans="1:17" x14ac:dyDescent="0.25">
      <c r="A411" s="1" t="str">
        <f>Main_Data!A411</f>
        <v>South Africa</v>
      </c>
      <c r="B411" s="1" t="str">
        <f>Main_Data!B411</f>
        <v>Africa</v>
      </c>
      <c r="C411" s="1">
        <f>Main_Data!C411</f>
        <v>2021</v>
      </c>
      <c r="D411" s="1">
        <f>Main_Data!D411</f>
        <v>22724</v>
      </c>
      <c r="E411" s="1">
        <f>Main_Data!E411</f>
        <v>8.1999999999999993</v>
      </c>
      <c r="F411" s="1">
        <f>Main_Data!F411</f>
        <v>79</v>
      </c>
      <c r="G411" s="1">
        <f>Main_Data!G411</f>
        <v>1382133853</v>
      </c>
      <c r="H411" s="1">
        <f>Main_Data!H411</f>
        <v>51</v>
      </c>
      <c r="I411" s="1">
        <f>Main_Data!I411</f>
        <v>13.3</v>
      </c>
      <c r="J411" s="1">
        <f>Main_Data!J411</f>
        <v>88</v>
      </c>
      <c r="K411" s="1">
        <f>Main_Data!K411</f>
        <v>38</v>
      </c>
      <c r="L411" s="1" t="str">
        <f>Main_Data!L411</f>
        <v>Africa</v>
      </c>
      <c r="M411" s="1" t="str">
        <f>PROPER(TRIM(Main_Data!A411))</f>
        <v>South Africa</v>
      </c>
      <c r="N411" s="1" t="str">
        <f>PROPER(TRIM(Main_Data!B411))</f>
        <v>Africa</v>
      </c>
      <c r="O411" s="1" t="str" cm="1">
        <f t="array" ref="O411">_xlfn.IFS(F411&gt;=80,"Very High",F411&gt;=70,"High",F411&gt;=60,"Medium",TRUE,"Low")</f>
        <v>High</v>
      </c>
      <c r="P411" s="1" t="str" cm="1">
        <f t="array" ref="P411">_xlfn.IFS(D411&gt;=40000,"High Income",D411&gt;=15000,"Middle Income",TRUE,"Low Income")</f>
        <v>Middle Income</v>
      </c>
      <c r="Q411" s="1" t="str">
        <f t="shared" si="6"/>
        <v>Duplicate</v>
      </c>
    </row>
    <row r="412" spans="1:17" x14ac:dyDescent="0.25">
      <c r="A412" s="1" t="str">
        <f>Main_Data!A412</f>
        <v>India</v>
      </c>
      <c r="B412" s="1" t="str">
        <f>Main_Data!B412</f>
        <v>South Asia</v>
      </c>
      <c r="C412" s="1">
        <f>Main_Data!C412</f>
        <v>2020</v>
      </c>
      <c r="D412" s="1">
        <f>Main_Data!D412</f>
        <v>40243</v>
      </c>
      <c r="E412" s="1">
        <f>Main_Data!E412</f>
        <v>9</v>
      </c>
      <c r="F412" s="1">
        <f>Main_Data!F412</f>
        <v>66</v>
      </c>
      <c r="G412" s="1">
        <f>Main_Data!G412</f>
        <v>1434235431</v>
      </c>
      <c r="H412" s="1">
        <f>Main_Data!H412</f>
        <v>76</v>
      </c>
      <c r="I412" s="1">
        <f>Main_Data!I412</f>
        <v>15.8</v>
      </c>
      <c r="J412" s="1">
        <f>Main_Data!J412</f>
        <v>72</v>
      </c>
      <c r="K412" s="1">
        <f>Main_Data!K412</f>
        <v>53</v>
      </c>
      <c r="L412" s="1" t="str">
        <f>Main_Data!L412</f>
        <v>Asia</v>
      </c>
      <c r="M412" s="1" t="str">
        <f>PROPER(TRIM(Main_Data!A412))</f>
        <v>India</v>
      </c>
      <c r="N412" s="1" t="str">
        <f>PROPER(TRIM(Main_Data!B412))</f>
        <v>South Asia</v>
      </c>
      <c r="O412" s="1" t="str" cm="1">
        <f t="array" ref="O412">_xlfn.IFS(F412&gt;=80,"Very High",F412&gt;=70,"High",F412&gt;=60,"Medium",TRUE,"Low")</f>
        <v>Medium</v>
      </c>
      <c r="P412" s="1" t="str" cm="1">
        <f t="array" ref="P412">_xlfn.IFS(D412&gt;=40000,"High Income",D412&gt;=15000,"Middle Income",TRUE,"Low Income")</f>
        <v>High Income</v>
      </c>
      <c r="Q412" s="1" t="str">
        <f t="shared" si="6"/>
        <v>Duplicate</v>
      </c>
    </row>
    <row r="413" spans="1:17" x14ac:dyDescent="0.25">
      <c r="A413" s="1" t="str">
        <f>Main_Data!A413</f>
        <v>USA</v>
      </c>
      <c r="B413" s="1" t="str">
        <f>Main_Data!B413</f>
        <v>North America</v>
      </c>
      <c r="C413" s="1">
        <f>Main_Data!C413</f>
        <v>2021</v>
      </c>
      <c r="D413" s="1">
        <f>Main_Data!D413</f>
        <v>27636</v>
      </c>
      <c r="E413" s="1">
        <f>Main_Data!E413</f>
        <v>16.100000000000001</v>
      </c>
      <c r="F413" s="1">
        <f>Main_Data!F413</f>
        <v>65</v>
      </c>
      <c r="G413" s="1">
        <f>Main_Data!G413</f>
        <v>1405324045</v>
      </c>
      <c r="H413" s="1">
        <f>Main_Data!H413</f>
        <v>55</v>
      </c>
      <c r="I413" s="1">
        <f>Main_Data!I413</f>
        <v>2.4</v>
      </c>
      <c r="J413" s="1">
        <f>Main_Data!J413</f>
        <v>84</v>
      </c>
      <c r="K413" s="1">
        <f>Main_Data!K413</f>
        <v>69</v>
      </c>
      <c r="L413" s="1" t="str">
        <f>Main_Data!L413</f>
        <v>North America</v>
      </c>
      <c r="M413" s="1" t="str">
        <f>PROPER(TRIM(Main_Data!A413))</f>
        <v>Usa</v>
      </c>
      <c r="N413" s="1" t="str">
        <f>PROPER(TRIM(Main_Data!B413))</f>
        <v>North America</v>
      </c>
      <c r="O413" s="1" t="str" cm="1">
        <f t="array" ref="O413">_xlfn.IFS(F413&gt;=80,"Very High",F413&gt;=70,"High",F413&gt;=60,"Medium",TRUE,"Low")</f>
        <v>Medium</v>
      </c>
      <c r="P413" s="1" t="str" cm="1">
        <f t="array" ref="P413">_xlfn.IFS(D413&gt;=40000,"High Income",D413&gt;=15000,"Middle Income",TRUE,"Low Income")</f>
        <v>Middle Income</v>
      </c>
      <c r="Q413" s="1" t="str">
        <f t="shared" si="6"/>
        <v>Duplicate</v>
      </c>
    </row>
    <row r="414" spans="1:17" x14ac:dyDescent="0.25">
      <c r="A414" s="1" t="str">
        <f>Main_Data!A414</f>
        <v>Germany</v>
      </c>
      <c r="B414" s="1" t="str">
        <f>Main_Data!B414</f>
        <v>Europe</v>
      </c>
      <c r="C414" s="1">
        <f>Main_Data!C414</f>
        <v>2021</v>
      </c>
      <c r="D414" s="1">
        <f>Main_Data!D414</f>
        <v>49245</v>
      </c>
      <c r="E414" s="1">
        <f>Main_Data!E414</f>
        <v>3.6</v>
      </c>
      <c r="F414" s="1">
        <f>Main_Data!F414</f>
        <v>72</v>
      </c>
      <c r="G414" s="1">
        <f>Main_Data!G414</f>
        <v>937058998</v>
      </c>
      <c r="H414" s="1">
        <f>Main_Data!H414</f>
        <v>72</v>
      </c>
      <c r="I414" s="1">
        <f>Main_Data!I414</f>
        <v>9.8000000000000007</v>
      </c>
      <c r="J414" s="1">
        <f>Main_Data!J414</f>
        <v>88</v>
      </c>
      <c r="K414" s="1">
        <f>Main_Data!K414</f>
        <v>36</v>
      </c>
      <c r="L414" s="1" t="str">
        <f>Main_Data!L414</f>
        <v>Europe</v>
      </c>
      <c r="M414" s="1" t="str">
        <f>PROPER(TRIM(Main_Data!A414))</f>
        <v>Germany</v>
      </c>
      <c r="N414" s="1" t="str">
        <f>PROPER(TRIM(Main_Data!B414))</f>
        <v>Europe</v>
      </c>
      <c r="O414" s="1" t="str" cm="1">
        <f t="array" ref="O414">_xlfn.IFS(F414&gt;=80,"Very High",F414&gt;=70,"High",F414&gt;=60,"Medium",TRUE,"Low")</f>
        <v>High</v>
      </c>
      <c r="P414" s="1" t="str" cm="1">
        <f t="array" ref="P414">_xlfn.IFS(D414&gt;=40000,"High Income",D414&gt;=15000,"Middle Income",TRUE,"Low Income")</f>
        <v>High Income</v>
      </c>
      <c r="Q414" s="1" t="str">
        <f t="shared" si="6"/>
        <v>Duplicate</v>
      </c>
    </row>
    <row r="415" spans="1:17" x14ac:dyDescent="0.25">
      <c r="A415" s="1" t="str">
        <f>Main_Data!A415</f>
        <v>Brazil</v>
      </c>
      <c r="B415" s="1" t="str">
        <f>Main_Data!B415</f>
        <v>South America</v>
      </c>
      <c r="C415" s="1">
        <f>Main_Data!C415</f>
        <v>2021</v>
      </c>
      <c r="D415" s="1">
        <f>Main_Data!D415</f>
        <v>22576</v>
      </c>
      <c r="E415" s="1">
        <f>Main_Data!E415</f>
        <v>4.2</v>
      </c>
      <c r="F415" s="1">
        <f>Main_Data!F415</f>
        <v>78</v>
      </c>
      <c r="G415" s="1">
        <f>Main_Data!G415</f>
        <v>451150046</v>
      </c>
      <c r="H415" s="1">
        <f>Main_Data!H415</f>
        <v>56</v>
      </c>
      <c r="I415" s="1">
        <f>Main_Data!I415</f>
        <v>23.9</v>
      </c>
      <c r="J415" s="1">
        <f>Main_Data!J415</f>
        <v>86</v>
      </c>
      <c r="K415" s="1">
        <f>Main_Data!K415</f>
        <v>83</v>
      </c>
      <c r="L415" s="1" t="str">
        <f>Main_Data!L415</f>
        <v>South America</v>
      </c>
      <c r="M415" s="1" t="str">
        <f>PROPER(TRIM(Main_Data!A415))</f>
        <v>Brazil</v>
      </c>
      <c r="N415" s="1" t="str">
        <f>PROPER(TRIM(Main_Data!B415))</f>
        <v>South America</v>
      </c>
      <c r="O415" s="1" t="str" cm="1">
        <f t="array" ref="O415">_xlfn.IFS(F415&gt;=80,"Very High",F415&gt;=70,"High",F415&gt;=60,"Medium",TRUE,"Low")</f>
        <v>High</v>
      </c>
      <c r="P415" s="1" t="str" cm="1">
        <f t="array" ref="P415">_xlfn.IFS(D415&gt;=40000,"High Income",D415&gt;=15000,"Middle Income",TRUE,"Low Income")</f>
        <v>Middle Income</v>
      </c>
      <c r="Q415" s="1" t="str">
        <f t="shared" si="6"/>
        <v>Duplicate</v>
      </c>
    </row>
    <row r="416" spans="1:17" x14ac:dyDescent="0.25">
      <c r="A416" s="1" t="str">
        <f>Main_Data!A416</f>
        <v>China</v>
      </c>
      <c r="B416" s="1" t="str">
        <f>Main_Data!B416</f>
        <v>East Asia</v>
      </c>
      <c r="C416" s="1">
        <f>Main_Data!C416</f>
        <v>2022</v>
      </c>
      <c r="D416" s="1">
        <f>Main_Data!D416</f>
        <v>51451</v>
      </c>
      <c r="E416" s="1">
        <f>Main_Data!E416</f>
        <v>16.7</v>
      </c>
      <c r="F416" s="1">
        <f>Main_Data!F416</f>
        <v>60</v>
      </c>
      <c r="G416" s="1">
        <f>Main_Data!G416</f>
        <v>936673231</v>
      </c>
      <c r="H416" s="1">
        <f>Main_Data!H416</f>
        <v>67</v>
      </c>
      <c r="I416" s="1">
        <f>Main_Data!I416</f>
        <v>18</v>
      </c>
      <c r="J416" s="1">
        <f>Main_Data!J416</f>
        <v>73</v>
      </c>
      <c r="K416" s="1">
        <f>Main_Data!K416</f>
        <v>56</v>
      </c>
      <c r="L416" s="1" t="str">
        <f>Main_Data!L416</f>
        <v>Asia</v>
      </c>
      <c r="M416" s="1" t="str">
        <f>PROPER(TRIM(Main_Data!A416))</f>
        <v>China</v>
      </c>
      <c r="N416" s="1" t="str">
        <f>PROPER(TRIM(Main_Data!B416))</f>
        <v>East Asia</v>
      </c>
      <c r="O416" s="1" t="str" cm="1">
        <f t="array" ref="O416">_xlfn.IFS(F416&gt;=80,"Very High",F416&gt;=70,"High",F416&gt;=60,"Medium",TRUE,"Low")</f>
        <v>Medium</v>
      </c>
      <c r="P416" s="1" t="str" cm="1">
        <f t="array" ref="P416">_xlfn.IFS(D416&gt;=40000,"High Income",D416&gt;=15000,"Middle Income",TRUE,"Low Income")</f>
        <v>High Income</v>
      </c>
      <c r="Q416" s="1" t="str">
        <f t="shared" si="6"/>
        <v>Duplicate</v>
      </c>
    </row>
    <row r="417" spans="1:17" x14ac:dyDescent="0.25">
      <c r="A417" s="1" t="str">
        <f>Main_Data!A417</f>
        <v>UK</v>
      </c>
      <c r="B417" s="1" t="str">
        <f>Main_Data!B417</f>
        <v>Europe</v>
      </c>
      <c r="C417" s="1">
        <f>Main_Data!C417</f>
        <v>2022</v>
      </c>
      <c r="D417" s="1">
        <f>Main_Data!D417</f>
        <v>61512</v>
      </c>
      <c r="E417" s="1">
        <f>Main_Data!E417</f>
        <v>16.8</v>
      </c>
      <c r="F417" s="1">
        <f>Main_Data!F417</f>
        <v>61</v>
      </c>
      <c r="G417" s="1">
        <f>Main_Data!G417</f>
        <v>1155578411</v>
      </c>
      <c r="H417" s="1">
        <f>Main_Data!H417</f>
        <v>66</v>
      </c>
      <c r="I417" s="1">
        <f>Main_Data!I417</f>
        <v>5.7</v>
      </c>
      <c r="J417" s="1">
        <f>Main_Data!J417</f>
        <v>72</v>
      </c>
      <c r="K417" s="1">
        <f>Main_Data!K417</f>
        <v>41</v>
      </c>
      <c r="L417" s="1" t="str">
        <f>Main_Data!L417</f>
        <v>Europe</v>
      </c>
      <c r="M417" s="1" t="str">
        <f>PROPER(TRIM(Main_Data!A417))</f>
        <v>Uk</v>
      </c>
      <c r="N417" s="1" t="str">
        <f>PROPER(TRIM(Main_Data!B417))</f>
        <v>Europe</v>
      </c>
      <c r="O417" s="1" t="str" cm="1">
        <f t="array" ref="O417">_xlfn.IFS(F417&gt;=80,"Very High",F417&gt;=70,"High",F417&gt;=60,"Medium",TRUE,"Low")</f>
        <v>Medium</v>
      </c>
      <c r="P417" s="1" t="str" cm="1">
        <f t="array" ref="P417">_xlfn.IFS(D417&gt;=40000,"High Income",D417&gt;=15000,"Middle Income",TRUE,"Low Income")</f>
        <v>High Income</v>
      </c>
      <c r="Q417" s="1" t="str">
        <f t="shared" si="6"/>
        <v>Duplicate</v>
      </c>
    </row>
    <row r="418" spans="1:17" x14ac:dyDescent="0.25">
      <c r="A418" s="1" t="str">
        <f>Main_Data!A418</f>
        <v>Canada</v>
      </c>
      <c r="B418" s="1" t="str">
        <f>Main_Data!B418</f>
        <v>North America</v>
      </c>
      <c r="C418" s="1">
        <f>Main_Data!C418</f>
        <v>2020</v>
      </c>
      <c r="D418" s="1">
        <f>Main_Data!D418</f>
        <v>31218</v>
      </c>
      <c r="E418" s="1">
        <f>Main_Data!E418</f>
        <v>4.0999999999999996</v>
      </c>
      <c r="F418" s="1">
        <f>Main_Data!F418</f>
        <v>81</v>
      </c>
      <c r="G418" s="1">
        <f>Main_Data!G418</f>
        <v>1419675965</v>
      </c>
      <c r="H418" s="1">
        <f>Main_Data!H418</f>
        <v>54</v>
      </c>
      <c r="I418" s="1">
        <f>Main_Data!I418</f>
        <v>9.1</v>
      </c>
      <c r="J418" s="1">
        <f>Main_Data!J418</f>
        <v>73</v>
      </c>
      <c r="K418" s="1">
        <f>Main_Data!K418</f>
        <v>66</v>
      </c>
      <c r="L418" s="1" t="str">
        <f>Main_Data!L418</f>
        <v>North America</v>
      </c>
      <c r="M418" s="1" t="str">
        <f>PROPER(TRIM(Main_Data!A418))</f>
        <v>Canada</v>
      </c>
      <c r="N418" s="1" t="str">
        <f>PROPER(TRIM(Main_Data!B418))</f>
        <v>North America</v>
      </c>
      <c r="O418" s="1" t="str" cm="1">
        <f t="array" ref="O418">_xlfn.IFS(F418&gt;=80,"Very High",F418&gt;=70,"High",F418&gt;=60,"Medium",TRUE,"Low")</f>
        <v>Very High</v>
      </c>
      <c r="P418" s="1" t="str" cm="1">
        <f t="array" ref="P418">_xlfn.IFS(D418&gt;=40000,"High Income",D418&gt;=15000,"Middle Income",TRUE,"Low Income")</f>
        <v>Middle Income</v>
      </c>
      <c r="Q418" s="1" t="str">
        <f t="shared" si="6"/>
        <v>Duplicate</v>
      </c>
    </row>
    <row r="419" spans="1:17" x14ac:dyDescent="0.25">
      <c r="A419" s="1" t="str">
        <f>Main_Data!A419</f>
        <v>Australia</v>
      </c>
      <c r="B419" s="1" t="str">
        <f>Main_Data!B419</f>
        <v>Oceania</v>
      </c>
      <c r="C419" s="1">
        <f>Main_Data!C419</f>
        <v>2022</v>
      </c>
      <c r="D419" s="1">
        <f>Main_Data!D419</f>
        <v>8861</v>
      </c>
      <c r="E419" s="1">
        <f>Main_Data!E419</f>
        <v>15.2</v>
      </c>
      <c r="F419" s="1">
        <f>Main_Data!F419</f>
        <v>72</v>
      </c>
      <c r="G419" s="1">
        <f>Main_Data!G419</f>
        <v>936153328</v>
      </c>
      <c r="H419" s="1">
        <f>Main_Data!H419</f>
        <v>53</v>
      </c>
      <c r="I419" s="1">
        <f>Main_Data!I419</f>
        <v>7</v>
      </c>
      <c r="J419" s="1">
        <f>Main_Data!J419</f>
        <v>75</v>
      </c>
      <c r="K419" s="1">
        <f>Main_Data!K419</f>
        <v>62</v>
      </c>
      <c r="L419" s="1" t="str">
        <f>Main_Data!L419</f>
        <v>Oceania</v>
      </c>
      <c r="M419" s="1" t="str">
        <f>PROPER(TRIM(Main_Data!A419))</f>
        <v>Australia</v>
      </c>
      <c r="N419" s="1" t="str">
        <f>PROPER(TRIM(Main_Data!B419))</f>
        <v>Oceania</v>
      </c>
      <c r="O419" s="1" t="str" cm="1">
        <f t="array" ref="O419">_xlfn.IFS(F419&gt;=80,"Very High",F419&gt;=70,"High",F419&gt;=60,"Medium",TRUE,"Low")</f>
        <v>High</v>
      </c>
      <c r="P419" s="1" t="str" cm="1">
        <f t="array" ref="P419">_xlfn.IFS(D419&gt;=40000,"High Income",D419&gt;=15000,"Middle Income",TRUE,"Low Income")</f>
        <v>Low Income</v>
      </c>
      <c r="Q419" s="1" t="str">
        <f t="shared" si="6"/>
        <v>Duplicate</v>
      </c>
    </row>
    <row r="420" spans="1:17" x14ac:dyDescent="0.25">
      <c r="A420" s="1" t="str">
        <f>Main_Data!A420</f>
        <v>Japan</v>
      </c>
      <c r="B420" s="1" t="str">
        <f>Main_Data!B420</f>
        <v>East Asia</v>
      </c>
      <c r="C420" s="1">
        <f>Main_Data!C420</f>
        <v>2020</v>
      </c>
      <c r="D420" s="1">
        <f>Main_Data!D420</f>
        <v>30208</v>
      </c>
      <c r="E420" s="1">
        <f>Main_Data!E420</f>
        <v>16.100000000000001</v>
      </c>
      <c r="F420" s="1">
        <f>Main_Data!F420</f>
        <v>61</v>
      </c>
      <c r="G420" s="1">
        <f>Main_Data!G420</f>
        <v>418676513</v>
      </c>
      <c r="H420" s="1">
        <f>Main_Data!H420</f>
        <v>71</v>
      </c>
      <c r="I420" s="1">
        <f>Main_Data!I420</f>
        <v>5</v>
      </c>
      <c r="J420" s="1">
        <f>Main_Data!J420</f>
        <v>87</v>
      </c>
      <c r="K420" s="1">
        <f>Main_Data!K420</f>
        <v>46</v>
      </c>
      <c r="L420" s="1" t="str">
        <f>Main_Data!L420</f>
        <v>Asia</v>
      </c>
      <c r="M420" s="1" t="str">
        <f>PROPER(TRIM(Main_Data!A420))</f>
        <v>Japan</v>
      </c>
      <c r="N420" s="1" t="str">
        <f>PROPER(TRIM(Main_Data!B420))</f>
        <v>East Asia</v>
      </c>
      <c r="O420" s="1" t="str" cm="1">
        <f t="array" ref="O420">_xlfn.IFS(F420&gt;=80,"Very High",F420&gt;=70,"High",F420&gt;=60,"Medium",TRUE,"Low")</f>
        <v>Medium</v>
      </c>
      <c r="P420" s="1" t="str" cm="1">
        <f t="array" ref="P420">_xlfn.IFS(D420&gt;=40000,"High Income",D420&gt;=15000,"Middle Income",TRUE,"Low Income")</f>
        <v>Middle Income</v>
      </c>
      <c r="Q420" s="1" t="str">
        <f t="shared" si="6"/>
        <v>Duplicate</v>
      </c>
    </row>
    <row r="421" spans="1:17" x14ac:dyDescent="0.25">
      <c r="A421" s="1" t="str">
        <f>Main_Data!A421</f>
        <v>South Africa</v>
      </c>
      <c r="B421" s="1" t="str">
        <f>Main_Data!B421</f>
        <v>Africa</v>
      </c>
      <c r="C421" s="1">
        <f>Main_Data!C421</f>
        <v>2020</v>
      </c>
      <c r="D421" s="1">
        <f>Main_Data!D421</f>
        <v>2872</v>
      </c>
      <c r="E421" s="1">
        <f>Main_Data!E421</f>
        <v>11.4</v>
      </c>
      <c r="F421" s="1">
        <f>Main_Data!F421</f>
        <v>75</v>
      </c>
      <c r="G421" s="1">
        <f>Main_Data!G421</f>
        <v>573038213</v>
      </c>
      <c r="H421" s="1">
        <f>Main_Data!H421</f>
        <v>81</v>
      </c>
      <c r="I421" s="1">
        <f>Main_Data!I421</f>
        <v>24.7</v>
      </c>
      <c r="J421" s="1">
        <f>Main_Data!J421</f>
        <v>78</v>
      </c>
      <c r="K421" s="1">
        <f>Main_Data!K421</f>
        <v>41</v>
      </c>
      <c r="L421" s="1" t="str">
        <f>Main_Data!L421</f>
        <v>Africa</v>
      </c>
      <c r="M421" s="1" t="str">
        <f>PROPER(TRIM(Main_Data!A421))</f>
        <v>South Africa</v>
      </c>
      <c r="N421" s="1" t="str">
        <f>PROPER(TRIM(Main_Data!B421))</f>
        <v>Africa</v>
      </c>
      <c r="O421" s="1" t="str" cm="1">
        <f t="array" ref="O421">_xlfn.IFS(F421&gt;=80,"Very High",F421&gt;=70,"High",F421&gt;=60,"Medium",TRUE,"Low")</f>
        <v>High</v>
      </c>
      <c r="P421" s="1" t="str" cm="1">
        <f t="array" ref="P421">_xlfn.IFS(D421&gt;=40000,"High Income",D421&gt;=15000,"Middle Income",TRUE,"Low Income")</f>
        <v>Low Income</v>
      </c>
      <c r="Q421" s="1" t="str">
        <f t="shared" si="6"/>
        <v>Duplicate</v>
      </c>
    </row>
    <row r="422" spans="1:17" x14ac:dyDescent="0.25">
      <c r="A422" s="1" t="str">
        <f>Main_Data!A422</f>
        <v>India</v>
      </c>
      <c r="B422" s="1" t="str">
        <f>Main_Data!B422</f>
        <v>South Asia</v>
      </c>
      <c r="C422" s="1">
        <f>Main_Data!C422</f>
        <v>2022</v>
      </c>
      <c r="D422" s="1">
        <f>Main_Data!D422</f>
        <v>15391</v>
      </c>
      <c r="E422" s="1">
        <f>Main_Data!E422</f>
        <v>10.8</v>
      </c>
      <c r="F422" s="1">
        <f>Main_Data!F422</f>
        <v>85</v>
      </c>
      <c r="G422" s="1">
        <f>Main_Data!G422</f>
        <v>721289780</v>
      </c>
      <c r="H422" s="1">
        <f>Main_Data!H422</f>
        <v>94</v>
      </c>
      <c r="I422" s="1">
        <f>Main_Data!I422</f>
        <v>5.8</v>
      </c>
      <c r="J422" s="1">
        <f>Main_Data!J422</f>
        <v>82</v>
      </c>
      <c r="K422" s="1">
        <f>Main_Data!K422</f>
        <v>61</v>
      </c>
      <c r="L422" s="1" t="str">
        <f>Main_Data!L422</f>
        <v>Asia</v>
      </c>
      <c r="M422" s="1" t="str">
        <f>PROPER(TRIM(Main_Data!A422))</f>
        <v>India</v>
      </c>
      <c r="N422" s="1" t="str">
        <f>PROPER(TRIM(Main_Data!B422))</f>
        <v>South Asia</v>
      </c>
      <c r="O422" s="1" t="str" cm="1">
        <f t="array" ref="O422">_xlfn.IFS(F422&gt;=80,"Very High",F422&gt;=70,"High",F422&gt;=60,"Medium",TRUE,"Low")</f>
        <v>Very High</v>
      </c>
      <c r="P422" s="1" t="str" cm="1">
        <f t="array" ref="P422">_xlfn.IFS(D422&gt;=40000,"High Income",D422&gt;=15000,"Middle Income",TRUE,"Low Income")</f>
        <v>Middle Income</v>
      </c>
      <c r="Q422" s="1" t="str">
        <f t="shared" si="6"/>
        <v>Duplicate</v>
      </c>
    </row>
    <row r="423" spans="1:17" x14ac:dyDescent="0.25">
      <c r="A423" s="1" t="str">
        <f>Main_Data!A423</f>
        <v>USA</v>
      </c>
      <c r="B423" s="1" t="str">
        <f>Main_Data!B423</f>
        <v>North America</v>
      </c>
      <c r="C423" s="1">
        <f>Main_Data!C423</f>
        <v>2020</v>
      </c>
      <c r="D423" s="1">
        <f>Main_Data!D423</f>
        <v>48486</v>
      </c>
      <c r="E423" s="1">
        <f>Main_Data!E423</f>
        <v>5</v>
      </c>
      <c r="F423" s="1">
        <f>Main_Data!F423</f>
        <v>62</v>
      </c>
      <c r="G423" s="1">
        <f>Main_Data!G423</f>
        <v>963163747</v>
      </c>
      <c r="H423" s="1">
        <f>Main_Data!H423</f>
        <v>50</v>
      </c>
      <c r="I423" s="1">
        <f>Main_Data!I423</f>
        <v>6.8</v>
      </c>
      <c r="J423" s="1">
        <f>Main_Data!J423</f>
        <v>86</v>
      </c>
      <c r="K423" s="1">
        <f>Main_Data!K423</f>
        <v>85</v>
      </c>
      <c r="L423" s="1" t="str">
        <f>Main_Data!L423</f>
        <v>North America</v>
      </c>
      <c r="M423" s="1" t="str">
        <f>PROPER(TRIM(Main_Data!A423))</f>
        <v>Usa</v>
      </c>
      <c r="N423" s="1" t="str">
        <f>PROPER(TRIM(Main_Data!B423))</f>
        <v>North America</v>
      </c>
      <c r="O423" s="1" t="str" cm="1">
        <f t="array" ref="O423">_xlfn.IFS(F423&gt;=80,"Very High",F423&gt;=70,"High",F423&gt;=60,"Medium",TRUE,"Low")</f>
        <v>Medium</v>
      </c>
      <c r="P423" s="1" t="str" cm="1">
        <f t="array" ref="P423">_xlfn.IFS(D423&gt;=40000,"High Income",D423&gt;=15000,"Middle Income",TRUE,"Low Income")</f>
        <v>High Income</v>
      </c>
      <c r="Q423" s="1" t="str">
        <f t="shared" si="6"/>
        <v>Duplicate</v>
      </c>
    </row>
    <row r="424" spans="1:17" x14ac:dyDescent="0.25">
      <c r="A424" s="1" t="str">
        <f>Main_Data!A424</f>
        <v>Germany</v>
      </c>
      <c r="B424" s="1" t="str">
        <f>Main_Data!B424</f>
        <v>Europe</v>
      </c>
      <c r="C424" s="1">
        <f>Main_Data!C424</f>
        <v>2020</v>
      </c>
      <c r="D424" s="1">
        <f>Main_Data!D424</f>
        <v>34752</v>
      </c>
      <c r="E424" s="1">
        <f>Main_Data!E424</f>
        <v>4.2</v>
      </c>
      <c r="F424" s="1">
        <f>Main_Data!F424</f>
        <v>73</v>
      </c>
      <c r="G424" s="1">
        <f>Main_Data!G424</f>
        <v>325689953</v>
      </c>
      <c r="H424" s="1">
        <f>Main_Data!H424</f>
        <v>61</v>
      </c>
      <c r="I424" s="1">
        <f>Main_Data!I424</f>
        <v>8.5</v>
      </c>
      <c r="J424" s="1">
        <f>Main_Data!J424</f>
        <v>73</v>
      </c>
      <c r="K424" s="1">
        <f>Main_Data!K424</f>
        <v>72</v>
      </c>
      <c r="L424" s="1" t="str">
        <f>Main_Data!L424</f>
        <v>Europe</v>
      </c>
      <c r="M424" s="1" t="str">
        <f>PROPER(TRIM(Main_Data!A424))</f>
        <v>Germany</v>
      </c>
      <c r="N424" s="1" t="str">
        <f>PROPER(TRIM(Main_Data!B424))</f>
        <v>Europe</v>
      </c>
      <c r="O424" s="1" t="str" cm="1">
        <f t="array" ref="O424">_xlfn.IFS(F424&gt;=80,"Very High",F424&gt;=70,"High",F424&gt;=60,"Medium",TRUE,"Low")</f>
        <v>High</v>
      </c>
      <c r="P424" s="1" t="str" cm="1">
        <f t="array" ref="P424">_xlfn.IFS(D424&gt;=40000,"High Income",D424&gt;=15000,"Middle Income",TRUE,"Low Income")</f>
        <v>Middle Income</v>
      </c>
      <c r="Q424" s="1" t="str">
        <f t="shared" si="6"/>
        <v>Duplicate</v>
      </c>
    </row>
    <row r="425" spans="1:17" x14ac:dyDescent="0.25">
      <c r="A425" s="1" t="str">
        <f>Main_Data!A425</f>
        <v>Brazil</v>
      </c>
      <c r="B425" s="1" t="str">
        <f>Main_Data!B425</f>
        <v>South America</v>
      </c>
      <c r="C425" s="1">
        <f>Main_Data!C425</f>
        <v>2022</v>
      </c>
      <c r="D425" s="1">
        <f>Main_Data!D425</f>
        <v>5813</v>
      </c>
      <c r="E425" s="1">
        <f>Main_Data!E425</f>
        <v>8.6999999999999993</v>
      </c>
      <c r="F425" s="1">
        <f>Main_Data!F425</f>
        <v>79</v>
      </c>
      <c r="G425" s="1">
        <f>Main_Data!G425</f>
        <v>1139531638</v>
      </c>
      <c r="H425" s="1">
        <f>Main_Data!H425</f>
        <v>64</v>
      </c>
      <c r="I425" s="1">
        <f>Main_Data!I425</f>
        <v>14.2</v>
      </c>
      <c r="J425" s="1">
        <f>Main_Data!J425</f>
        <v>92</v>
      </c>
      <c r="K425" s="1">
        <f>Main_Data!K425</f>
        <v>74</v>
      </c>
      <c r="L425" s="1" t="str">
        <f>Main_Data!L425</f>
        <v>South America</v>
      </c>
      <c r="M425" s="1" t="str">
        <f>PROPER(TRIM(Main_Data!A425))</f>
        <v>Brazil</v>
      </c>
      <c r="N425" s="1" t="str">
        <f>PROPER(TRIM(Main_Data!B425))</f>
        <v>South America</v>
      </c>
      <c r="O425" s="1" t="str" cm="1">
        <f t="array" ref="O425">_xlfn.IFS(F425&gt;=80,"Very High",F425&gt;=70,"High",F425&gt;=60,"Medium",TRUE,"Low")</f>
        <v>High</v>
      </c>
      <c r="P425" s="1" t="str" cm="1">
        <f t="array" ref="P425">_xlfn.IFS(D425&gt;=40000,"High Income",D425&gt;=15000,"Middle Income",TRUE,"Low Income")</f>
        <v>Low Income</v>
      </c>
      <c r="Q425" s="1" t="str">
        <f t="shared" si="6"/>
        <v>Duplicate</v>
      </c>
    </row>
    <row r="426" spans="1:17" x14ac:dyDescent="0.25">
      <c r="A426" s="1" t="str">
        <f>Main_Data!A426</f>
        <v>China</v>
      </c>
      <c r="B426" s="1" t="str">
        <f>Main_Data!B426</f>
        <v>East Asia</v>
      </c>
      <c r="C426" s="1">
        <f>Main_Data!C426</f>
        <v>2021</v>
      </c>
      <c r="D426" s="1">
        <f>Main_Data!D426</f>
        <v>9162</v>
      </c>
      <c r="E426" s="1">
        <f>Main_Data!E426</f>
        <v>8.9</v>
      </c>
      <c r="F426" s="1">
        <f>Main_Data!F426</f>
        <v>83</v>
      </c>
      <c r="G426" s="1">
        <f>Main_Data!G426</f>
        <v>1299199653</v>
      </c>
      <c r="H426" s="1">
        <f>Main_Data!H426</f>
        <v>54</v>
      </c>
      <c r="I426" s="1">
        <f>Main_Data!I426</f>
        <v>20.3</v>
      </c>
      <c r="J426" s="1">
        <f>Main_Data!J426</f>
        <v>97</v>
      </c>
      <c r="K426" s="1">
        <f>Main_Data!K426</f>
        <v>79</v>
      </c>
      <c r="L426" s="1" t="str">
        <f>Main_Data!L426</f>
        <v>Asia</v>
      </c>
      <c r="M426" s="1" t="str">
        <f>PROPER(TRIM(Main_Data!A426))</f>
        <v>China</v>
      </c>
      <c r="N426" s="1" t="str">
        <f>PROPER(TRIM(Main_Data!B426))</f>
        <v>East Asia</v>
      </c>
      <c r="O426" s="1" t="str" cm="1">
        <f t="array" ref="O426">_xlfn.IFS(F426&gt;=80,"Very High",F426&gt;=70,"High",F426&gt;=60,"Medium",TRUE,"Low")</f>
        <v>Very High</v>
      </c>
      <c r="P426" s="1" t="str" cm="1">
        <f t="array" ref="P426">_xlfn.IFS(D426&gt;=40000,"High Income",D426&gt;=15000,"Middle Income",TRUE,"Low Income")</f>
        <v>Low Income</v>
      </c>
      <c r="Q426" s="1" t="str">
        <f t="shared" si="6"/>
        <v>Duplicate</v>
      </c>
    </row>
    <row r="427" spans="1:17" x14ac:dyDescent="0.25">
      <c r="A427" s="1" t="str">
        <f>Main_Data!A427</f>
        <v>UK</v>
      </c>
      <c r="B427" s="1" t="str">
        <f>Main_Data!B427</f>
        <v>Europe</v>
      </c>
      <c r="C427" s="1">
        <f>Main_Data!C427</f>
        <v>2021</v>
      </c>
      <c r="D427" s="1">
        <f>Main_Data!D427</f>
        <v>3412</v>
      </c>
      <c r="E427" s="1">
        <f>Main_Data!E427</f>
        <v>3.1</v>
      </c>
      <c r="F427" s="1">
        <f>Main_Data!F427</f>
        <v>73</v>
      </c>
      <c r="G427" s="1">
        <f>Main_Data!G427</f>
        <v>512589141</v>
      </c>
      <c r="H427" s="1">
        <f>Main_Data!H427</f>
        <v>55</v>
      </c>
      <c r="I427" s="1">
        <f>Main_Data!I427</f>
        <v>5.2</v>
      </c>
      <c r="J427" s="1">
        <f>Main_Data!J427</f>
        <v>87</v>
      </c>
      <c r="K427" s="1">
        <f>Main_Data!K427</f>
        <v>76</v>
      </c>
      <c r="L427" s="1" t="str">
        <f>Main_Data!L427</f>
        <v>Europe</v>
      </c>
      <c r="M427" s="1" t="str">
        <f>PROPER(TRIM(Main_Data!A427))</f>
        <v>Uk</v>
      </c>
      <c r="N427" s="1" t="str">
        <f>PROPER(TRIM(Main_Data!B427))</f>
        <v>Europe</v>
      </c>
      <c r="O427" s="1" t="str" cm="1">
        <f t="array" ref="O427">_xlfn.IFS(F427&gt;=80,"Very High",F427&gt;=70,"High",F427&gt;=60,"Medium",TRUE,"Low")</f>
        <v>High</v>
      </c>
      <c r="P427" s="1" t="str" cm="1">
        <f t="array" ref="P427">_xlfn.IFS(D427&gt;=40000,"High Income",D427&gt;=15000,"Middle Income",TRUE,"Low Income")</f>
        <v>Low Income</v>
      </c>
      <c r="Q427" s="1" t="str">
        <f t="shared" si="6"/>
        <v>Duplicate</v>
      </c>
    </row>
    <row r="428" spans="1:17" x14ac:dyDescent="0.25">
      <c r="A428" s="1" t="str">
        <f>Main_Data!A428</f>
        <v>Canada</v>
      </c>
      <c r="B428" s="1" t="str">
        <f>Main_Data!B428</f>
        <v>North America</v>
      </c>
      <c r="C428" s="1">
        <f>Main_Data!C428</f>
        <v>2020</v>
      </c>
      <c r="D428" s="1">
        <f>Main_Data!D428</f>
        <v>69497</v>
      </c>
      <c r="E428" s="1">
        <f>Main_Data!E428</f>
        <v>10.6</v>
      </c>
      <c r="F428" s="1">
        <f>Main_Data!F428</f>
        <v>61</v>
      </c>
      <c r="G428" s="1">
        <f>Main_Data!G428</f>
        <v>709057763</v>
      </c>
      <c r="H428" s="1">
        <f>Main_Data!H428</f>
        <v>68</v>
      </c>
      <c r="I428" s="1">
        <f>Main_Data!I428</f>
        <v>6.7</v>
      </c>
      <c r="J428" s="1">
        <f>Main_Data!J428</f>
        <v>89</v>
      </c>
      <c r="K428" s="1">
        <f>Main_Data!K428</f>
        <v>36</v>
      </c>
      <c r="L428" s="1" t="str">
        <f>Main_Data!L428</f>
        <v>North America</v>
      </c>
      <c r="M428" s="1" t="str">
        <f>PROPER(TRIM(Main_Data!A428))</f>
        <v>Canada</v>
      </c>
      <c r="N428" s="1" t="str">
        <f>PROPER(TRIM(Main_Data!B428))</f>
        <v>North America</v>
      </c>
      <c r="O428" s="1" t="str" cm="1">
        <f t="array" ref="O428">_xlfn.IFS(F428&gt;=80,"Very High",F428&gt;=70,"High",F428&gt;=60,"Medium",TRUE,"Low")</f>
        <v>Medium</v>
      </c>
      <c r="P428" s="1" t="str" cm="1">
        <f t="array" ref="P428">_xlfn.IFS(D428&gt;=40000,"High Income",D428&gt;=15000,"Middle Income",TRUE,"Low Income")</f>
        <v>High Income</v>
      </c>
      <c r="Q428" s="1" t="str">
        <f t="shared" si="6"/>
        <v>Duplicate</v>
      </c>
    </row>
    <row r="429" spans="1:17" x14ac:dyDescent="0.25">
      <c r="A429" s="1" t="str">
        <f>Main_Data!A429</f>
        <v>Australia</v>
      </c>
      <c r="B429" s="1" t="str">
        <f>Main_Data!B429</f>
        <v>Oceania</v>
      </c>
      <c r="C429" s="1">
        <f>Main_Data!C429</f>
        <v>2022</v>
      </c>
      <c r="D429" s="1">
        <f>Main_Data!D429</f>
        <v>45330</v>
      </c>
      <c r="E429" s="1">
        <f>Main_Data!E429</f>
        <v>7.9</v>
      </c>
      <c r="F429" s="1">
        <f>Main_Data!F429</f>
        <v>80</v>
      </c>
      <c r="G429" s="1">
        <f>Main_Data!G429</f>
        <v>1071613692</v>
      </c>
      <c r="H429" s="1">
        <f>Main_Data!H429</f>
        <v>91</v>
      </c>
      <c r="I429" s="1">
        <f>Main_Data!I429</f>
        <v>24.3</v>
      </c>
      <c r="J429" s="1">
        <f>Main_Data!J429</f>
        <v>91</v>
      </c>
      <c r="K429" s="1">
        <f>Main_Data!K429</f>
        <v>82</v>
      </c>
      <c r="L429" s="1" t="str">
        <f>Main_Data!L429</f>
        <v>Oceania</v>
      </c>
      <c r="M429" s="1" t="str">
        <f>PROPER(TRIM(Main_Data!A429))</f>
        <v>Australia</v>
      </c>
      <c r="N429" s="1" t="str">
        <f>PROPER(TRIM(Main_Data!B429))</f>
        <v>Oceania</v>
      </c>
      <c r="O429" s="1" t="str" cm="1">
        <f t="array" ref="O429">_xlfn.IFS(F429&gt;=80,"Very High",F429&gt;=70,"High",F429&gt;=60,"Medium",TRUE,"Low")</f>
        <v>Very High</v>
      </c>
      <c r="P429" s="1" t="str" cm="1">
        <f t="array" ref="P429">_xlfn.IFS(D429&gt;=40000,"High Income",D429&gt;=15000,"Middle Income",TRUE,"Low Income")</f>
        <v>High Income</v>
      </c>
      <c r="Q429" s="1" t="str">
        <f t="shared" si="6"/>
        <v>Duplicate</v>
      </c>
    </row>
    <row r="430" spans="1:17" x14ac:dyDescent="0.25">
      <c r="A430" s="1" t="str">
        <f>Main_Data!A430</f>
        <v>Japan</v>
      </c>
      <c r="B430" s="1" t="str">
        <f>Main_Data!B430</f>
        <v>East Asia</v>
      </c>
      <c r="C430" s="1">
        <f>Main_Data!C430</f>
        <v>2020</v>
      </c>
      <c r="D430" s="1">
        <f>Main_Data!D430</f>
        <v>34002</v>
      </c>
      <c r="E430" s="1">
        <f>Main_Data!E430</f>
        <v>14.4</v>
      </c>
      <c r="F430" s="1">
        <f>Main_Data!F430</f>
        <v>62</v>
      </c>
      <c r="G430" s="1">
        <f>Main_Data!G430</f>
        <v>1072320280</v>
      </c>
      <c r="H430" s="1">
        <f>Main_Data!H430</f>
        <v>76</v>
      </c>
      <c r="I430" s="1">
        <f>Main_Data!I430</f>
        <v>5.9</v>
      </c>
      <c r="J430" s="1">
        <f>Main_Data!J430</f>
        <v>95</v>
      </c>
      <c r="K430" s="1">
        <f>Main_Data!K430</f>
        <v>60</v>
      </c>
      <c r="L430" s="1" t="str">
        <f>Main_Data!L430</f>
        <v>Asia</v>
      </c>
      <c r="M430" s="1" t="str">
        <f>PROPER(TRIM(Main_Data!A430))</f>
        <v>Japan</v>
      </c>
      <c r="N430" s="1" t="str">
        <f>PROPER(TRIM(Main_Data!B430))</f>
        <v>East Asia</v>
      </c>
      <c r="O430" s="1" t="str" cm="1">
        <f t="array" ref="O430">_xlfn.IFS(F430&gt;=80,"Very High",F430&gt;=70,"High",F430&gt;=60,"Medium",TRUE,"Low")</f>
        <v>Medium</v>
      </c>
      <c r="P430" s="1" t="str" cm="1">
        <f t="array" ref="P430">_xlfn.IFS(D430&gt;=40000,"High Income",D430&gt;=15000,"Middle Income",TRUE,"Low Income")</f>
        <v>Middle Income</v>
      </c>
      <c r="Q430" s="1" t="str">
        <f t="shared" si="6"/>
        <v>Duplicate</v>
      </c>
    </row>
    <row r="431" spans="1:17" x14ac:dyDescent="0.25">
      <c r="A431" s="1" t="str">
        <f>Main_Data!A431</f>
        <v>South Africa</v>
      </c>
      <c r="B431" s="1" t="str">
        <f>Main_Data!B431</f>
        <v>Africa</v>
      </c>
      <c r="C431" s="1">
        <f>Main_Data!C431</f>
        <v>2021</v>
      </c>
      <c r="D431" s="1">
        <f>Main_Data!D431</f>
        <v>7322</v>
      </c>
      <c r="E431" s="1">
        <f>Main_Data!E431</f>
        <v>12.1</v>
      </c>
      <c r="F431" s="1">
        <f>Main_Data!F431</f>
        <v>64</v>
      </c>
      <c r="G431" s="1">
        <f>Main_Data!G431</f>
        <v>370861975</v>
      </c>
      <c r="H431" s="1">
        <f>Main_Data!H431</f>
        <v>55</v>
      </c>
      <c r="I431" s="1">
        <f>Main_Data!I431</f>
        <v>16.3</v>
      </c>
      <c r="J431" s="1">
        <f>Main_Data!J431</f>
        <v>90</v>
      </c>
      <c r="K431" s="1">
        <f>Main_Data!K431</f>
        <v>56</v>
      </c>
      <c r="L431" s="1" t="str">
        <f>Main_Data!L431</f>
        <v>Africa</v>
      </c>
      <c r="M431" s="1" t="str">
        <f>PROPER(TRIM(Main_Data!A431))</f>
        <v>South Africa</v>
      </c>
      <c r="N431" s="1" t="str">
        <f>PROPER(TRIM(Main_Data!B431))</f>
        <v>Africa</v>
      </c>
      <c r="O431" s="1" t="str" cm="1">
        <f t="array" ref="O431">_xlfn.IFS(F431&gt;=80,"Very High",F431&gt;=70,"High",F431&gt;=60,"Medium",TRUE,"Low")</f>
        <v>Medium</v>
      </c>
      <c r="P431" s="1" t="str" cm="1">
        <f t="array" ref="P431">_xlfn.IFS(D431&gt;=40000,"High Income",D431&gt;=15000,"Middle Income",TRUE,"Low Income")</f>
        <v>Low Income</v>
      </c>
      <c r="Q431" s="1" t="str">
        <f t="shared" si="6"/>
        <v>Duplicate</v>
      </c>
    </row>
    <row r="432" spans="1:17" x14ac:dyDescent="0.25">
      <c r="A432" s="1" t="str">
        <f>Main_Data!A432</f>
        <v>India</v>
      </c>
      <c r="B432" s="1" t="str">
        <f>Main_Data!B432</f>
        <v>South Asia</v>
      </c>
      <c r="C432" s="1">
        <f>Main_Data!C432</f>
        <v>2021</v>
      </c>
      <c r="D432" s="1">
        <f>Main_Data!D432</f>
        <v>59952</v>
      </c>
      <c r="E432" s="1">
        <f>Main_Data!E432</f>
        <v>10.199999999999999</v>
      </c>
      <c r="F432" s="1">
        <f>Main_Data!F432</f>
        <v>65</v>
      </c>
      <c r="G432" s="1">
        <f>Main_Data!G432</f>
        <v>655914665</v>
      </c>
      <c r="H432" s="1">
        <f>Main_Data!H432</f>
        <v>51</v>
      </c>
      <c r="I432" s="1">
        <f>Main_Data!I432</f>
        <v>16.100000000000001</v>
      </c>
      <c r="J432" s="1">
        <f>Main_Data!J432</f>
        <v>73</v>
      </c>
      <c r="K432" s="1">
        <f>Main_Data!K432</f>
        <v>57</v>
      </c>
      <c r="L432" s="1" t="str">
        <f>Main_Data!L432</f>
        <v>Asia</v>
      </c>
      <c r="M432" s="1" t="str">
        <f>PROPER(TRIM(Main_Data!A432))</f>
        <v>India</v>
      </c>
      <c r="N432" s="1" t="str">
        <f>PROPER(TRIM(Main_Data!B432))</f>
        <v>South Asia</v>
      </c>
      <c r="O432" s="1" t="str" cm="1">
        <f t="array" ref="O432">_xlfn.IFS(F432&gt;=80,"Very High",F432&gt;=70,"High",F432&gt;=60,"Medium",TRUE,"Low")</f>
        <v>Medium</v>
      </c>
      <c r="P432" s="1" t="str" cm="1">
        <f t="array" ref="P432">_xlfn.IFS(D432&gt;=40000,"High Income",D432&gt;=15000,"Middle Income",TRUE,"Low Income")</f>
        <v>High Income</v>
      </c>
      <c r="Q432" s="1" t="str">
        <f t="shared" si="6"/>
        <v>Duplicate</v>
      </c>
    </row>
    <row r="433" spans="1:17" x14ac:dyDescent="0.25">
      <c r="A433" s="1" t="str">
        <f>Main_Data!A433</f>
        <v>USA</v>
      </c>
      <c r="B433" s="1" t="str">
        <f>Main_Data!B433</f>
        <v>North America</v>
      </c>
      <c r="C433" s="1">
        <f>Main_Data!C433</f>
        <v>2022</v>
      </c>
      <c r="D433" s="1">
        <f>Main_Data!D433</f>
        <v>28346</v>
      </c>
      <c r="E433" s="1">
        <f>Main_Data!E433</f>
        <v>8.1</v>
      </c>
      <c r="F433" s="1">
        <f>Main_Data!F433</f>
        <v>65</v>
      </c>
      <c r="G433" s="1">
        <f>Main_Data!G433</f>
        <v>14816030</v>
      </c>
      <c r="H433" s="1">
        <f>Main_Data!H433</f>
        <v>63</v>
      </c>
      <c r="I433" s="1">
        <f>Main_Data!I433</f>
        <v>10.7</v>
      </c>
      <c r="J433" s="1">
        <f>Main_Data!J433</f>
        <v>94</v>
      </c>
      <c r="K433" s="1">
        <f>Main_Data!K433</f>
        <v>37</v>
      </c>
      <c r="L433" s="1" t="str">
        <f>Main_Data!L433</f>
        <v>North America</v>
      </c>
      <c r="M433" s="1" t="str">
        <f>PROPER(TRIM(Main_Data!A433))</f>
        <v>Usa</v>
      </c>
      <c r="N433" s="1" t="str">
        <f>PROPER(TRIM(Main_Data!B433))</f>
        <v>North America</v>
      </c>
      <c r="O433" s="1" t="str" cm="1">
        <f t="array" ref="O433">_xlfn.IFS(F433&gt;=80,"Very High",F433&gt;=70,"High",F433&gt;=60,"Medium",TRUE,"Low")</f>
        <v>Medium</v>
      </c>
      <c r="P433" s="1" t="str" cm="1">
        <f t="array" ref="P433">_xlfn.IFS(D433&gt;=40000,"High Income",D433&gt;=15000,"Middle Income",TRUE,"Low Income")</f>
        <v>Middle Income</v>
      </c>
      <c r="Q433" s="1" t="str">
        <f t="shared" si="6"/>
        <v>Duplicate</v>
      </c>
    </row>
    <row r="434" spans="1:17" x14ac:dyDescent="0.25">
      <c r="A434" s="1" t="str">
        <f>Main_Data!A434</f>
        <v>Germany</v>
      </c>
      <c r="B434" s="1" t="str">
        <f>Main_Data!B434</f>
        <v>Europe</v>
      </c>
      <c r="C434" s="1">
        <f>Main_Data!C434</f>
        <v>2021</v>
      </c>
      <c r="D434" s="1">
        <f>Main_Data!D434</f>
        <v>50984</v>
      </c>
      <c r="E434" s="1">
        <f>Main_Data!E434</f>
        <v>3.1</v>
      </c>
      <c r="F434" s="1">
        <f>Main_Data!F434</f>
        <v>67</v>
      </c>
      <c r="G434" s="1">
        <f>Main_Data!G434</f>
        <v>1099068034</v>
      </c>
      <c r="H434" s="1">
        <f>Main_Data!H434</f>
        <v>74</v>
      </c>
      <c r="I434" s="1">
        <f>Main_Data!I434</f>
        <v>21.8</v>
      </c>
      <c r="J434" s="1">
        <f>Main_Data!J434</f>
        <v>95</v>
      </c>
      <c r="K434" s="1">
        <f>Main_Data!K434</f>
        <v>72</v>
      </c>
      <c r="L434" s="1" t="str">
        <f>Main_Data!L434</f>
        <v>Europe</v>
      </c>
      <c r="M434" s="1" t="str">
        <f>PROPER(TRIM(Main_Data!A434))</f>
        <v>Germany</v>
      </c>
      <c r="N434" s="1" t="str">
        <f>PROPER(TRIM(Main_Data!B434))</f>
        <v>Europe</v>
      </c>
      <c r="O434" s="1" t="str" cm="1">
        <f t="array" ref="O434">_xlfn.IFS(F434&gt;=80,"Very High",F434&gt;=70,"High",F434&gt;=60,"Medium",TRUE,"Low")</f>
        <v>Medium</v>
      </c>
      <c r="P434" s="1" t="str" cm="1">
        <f t="array" ref="P434">_xlfn.IFS(D434&gt;=40000,"High Income",D434&gt;=15000,"Middle Income",TRUE,"Low Income")</f>
        <v>High Income</v>
      </c>
      <c r="Q434" s="1" t="str">
        <f t="shared" si="6"/>
        <v>Duplicate</v>
      </c>
    </row>
    <row r="435" spans="1:17" x14ac:dyDescent="0.25">
      <c r="A435" s="1" t="str">
        <f>Main_Data!A435</f>
        <v>Brazil</v>
      </c>
      <c r="B435" s="1" t="str">
        <f>Main_Data!B435</f>
        <v>South America</v>
      </c>
      <c r="C435" s="1">
        <f>Main_Data!C435</f>
        <v>2021</v>
      </c>
      <c r="D435" s="1">
        <f>Main_Data!D435</f>
        <v>56203</v>
      </c>
      <c r="E435" s="1">
        <f>Main_Data!E435</f>
        <v>10.9</v>
      </c>
      <c r="F435" s="1">
        <f>Main_Data!F435</f>
        <v>72</v>
      </c>
      <c r="G435" s="1">
        <f>Main_Data!G435</f>
        <v>1485235161</v>
      </c>
      <c r="H435" s="1">
        <f>Main_Data!H435</f>
        <v>89</v>
      </c>
      <c r="I435" s="1">
        <f>Main_Data!I435</f>
        <v>13.2</v>
      </c>
      <c r="J435" s="1">
        <f>Main_Data!J435</f>
        <v>70</v>
      </c>
      <c r="K435" s="1">
        <f>Main_Data!K435</f>
        <v>31</v>
      </c>
      <c r="L435" s="1" t="str">
        <f>Main_Data!L435</f>
        <v>South America</v>
      </c>
      <c r="M435" s="1" t="str">
        <f>PROPER(TRIM(Main_Data!A435))</f>
        <v>Brazil</v>
      </c>
      <c r="N435" s="1" t="str">
        <f>PROPER(TRIM(Main_Data!B435))</f>
        <v>South America</v>
      </c>
      <c r="O435" s="1" t="str" cm="1">
        <f t="array" ref="O435">_xlfn.IFS(F435&gt;=80,"Very High",F435&gt;=70,"High",F435&gt;=60,"Medium",TRUE,"Low")</f>
        <v>High</v>
      </c>
      <c r="P435" s="1" t="str" cm="1">
        <f t="array" ref="P435">_xlfn.IFS(D435&gt;=40000,"High Income",D435&gt;=15000,"Middle Income",TRUE,"Low Income")</f>
        <v>High Income</v>
      </c>
      <c r="Q435" s="1" t="str">
        <f t="shared" si="6"/>
        <v>Duplicate</v>
      </c>
    </row>
    <row r="436" spans="1:17" x14ac:dyDescent="0.25">
      <c r="A436" s="1" t="str">
        <f>Main_Data!A436</f>
        <v>China</v>
      </c>
      <c r="B436" s="1" t="str">
        <f>Main_Data!B436</f>
        <v>East Asia</v>
      </c>
      <c r="C436" s="1">
        <f>Main_Data!C436</f>
        <v>2022</v>
      </c>
      <c r="D436" s="1">
        <f>Main_Data!D436</f>
        <v>39009</v>
      </c>
      <c r="E436" s="1">
        <f>Main_Data!E436</f>
        <v>7.8</v>
      </c>
      <c r="F436" s="1">
        <f>Main_Data!F436</f>
        <v>77</v>
      </c>
      <c r="G436" s="1">
        <f>Main_Data!G436</f>
        <v>1305127091</v>
      </c>
      <c r="H436" s="1">
        <f>Main_Data!H436</f>
        <v>59</v>
      </c>
      <c r="I436" s="1">
        <f>Main_Data!I436</f>
        <v>20.2</v>
      </c>
      <c r="J436" s="1">
        <f>Main_Data!J436</f>
        <v>89</v>
      </c>
      <c r="K436" s="1">
        <f>Main_Data!K436</f>
        <v>74</v>
      </c>
      <c r="L436" s="1" t="str">
        <f>Main_Data!L436</f>
        <v>Asia</v>
      </c>
      <c r="M436" s="1" t="str">
        <f>PROPER(TRIM(Main_Data!A436))</f>
        <v>China</v>
      </c>
      <c r="N436" s="1" t="str">
        <f>PROPER(TRIM(Main_Data!B436))</f>
        <v>East Asia</v>
      </c>
      <c r="O436" s="1" t="str" cm="1">
        <f t="array" ref="O436">_xlfn.IFS(F436&gt;=80,"Very High",F436&gt;=70,"High",F436&gt;=60,"Medium",TRUE,"Low")</f>
        <v>High</v>
      </c>
      <c r="P436" s="1" t="str" cm="1">
        <f t="array" ref="P436">_xlfn.IFS(D436&gt;=40000,"High Income",D436&gt;=15000,"Middle Income",TRUE,"Low Income")</f>
        <v>Middle Income</v>
      </c>
      <c r="Q436" s="1" t="str">
        <f t="shared" si="6"/>
        <v>Duplicate</v>
      </c>
    </row>
    <row r="437" spans="1:17" x14ac:dyDescent="0.25">
      <c r="A437" s="1" t="str">
        <f>Main_Data!A437</f>
        <v>UK</v>
      </c>
      <c r="B437" s="1" t="str">
        <f>Main_Data!B437</f>
        <v>Europe</v>
      </c>
      <c r="C437" s="1">
        <f>Main_Data!C437</f>
        <v>2020</v>
      </c>
      <c r="D437" s="1">
        <f>Main_Data!D437</f>
        <v>31409</v>
      </c>
      <c r="E437" s="1">
        <f>Main_Data!E437</f>
        <v>11.3</v>
      </c>
      <c r="F437" s="1">
        <f>Main_Data!F437</f>
        <v>77</v>
      </c>
      <c r="G437" s="1">
        <f>Main_Data!G437</f>
        <v>1081171979</v>
      </c>
      <c r="H437" s="1">
        <f>Main_Data!H437</f>
        <v>52</v>
      </c>
      <c r="I437" s="1">
        <f>Main_Data!I437</f>
        <v>8.9</v>
      </c>
      <c r="J437" s="1">
        <f>Main_Data!J437</f>
        <v>80</v>
      </c>
      <c r="K437" s="1">
        <f>Main_Data!K437</f>
        <v>47</v>
      </c>
      <c r="L437" s="1" t="str">
        <f>Main_Data!L437</f>
        <v>Europe</v>
      </c>
      <c r="M437" s="1" t="str">
        <f>PROPER(TRIM(Main_Data!A437))</f>
        <v>Uk</v>
      </c>
      <c r="N437" s="1" t="str">
        <f>PROPER(TRIM(Main_Data!B437))</f>
        <v>Europe</v>
      </c>
      <c r="O437" s="1" t="str" cm="1">
        <f t="array" ref="O437">_xlfn.IFS(F437&gt;=80,"Very High",F437&gt;=70,"High",F437&gt;=60,"Medium",TRUE,"Low")</f>
        <v>High</v>
      </c>
      <c r="P437" s="1" t="str" cm="1">
        <f t="array" ref="P437">_xlfn.IFS(D437&gt;=40000,"High Income",D437&gt;=15000,"Middle Income",TRUE,"Low Income")</f>
        <v>Middle Income</v>
      </c>
      <c r="Q437" s="1" t="str">
        <f t="shared" si="6"/>
        <v>Duplicate</v>
      </c>
    </row>
    <row r="438" spans="1:17" x14ac:dyDescent="0.25">
      <c r="A438" s="1" t="str">
        <f>Main_Data!A438</f>
        <v>Canada</v>
      </c>
      <c r="B438" s="1" t="str">
        <f>Main_Data!B438</f>
        <v>North America</v>
      </c>
      <c r="C438" s="1">
        <f>Main_Data!C438</f>
        <v>2021</v>
      </c>
      <c r="D438" s="1">
        <f>Main_Data!D438</f>
        <v>7541</v>
      </c>
      <c r="E438" s="1">
        <f>Main_Data!E438</f>
        <v>4.5999999999999996</v>
      </c>
      <c r="F438" s="1">
        <f>Main_Data!F438</f>
        <v>68</v>
      </c>
      <c r="G438" s="1">
        <f>Main_Data!G438</f>
        <v>88977190</v>
      </c>
      <c r="H438" s="1">
        <f>Main_Data!H438</f>
        <v>81</v>
      </c>
      <c r="I438" s="1">
        <f>Main_Data!I438</f>
        <v>10.4</v>
      </c>
      <c r="J438" s="1">
        <f>Main_Data!J438</f>
        <v>90</v>
      </c>
      <c r="K438" s="1">
        <f>Main_Data!K438</f>
        <v>74</v>
      </c>
      <c r="L438" s="1" t="str">
        <f>Main_Data!L438</f>
        <v>North America</v>
      </c>
      <c r="M438" s="1" t="str">
        <f>PROPER(TRIM(Main_Data!A438))</f>
        <v>Canada</v>
      </c>
      <c r="N438" s="1" t="str">
        <f>PROPER(TRIM(Main_Data!B438))</f>
        <v>North America</v>
      </c>
      <c r="O438" s="1" t="str" cm="1">
        <f t="array" ref="O438">_xlfn.IFS(F438&gt;=80,"Very High",F438&gt;=70,"High",F438&gt;=60,"Medium",TRUE,"Low")</f>
        <v>Medium</v>
      </c>
      <c r="P438" s="1" t="str" cm="1">
        <f t="array" ref="P438">_xlfn.IFS(D438&gt;=40000,"High Income",D438&gt;=15000,"Middle Income",TRUE,"Low Income")</f>
        <v>Low Income</v>
      </c>
      <c r="Q438" s="1" t="str">
        <f t="shared" si="6"/>
        <v>Duplicate</v>
      </c>
    </row>
    <row r="439" spans="1:17" x14ac:dyDescent="0.25">
      <c r="A439" s="1" t="str">
        <f>Main_Data!A439</f>
        <v>Australia</v>
      </c>
      <c r="B439" s="1" t="str">
        <f>Main_Data!B439</f>
        <v>Oceania</v>
      </c>
      <c r="C439" s="1">
        <f>Main_Data!C439</f>
        <v>2021</v>
      </c>
      <c r="D439" s="1">
        <f>Main_Data!D439</f>
        <v>51587</v>
      </c>
      <c r="E439" s="1">
        <f>Main_Data!E439</f>
        <v>4.9000000000000004</v>
      </c>
      <c r="F439" s="1">
        <f>Main_Data!F439</f>
        <v>74</v>
      </c>
      <c r="G439" s="1">
        <f>Main_Data!G439</f>
        <v>1237242876</v>
      </c>
      <c r="H439" s="1">
        <f>Main_Data!H439</f>
        <v>67</v>
      </c>
      <c r="I439" s="1">
        <f>Main_Data!I439</f>
        <v>23.1</v>
      </c>
      <c r="J439" s="1">
        <f>Main_Data!J439</f>
        <v>81</v>
      </c>
      <c r="K439" s="1">
        <f>Main_Data!K439</f>
        <v>68</v>
      </c>
      <c r="L439" s="1" t="str">
        <f>Main_Data!L439</f>
        <v>Oceania</v>
      </c>
      <c r="M439" s="1" t="str">
        <f>PROPER(TRIM(Main_Data!A439))</f>
        <v>Australia</v>
      </c>
      <c r="N439" s="1" t="str">
        <f>PROPER(TRIM(Main_Data!B439))</f>
        <v>Oceania</v>
      </c>
      <c r="O439" s="1" t="str" cm="1">
        <f t="array" ref="O439">_xlfn.IFS(F439&gt;=80,"Very High",F439&gt;=70,"High",F439&gt;=60,"Medium",TRUE,"Low")</f>
        <v>High</v>
      </c>
      <c r="P439" s="1" t="str" cm="1">
        <f t="array" ref="P439">_xlfn.IFS(D439&gt;=40000,"High Income",D439&gt;=15000,"Middle Income",TRUE,"Low Income")</f>
        <v>High Income</v>
      </c>
      <c r="Q439" s="1" t="str">
        <f t="shared" si="6"/>
        <v>Duplicate</v>
      </c>
    </row>
    <row r="440" spans="1:17" x14ac:dyDescent="0.25">
      <c r="A440" s="1" t="str">
        <f>Main_Data!A440</f>
        <v>Japan</v>
      </c>
      <c r="B440" s="1" t="str">
        <f>Main_Data!B440</f>
        <v>East Asia</v>
      </c>
      <c r="C440" s="1">
        <f>Main_Data!C440</f>
        <v>2022</v>
      </c>
      <c r="D440" s="1">
        <f>Main_Data!D440</f>
        <v>55077</v>
      </c>
      <c r="E440" s="1">
        <f>Main_Data!E440</f>
        <v>4</v>
      </c>
      <c r="F440" s="1">
        <f>Main_Data!F440</f>
        <v>69</v>
      </c>
      <c r="G440" s="1">
        <f>Main_Data!G440</f>
        <v>1138020658</v>
      </c>
      <c r="H440" s="1">
        <f>Main_Data!H440</f>
        <v>95</v>
      </c>
      <c r="I440" s="1">
        <f>Main_Data!I440</f>
        <v>15.4</v>
      </c>
      <c r="J440" s="1">
        <f>Main_Data!J440</f>
        <v>79</v>
      </c>
      <c r="K440" s="1">
        <f>Main_Data!K440</f>
        <v>54</v>
      </c>
      <c r="L440" s="1" t="str">
        <f>Main_Data!L440</f>
        <v>Asia</v>
      </c>
      <c r="M440" s="1" t="str">
        <f>PROPER(TRIM(Main_Data!A440))</f>
        <v>Japan</v>
      </c>
      <c r="N440" s="1" t="str">
        <f>PROPER(TRIM(Main_Data!B440))</f>
        <v>East Asia</v>
      </c>
      <c r="O440" s="1" t="str" cm="1">
        <f t="array" ref="O440">_xlfn.IFS(F440&gt;=80,"Very High",F440&gt;=70,"High",F440&gt;=60,"Medium",TRUE,"Low")</f>
        <v>Medium</v>
      </c>
      <c r="P440" s="1" t="str" cm="1">
        <f t="array" ref="P440">_xlfn.IFS(D440&gt;=40000,"High Income",D440&gt;=15000,"Middle Income",TRUE,"Low Income")</f>
        <v>High Income</v>
      </c>
      <c r="Q440" s="1" t="str">
        <f t="shared" si="6"/>
        <v>Duplicate</v>
      </c>
    </row>
    <row r="441" spans="1:17" x14ac:dyDescent="0.25">
      <c r="A441" s="1" t="str">
        <f>Main_Data!A441</f>
        <v>South Africa</v>
      </c>
      <c r="B441" s="1" t="str">
        <f>Main_Data!B441</f>
        <v>Africa</v>
      </c>
      <c r="C441" s="1">
        <f>Main_Data!C441</f>
        <v>2021</v>
      </c>
      <c r="D441" s="1">
        <f>Main_Data!D441</f>
        <v>5962</v>
      </c>
      <c r="E441" s="1">
        <f>Main_Data!E441</f>
        <v>15.8</v>
      </c>
      <c r="F441" s="1">
        <f>Main_Data!F441</f>
        <v>74</v>
      </c>
      <c r="G441" s="1">
        <f>Main_Data!G441</f>
        <v>942036899</v>
      </c>
      <c r="H441" s="1">
        <f>Main_Data!H441</f>
        <v>72</v>
      </c>
      <c r="I441" s="1">
        <f>Main_Data!I441</f>
        <v>14.6</v>
      </c>
      <c r="J441" s="1">
        <f>Main_Data!J441</f>
        <v>78</v>
      </c>
      <c r="K441" s="1">
        <f>Main_Data!K441</f>
        <v>40</v>
      </c>
      <c r="L441" s="1" t="str">
        <f>Main_Data!L441</f>
        <v>Africa</v>
      </c>
      <c r="M441" s="1" t="str">
        <f>PROPER(TRIM(Main_Data!A441))</f>
        <v>South Africa</v>
      </c>
      <c r="N441" s="1" t="str">
        <f>PROPER(TRIM(Main_Data!B441))</f>
        <v>Africa</v>
      </c>
      <c r="O441" s="1" t="str" cm="1">
        <f t="array" ref="O441">_xlfn.IFS(F441&gt;=80,"Very High",F441&gt;=70,"High",F441&gt;=60,"Medium",TRUE,"Low")</f>
        <v>High</v>
      </c>
      <c r="P441" s="1" t="str" cm="1">
        <f t="array" ref="P441">_xlfn.IFS(D441&gt;=40000,"High Income",D441&gt;=15000,"Middle Income",TRUE,"Low Income")</f>
        <v>Low Income</v>
      </c>
      <c r="Q441" s="1" t="str">
        <f t="shared" si="6"/>
        <v>Duplicate</v>
      </c>
    </row>
    <row r="442" spans="1:17" x14ac:dyDescent="0.25">
      <c r="A442" s="1" t="str">
        <f>Main_Data!A442</f>
        <v>India</v>
      </c>
      <c r="B442" s="1" t="str">
        <f>Main_Data!B442</f>
        <v>South Asia</v>
      </c>
      <c r="C442" s="1">
        <f>Main_Data!C442</f>
        <v>2021</v>
      </c>
      <c r="D442" s="1">
        <f>Main_Data!D442</f>
        <v>11334</v>
      </c>
      <c r="E442" s="1">
        <f>Main_Data!E442</f>
        <v>3.7</v>
      </c>
      <c r="F442" s="1">
        <f>Main_Data!F442</f>
        <v>73</v>
      </c>
      <c r="G442" s="1">
        <f>Main_Data!G442</f>
        <v>81671426</v>
      </c>
      <c r="H442" s="1">
        <f>Main_Data!H442</f>
        <v>92</v>
      </c>
      <c r="I442" s="1">
        <f>Main_Data!I442</f>
        <v>18.7</v>
      </c>
      <c r="J442" s="1">
        <f>Main_Data!J442</f>
        <v>73</v>
      </c>
      <c r="K442" s="1">
        <f>Main_Data!K442</f>
        <v>65</v>
      </c>
      <c r="L442" s="1" t="str">
        <f>Main_Data!L442</f>
        <v>Asia</v>
      </c>
      <c r="M442" s="1" t="str">
        <f>PROPER(TRIM(Main_Data!A442))</f>
        <v>India</v>
      </c>
      <c r="N442" s="1" t="str">
        <f>PROPER(TRIM(Main_Data!B442))</f>
        <v>South Asia</v>
      </c>
      <c r="O442" s="1" t="str" cm="1">
        <f t="array" ref="O442">_xlfn.IFS(F442&gt;=80,"Very High",F442&gt;=70,"High",F442&gt;=60,"Medium",TRUE,"Low")</f>
        <v>High</v>
      </c>
      <c r="P442" s="1" t="str" cm="1">
        <f t="array" ref="P442">_xlfn.IFS(D442&gt;=40000,"High Income",D442&gt;=15000,"Middle Income",TRUE,"Low Income")</f>
        <v>Low Income</v>
      </c>
      <c r="Q442" s="1" t="str">
        <f t="shared" si="6"/>
        <v>Duplicate</v>
      </c>
    </row>
    <row r="443" spans="1:17" x14ac:dyDescent="0.25">
      <c r="A443" s="1" t="str">
        <f>Main_Data!A443</f>
        <v>USA</v>
      </c>
      <c r="B443" s="1" t="str">
        <f>Main_Data!B443</f>
        <v>North America</v>
      </c>
      <c r="C443" s="1">
        <f>Main_Data!C443</f>
        <v>2020</v>
      </c>
      <c r="D443" s="1">
        <f>Main_Data!D443</f>
        <v>37761</v>
      </c>
      <c r="E443" s="1">
        <f>Main_Data!E443</f>
        <v>11.3</v>
      </c>
      <c r="F443" s="1">
        <f>Main_Data!F443</f>
        <v>74</v>
      </c>
      <c r="G443" s="1">
        <f>Main_Data!G443</f>
        <v>1464557244</v>
      </c>
      <c r="H443" s="1">
        <f>Main_Data!H443</f>
        <v>60</v>
      </c>
      <c r="I443" s="1">
        <f>Main_Data!I443</f>
        <v>21</v>
      </c>
      <c r="J443" s="1">
        <f>Main_Data!J443</f>
        <v>93</v>
      </c>
      <c r="K443" s="1">
        <f>Main_Data!K443</f>
        <v>50</v>
      </c>
      <c r="L443" s="1" t="str">
        <f>Main_Data!L443</f>
        <v>North America</v>
      </c>
      <c r="M443" s="1" t="str">
        <f>PROPER(TRIM(Main_Data!A443))</f>
        <v>Usa</v>
      </c>
      <c r="N443" s="1" t="str">
        <f>PROPER(TRIM(Main_Data!B443))</f>
        <v>North America</v>
      </c>
      <c r="O443" s="1" t="str" cm="1">
        <f t="array" ref="O443">_xlfn.IFS(F443&gt;=80,"Very High",F443&gt;=70,"High",F443&gt;=60,"Medium",TRUE,"Low")</f>
        <v>High</v>
      </c>
      <c r="P443" s="1" t="str" cm="1">
        <f t="array" ref="P443">_xlfn.IFS(D443&gt;=40000,"High Income",D443&gt;=15000,"Middle Income",TRUE,"Low Income")</f>
        <v>Middle Income</v>
      </c>
      <c r="Q443" s="1" t="str">
        <f t="shared" si="6"/>
        <v>Duplicate</v>
      </c>
    </row>
    <row r="444" spans="1:17" x14ac:dyDescent="0.25">
      <c r="A444" s="1" t="str">
        <f>Main_Data!A444</f>
        <v>Germany</v>
      </c>
      <c r="B444" s="1" t="str">
        <f>Main_Data!B444</f>
        <v>Europe</v>
      </c>
      <c r="C444" s="1">
        <f>Main_Data!C444</f>
        <v>2022</v>
      </c>
      <c r="D444" s="1">
        <f>Main_Data!D444</f>
        <v>52212</v>
      </c>
      <c r="E444" s="1">
        <f>Main_Data!E444</f>
        <v>12.6</v>
      </c>
      <c r="F444" s="1">
        <f>Main_Data!F444</f>
        <v>77</v>
      </c>
      <c r="G444" s="1">
        <f>Main_Data!G444</f>
        <v>1214679924</v>
      </c>
      <c r="H444" s="1">
        <f>Main_Data!H444</f>
        <v>55</v>
      </c>
      <c r="I444" s="1">
        <f>Main_Data!I444</f>
        <v>10.6</v>
      </c>
      <c r="J444" s="1">
        <f>Main_Data!J444</f>
        <v>98</v>
      </c>
      <c r="K444" s="1">
        <f>Main_Data!K444</f>
        <v>47</v>
      </c>
      <c r="L444" s="1" t="str">
        <f>Main_Data!L444</f>
        <v>Europe</v>
      </c>
      <c r="M444" s="1" t="str">
        <f>PROPER(TRIM(Main_Data!A444))</f>
        <v>Germany</v>
      </c>
      <c r="N444" s="1" t="str">
        <f>PROPER(TRIM(Main_Data!B444))</f>
        <v>Europe</v>
      </c>
      <c r="O444" s="1" t="str" cm="1">
        <f t="array" ref="O444">_xlfn.IFS(F444&gt;=80,"Very High",F444&gt;=70,"High",F444&gt;=60,"Medium",TRUE,"Low")</f>
        <v>High</v>
      </c>
      <c r="P444" s="1" t="str" cm="1">
        <f t="array" ref="P444">_xlfn.IFS(D444&gt;=40000,"High Income",D444&gt;=15000,"Middle Income",TRUE,"Low Income")</f>
        <v>High Income</v>
      </c>
      <c r="Q444" s="1" t="str">
        <f t="shared" si="6"/>
        <v>Duplicate</v>
      </c>
    </row>
    <row r="445" spans="1:17" x14ac:dyDescent="0.25">
      <c r="A445" s="1" t="str">
        <f>Main_Data!A445</f>
        <v>Brazil</v>
      </c>
      <c r="B445" s="1" t="str">
        <f>Main_Data!B445</f>
        <v>South America</v>
      </c>
      <c r="C445" s="1">
        <f>Main_Data!C445</f>
        <v>2020</v>
      </c>
      <c r="D445" s="1">
        <f>Main_Data!D445</f>
        <v>58248</v>
      </c>
      <c r="E445" s="1">
        <f>Main_Data!E445</f>
        <v>11.4</v>
      </c>
      <c r="F445" s="1">
        <f>Main_Data!F445</f>
        <v>79</v>
      </c>
      <c r="G445" s="1">
        <f>Main_Data!G445</f>
        <v>206197457</v>
      </c>
      <c r="H445" s="1">
        <f>Main_Data!H445</f>
        <v>93</v>
      </c>
      <c r="I445" s="1">
        <f>Main_Data!I445</f>
        <v>22.1</v>
      </c>
      <c r="J445" s="1">
        <f>Main_Data!J445</f>
        <v>84</v>
      </c>
      <c r="K445" s="1">
        <f>Main_Data!K445</f>
        <v>61</v>
      </c>
      <c r="L445" s="1" t="str">
        <f>Main_Data!L445</f>
        <v>South America</v>
      </c>
      <c r="M445" s="1" t="str">
        <f>PROPER(TRIM(Main_Data!A445))</f>
        <v>Brazil</v>
      </c>
      <c r="N445" s="1" t="str">
        <f>PROPER(TRIM(Main_Data!B445))</f>
        <v>South America</v>
      </c>
      <c r="O445" s="1" t="str" cm="1">
        <f t="array" ref="O445">_xlfn.IFS(F445&gt;=80,"Very High",F445&gt;=70,"High",F445&gt;=60,"Medium",TRUE,"Low")</f>
        <v>High</v>
      </c>
      <c r="P445" s="1" t="str" cm="1">
        <f t="array" ref="P445">_xlfn.IFS(D445&gt;=40000,"High Income",D445&gt;=15000,"Middle Income",TRUE,"Low Income")</f>
        <v>High Income</v>
      </c>
      <c r="Q445" s="1" t="str">
        <f t="shared" si="6"/>
        <v>Duplicate</v>
      </c>
    </row>
    <row r="446" spans="1:17" x14ac:dyDescent="0.25">
      <c r="A446" s="1" t="str">
        <f>Main_Data!A446</f>
        <v>China</v>
      </c>
      <c r="B446" s="1" t="str">
        <f>Main_Data!B446</f>
        <v>East Asia</v>
      </c>
      <c r="C446" s="1">
        <f>Main_Data!C446</f>
        <v>2020</v>
      </c>
      <c r="D446" s="1">
        <f>Main_Data!D446</f>
        <v>61514</v>
      </c>
      <c r="E446" s="1">
        <f>Main_Data!E446</f>
        <v>8.6</v>
      </c>
      <c r="F446" s="1">
        <f>Main_Data!F446</f>
        <v>79</v>
      </c>
      <c r="G446" s="1">
        <f>Main_Data!G446</f>
        <v>1436796278</v>
      </c>
      <c r="H446" s="1">
        <f>Main_Data!H446</f>
        <v>61</v>
      </c>
      <c r="I446" s="1">
        <f>Main_Data!I446</f>
        <v>22.3</v>
      </c>
      <c r="J446" s="1">
        <f>Main_Data!J446</f>
        <v>83</v>
      </c>
      <c r="K446" s="1">
        <f>Main_Data!K446</f>
        <v>59</v>
      </c>
      <c r="L446" s="1" t="str">
        <f>Main_Data!L446</f>
        <v>Asia</v>
      </c>
      <c r="M446" s="1" t="str">
        <f>PROPER(TRIM(Main_Data!A446))</f>
        <v>China</v>
      </c>
      <c r="N446" s="1" t="str">
        <f>PROPER(TRIM(Main_Data!B446))</f>
        <v>East Asia</v>
      </c>
      <c r="O446" s="1" t="str" cm="1">
        <f t="array" ref="O446">_xlfn.IFS(F446&gt;=80,"Very High",F446&gt;=70,"High",F446&gt;=60,"Medium",TRUE,"Low")</f>
        <v>High</v>
      </c>
      <c r="P446" s="1" t="str" cm="1">
        <f t="array" ref="P446">_xlfn.IFS(D446&gt;=40000,"High Income",D446&gt;=15000,"Middle Income",TRUE,"Low Income")</f>
        <v>High Income</v>
      </c>
      <c r="Q446" s="1" t="str">
        <f t="shared" si="6"/>
        <v>Duplicate</v>
      </c>
    </row>
    <row r="447" spans="1:17" x14ac:dyDescent="0.25">
      <c r="A447" s="1" t="str">
        <f>Main_Data!A447</f>
        <v>UK</v>
      </c>
      <c r="B447" s="1" t="str">
        <f>Main_Data!B447</f>
        <v>Europe</v>
      </c>
      <c r="C447" s="1">
        <f>Main_Data!C447</f>
        <v>2021</v>
      </c>
      <c r="D447" s="1">
        <f>Main_Data!D447</f>
        <v>69064</v>
      </c>
      <c r="E447" s="1">
        <f>Main_Data!E447</f>
        <v>13.8</v>
      </c>
      <c r="F447" s="1">
        <f>Main_Data!F447</f>
        <v>83</v>
      </c>
      <c r="G447" s="1">
        <f>Main_Data!G447</f>
        <v>5128754</v>
      </c>
      <c r="H447" s="1">
        <f>Main_Data!H447</f>
        <v>61</v>
      </c>
      <c r="I447" s="1">
        <f>Main_Data!I447</f>
        <v>20</v>
      </c>
      <c r="J447" s="1">
        <f>Main_Data!J447</f>
        <v>86</v>
      </c>
      <c r="K447" s="1">
        <f>Main_Data!K447</f>
        <v>50</v>
      </c>
      <c r="L447" s="1" t="str">
        <f>Main_Data!L447</f>
        <v>Europe</v>
      </c>
      <c r="M447" s="1" t="str">
        <f>PROPER(TRIM(Main_Data!A447))</f>
        <v>Uk</v>
      </c>
      <c r="N447" s="1" t="str">
        <f>PROPER(TRIM(Main_Data!B447))</f>
        <v>Europe</v>
      </c>
      <c r="O447" s="1" t="str" cm="1">
        <f t="array" ref="O447">_xlfn.IFS(F447&gt;=80,"Very High",F447&gt;=70,"High",F447&gt;=60,"Medium",TRUE,"Low")</f>
        <v>Very High</v>
      </c>
      <c r="P447" s="1" t="str" cm="1">
        <f t="array" ref="P447">_xlfn.IFS(D447&gt;=40000,"High Income",D447&gt;=15000,"Middle Income",TRUE,"Low Income")</f>
        <v>High Income</v>
      </c>
      <c r="Q447" s="1" t="str">
        <f t="shared" si="6"/>
        <v>Duplicate</v>
      </c>
    </row>
    <row r="448" spans="1:17" x14ac:dyDescent="0.25">
      <c r="A448" s="1" t="str">
        <f>Main_Data!A448</f>
        <v>Canada</v>
      </c>
      <c r="B448" s="1" t="str">
        <f>Main_Data!B448</f>
        <v>North America</v>
      </c>
      <c r="C448" s="1">
        <f>Main_Data!C448</f>
        <v>2022</v>
      </c>
      <c r="D448" s="1">
        <f>Main_Data!D448</f>
        <v>47653</v>
      </c>
      <c r="E448" s="1">
        <f>Main_Data!E448</f>
        <v>10</v>
      </c>
      <c r="F448" s="1">
        <f>Main_Data!F448</f>
        <v>77</v>
      </c>
      <c r="G448" s="1">
        <f>Main_Data!G448</f>
        <v>1080423577</v>
      </c>
      <c r="H448" s="1">
        <f>Main_Data!H448</f>
        <v>89</v>
      </c>
      <c r="I448" s="1">
        <f>Main_Data!I448</f>
        <v>24</v>
      </c>
      <c r="J448" s="1">
        <f>Main_Data!J448</f>
        <v>94</v>
      </c>
      <c r="K448" s="1">
        <f>Main_Data!K448</f>
        <v>50</v>
      </c>
      <c r="L448" s="1" t="str">
        <f>Main_Data!L448</f>
        <v>North America</v>
      </c>
      <c r="M448" s="1" t="str">
        <f>PROPER(TRIM(Main_Data!A448))</f>
        <v>Canada</v>
      </c>
      <c r="N448" s="1" t="str">
        <f>PROPER(TRIM(Main_Data!B448))</f>
        <v>North America</v>
      </c>
      <c r="O448" s="1" t="str" cm="1">
        <f t="array" ref="O448">_xlfn.IFS(F448&gt;=80,"Very High",F448&gt;=70,"High",F448&gt;=60,"Medium",TRUE,"Low")</f>
        <v>High</v>
      </c>
      <c r="P448" s="1" t="str" cm="1">
        <f t="array" ref="P448">_xlfn.IFS(D448&gt;=40000,"High Income",D448&gt;=15000,"Middle Income",TRUE,"Low Income")</f>
        <v>High Income</v>
      </c>
      <c r="Q448" s="1" t="str">
        <f t="shared" si="6"/>
        <v>Duplicate</v>
      </c>
    </row>
    <row r="449" spans="1:17" x14ac:dyDescent="0.25">
      <c r="A449" s="1" t="str">
        <f>Main_Data!A449</f>
        <v>Australia</v>
      </c>
      <c r="B449" s="1" t="str">
        <f>Main_Data!B449</f>
        <v>Oceania</v>
      </c>
      <c r="C449" s="1">
        <f>Main_Data!C449</f>
        <v>2022</v>
      </c>
      <c r="D449" s="1">
        <f>Main_Data!D449</f>
        <v>59263</v>
      </c>
      <c r="E449" s="1">
        <f>Main_Data!E449</f>
        <v>15.2</v>
      </c>
      <c r="F449" s="1">
        <f>Main_Data!F449</f>
        <v>64</v>
      </c>
      <c r="G449" s="1">
        <f>Main_Data!G449</f>
        <v>943214899</v>
      </c>
      <c r="H449" s="1">
        <f>Main_Data!H449</f>
        <v>74</v>
      </c>
      <c r="I449" s="1">
        <f>Main_Data!I449</f>
        <v>25</v>
      </c>
      <c r="J449" s="1">
        <f>Main_Data!J449</f>
        <v>70</v>
      </c>
      <c r="K449" s="1">
        <f>Main_Data!K449</f>
        <v>48</v>
      </c>
      <c r="L449" s="1" t="str">
        <f>Main_Data!L449</f>
        <v>Oceania</v>
      </c>
      <c r="M449" s="1" t="str">
        <f>PROPER(TRIM(Main_Data!A449))</f>
        <v>Australia</v>
      </c>
      <c r="N449" s="1" t="str">
        <f>PROPER(TRIM(Main_Data!B449))</f>
        <v>Oceania</v>
      </c>
      <c r="O449" s="1" t="str" cm="1">
        <f t="array" ref="O449">_xlfn.IFS(F449&gt;=80,"Very High",F449&gt;=70,"High",F449&gt;=60,"Medium",TRUE,"Low")</f>
        <v>Medium</v>
      </c>
      <c r="P449" s="1" t="str" cm="1">
        <f t="array" ref="P449">_xlfn.IFS(D449&gt;=40000,"High Income",D449&gt;=15000,"Middle Income",TRUE,"Low Income")</f>
        <v>High Income</v>
      </c>
      <c r="Q449" s="1" t="str">
        <f t="shared" si="6"/>
        <v>Duplicate</v>
      </c>
    </row>
    <row r="450" spans="1:17" x14ac:dyDescent="0.25">
      <c r="A450" s="1" t="str">
        <f>Main_Data!A450</f>
        <v>Japan</v>
      </c>
      <c r="B450" s="1" t="str">
        <f>Main_Data!B450</f>
        <v>East Asia</v>
      </c>
      <c r="C450" s="1">
        <f>Main_Data!C450</f>
        <v>2020</v>
      </c>
      <c r="D450" s="1">
        <f>Main_Data!D450</f>
        <v>7477</v>
      </c>
      <c r="E450" s="1">
        <f>Main_Data!E450</f>
        <v>10.1</v>
      </c>
      <c r="F450" s="1">
        <f>Main_Data!F450</f>
        <v>80</v>
      </c>
      <c r="G450" s="1">
        <f>Main_Data!G450</f>
        <v>727464879</v>
      </c>
      <c r="H450" s="1">
        <f>Main_Data!H450</f>
        <v>91</v>
      </c>
      <c r="I450" s="1">
        <f>Main_Data!I450</f>
        <v>15.8</v>
      </c>
      <c r="J450" s="1">
        <f>Main_Data!J450</f>
        <v>97</v>
      </c>
      <c r="K450" s="1">
        <f>Main_Data!K450</f>
        <v>44</v>
      </c>
      <c r="L450" s="1" t="str">
        <f>Main_Data!L450</f>
        <v>Asia</v>
      </c>
      <c r="M450" s="1" t="str">
        <f>PROPER(TRIM(Main_Data!A450))</f>
        <v>Japan</v>
      </c>
      <c r="N450" s="1" t="str">
        <f>PROPER(TRIM(Main_Data!B450))</f>
        <v>East Asia</v>
      </c>
      <c r="O450" s="1" t="str" cm="1">
        <f t="array" ref="O450">_xlfn.IFS(F450&gt;=80,"Very High",F450&gt;=70,"High",F450&gt;=60,"Medium",TRUE,"Low")</f>
        <v>Very High</v>
      </c>
      <c r="P450" s="1" t="str" cm="1">
        <f t="array" ref="P450">_xlfn.IFS(D450&gt;=40000,"High Income",D450&gt;=15000,"Middle Income",TRUE,"Low Income")</f>
        <v>Low Income</v>
      </c>
      <c r="Q450" s="1" t="str">
        <f t="shared" si="6"/>
        <v>Duplicate</v>
      </c>
    </row>
    <row r="451" spans="1:17" x14ac:dyDescent="0.25">
      <c r="A451" s="1" t="str">
        <f>Main_Data!A451</f>
        <v>South Africa</v>
      </c>
      <c r="B451" s="1" t="str">
        <f>Main_Data!B451</f>
        <v>Africa</v>
      </c>
      <c r="C451" s="1">
        <f>Main_Data!C451</f>
        <v>2021</v>
      </c>
      <c r="D451" s="1">
        <f>Main_Data!D451</f>
        <v>45743</v>
      </c>
      <c r="E451" s="1">
        <f>Main_Data!E451</f>
        <v>4.7</v>
      </c>
      <c r="F451" s="1">
        <f>Main_Data!F451</f>
        <v>60</v>
      </c>
      <c r="G451" s="1">
        <f>Main_Data!G451</f>
        <v>39464577</v>
      </c>
      <c r="H451" s="1">
        <f>Main_Data!H451</f>
        <v>69</v>
      </c>
      <c r="I451" s="1">
        <f>Main_Data!I451</f>
        <v>13.3</v>
      </c>
      <c r="J451" s="1">
        <f>Main_Data!J451</f>
        <v>80</v>
      </c>
      <c r="K451" s="1">
        <f>Main_Data!K451</f>
        <v>60</v>
      </c>
      <c r="L451" s="1" t="str">
        <f>Main_Data!L451</f>
        <v>Africa</v>
      </c>
      <c r="M451" s="1" t="str">
        <f>PROPER(TRIM(Main_Data!A451))</f>
        <v>South Africa</v>
      </c>
      <c r="N451" s="1" t="str">
        <f>PROPER(TRIM(Main_Data!B451))</f>
        <v>Africa</v>
      </c>
      <c r="O451" s="1" t="str" cm="1">
        <f t="array" ref="O451">_xlfn.IFS(F451&gt;=80,"Very High",F451&gt;=70,"High",F451&gt;=60,"Medium",TRUE,"Low")</f>
        <v>Medium</v>
      </c>
      <c r="P451" s="1" t="str" cm="1">
        <f t="array" ref="P451">_xlfn.IFS(D451&gt;=40000,"High Income",D451&gt;=15000,"Middle Income",TRUE,"Low Income")</f>
        <v>High Income</v>
      </c>
      <c r="Q451" s="1" t="str">
        <f t="shared" ref="Q451:Q501" si="7">IF(COUNTIFS(A:A,A451,C:C,C451)&gt;1,"Duplicate","OK")</f>
        <v>Duplicate</v>
      </c>
    </row>
    <row r="452" spans="1:17" x14ac:dyDescent="0.25">
      <c r="A452" s="1" t="str">
        <f>Main_Data!A452</f>
        <v>India</v>
      </c>
      <c r="B452" s="1" t="str">
        <f>Main_Data!B452</f>
        <v>South Asia</v>
      </c>
      <c r="C452" s="1">
        <f>Main_Data!C452</f>
        <v>2021</v>
      </c>
      <c r="D452" s="1">
        <f>Main_Data!D452</f>
        <v>61762</v>
      </c>
      <c r="E452" s="1">
        <f>Main_Data!E452</f>
        <v>8.1</v>
      </c>
      <c r="F452" s="1">
        <f>Main_Data!F452</f>
        <v>68</v>
      </c>
      <c r="G452" s="1">
        <f>Main_Data!G452</f>
        <v>940700308</v>
      </c>
      <c r="H452" s="1">
        <f>Main_Data!H452</f>
        <v>84</v>
      </c>
      <c r="I452" s="1">
        <f>Main_Data!I452</f>
        <v>4.5</v>
      </c>
      <c r="J452" s="1">
        <f>Main_Data!J452</f>
        <v>92</v>
      </c>
      <c r="K452" s="1">
        <f>Main_Data!K452</f>
        <v>60</v>
      </c>
      <c r="L452" s="1" t="str">
        <f>Main_Data!L452</f>
        <v>Asia</v>
      </c>
      <c r="M452" s="1" t="str">
        <f>PROPER(TRIM(Main_Data!A452))</f>
        <v>India</v>
      </c>
      <c r="N452" s="1" t="str">
        <f>PROPER(TRIM(Main_Data!B452))</f>
        <v>South Asia</v>
      </c>
      <c r="O452" s="1" t="str" cm="1">
        <f t="array" ref="O452">_xlfn.IFS(F452&gt;=80,"Very High",F452&gt;=70,"High",F452&gt;=60,"Medium",TRUE,"Low")</f>
        <v>Medium</v>
      </c>
      <c r="P452" s="1" t="str" cm="1">
        <f t="array" ref="P452">_xlfn.IFS(D452&gt;=40000,"High Income",D452&gt;=15000,"Middle Income",TRUE,"Low Income")</f>
        <v>High Income</v>
      </c>
      <c r="Q452" s="1" t="str">
        <f t="shared" si="7"/>
        <v>Duplicate</v>
      </c>
    </row>
    <row r="453" spans="1:17" x14ac:dyDescent="0.25">
      <c r="A453" s="1" t="str">
        <f>Main_Data!A453</f>
        <v>USA</v>
      </c>
      <c r="B453" s="1" t="str">
        <f>Main_Data!B453</f>
        <v>North America</v>
      </c>
      <c r="C453" s="1">
        <f>Main_Data!C453</f>
        <v>2021</v>
      </c>
      <c r="D453" s="1">
        <f>Main_Data!D453</f>
        <v>16721</v>
      </c>
      <c r="E453" s="1">
        <f>Main_Data!E453</f>
        <v>4</v>
      </c>
      <c r="F453" s="1">
        <f>Main_Data!F453</f>
        <v>69</v>
      </c>
      <c r="G453" s="1">
        <f>Main_Data!G453</f>
        <v>366599273</v>
      </c>
      <c r="H453" s="1">
        <f>Main_Data!H453</f>
        <v>65</v>
      </c>
      <c r="I453" s="1">
        <f>Main_Data!I453</f>
        <v>10.199999999999999</v>
      </c>
      <c r="J453" s="1">
        <f>Main_Data!J453</f>
        <v>91</v>
      </c>
      <c r="K453" s="1">
        <f>Main_Data!K453</f>
        <v>31</v>
      </c>
      <c r="L453" s="1" t="str">
        <f>Main_Data!L453</f>
        <v>North America</v>
      </c>
      <c r="M453" s="1" t="str">
        <f>PROPER(TRIM(Main_Data!A453))</f>
        <v>Usa</v>
      </c>
      <c r="N453" s="1" t="str">
        <f>PROPER(TRIM(Main_Data!B453))</f>
        <v>North America</v>
      </c>
      <c r="O453" s="1" t="str" cm="1">
        <f t="array" ref="O453">_xlfn.IFS(F453&gt;=80,"Very High",F453&gt;=70,"High",F453&gt;=60,"Medium",TRUE,"Low")</f>
        <v>Medium</v>
      </c>
      <c r="P453" s="1" t="str" cm="1">
        <f t="array" ref="P453">_xlfn.IFS(D453&gt;=40000,"High Income",D453&gt;=15000,"Middle Income",TRUE,"Low Income")</f>
        <v>Middle Income</v>
      </c>
      <c r="Q453" s="1" t="str">
        <f t="shared" si="7"/>
        <v>Duplicate</v>
      </c>
    </row>
    <row r="454" spans="1:17" x14ac:dyDescent="0.25">
      <c r="A454" s="1" t="str">
        <f>Main_Data!A454</f>
        <v>Germany</v>
      </c>
      <c r="B454" s="1" t="str">
        <f>Main_Data!B454</f>
        <v>Europe</v>
      </c>
      <c r="C454" s="1">
        <f>Main_Data!C454</f>
        <v>2022</v>
      </c>
      <c r="D454" s="1">
        <f>Main_Data!D454</f>
        <v>47131</v>
      </c>
      <c r="E454" s="1">
        <f>Main_Data!E454</f>
        <v>6.2</v>
      </c>
      <c r="F454" s="1">
        <f>Main_Data!F454</f>
        <v>65</v>
      </c>
      <c r="G454" s="1">
        <f>Main_Data!G454</f>
        <v>601280347</v>
      </c>
      <c r="H454" s="1">
        <f>Main_Data!H454</f>
        <v>78</v>
      </c>
      <c r="I454" s="1">
        <f>Main_Data!I454</f>
        <v>9.9</v>
      </c>
      <c r="J454" s="1">
        <f>Main_Data!J454</f>
        <v>86</v>
      </c>
      <c r="K454" s="1">
        <f>Main_Data!K454</f>
        <v>80</v>
      </c>
      <c r="L454" s="1" t="str">
        <f>Main_Data!L454</f>
        <v>Europe</v>
      </c>
      <c r="M454" s="1" t="str">
        <f>PROPER(TRIM(Main_Data!A454))</f>
        <v>Germany</v>
      </c>
      <c r="N454" s="1" t="str">
        <f>PROPER(TRIM(Main_Data!B454))</f>
        <v>Europe</v>
      </c>
      <c r="O454" s="1" t="str" cm="1">
        <f t="array" ref="O454">_xlfn.IFS(F454&gt;=80,"Very High",F454&gt;=70,"High",F454&gt;=60,"Medium",TRUE,"Low")</f>
        <v>Medium</v>
      </c>
      <c r="P454" s="1" t="str" cm="1">
        <f t="array" ref="P454">_xlfn.IFS(D454&gt;=40000,"High Income",D454&gt;=15000,"Middle Income",TRUE,"Low Income")</f>
        <v>High Income</v>
      </c>
      <c r="Q454" s="1" t="str">
        <f t="shared" si="7"/>
        <v>Duplicate</v>
      </c>
    </row>
    <row r="455" spans="1:17" x14ac:dyDescent="0.25">
      <c r="A455" s="1" t="str">
        <f>Main_Data!A455</f>
        <v>Brazil</v>
      </c>
      <c r="B455" s="1" t="str">
        <f>Main_Data!B455</f>
        <v>South America</v>
      </c>
      <c r="C455" s="1">
        <f>Main_Data!C455</f>
        <v>2022</v>
      </c>
      <c r="D455" s="1">
        <f>Main_Data!D455</f>
        <v>24488</v>
      </c>
      <c r="E455" s="1">
        <f>Main_Data!E455</f>
        <v>3.8</v>
      </c>
      <c r="F455" s="1">
        <f>Main_Data!F455</f>
        <v>64</v>
      </c>
      <c r="G455" s="1">
        <f>Main_Data!G455</f>
        <v>1426244731</v>
      </c>
      <c r="H455" s="1">
        <f>Main_Data!H455</f>
        <v>91</v>
      </c>
      <c r="I455" s="1">
        <f>Main_Data!I455</f>
        <v>3.5</v>
      </c>
      <c r="J455" s="1">
        <f>Main_Data!J455</f>
        <v>93</v>
      </c>
      <c r="K455" s="1">
        <f>Main_Data!K455</f>
        <v>43</v>
      </c>
      <c r="L455" s="1" t="str">
        <f>Main_Data!L455</f>
        <v>South America</v>
      </c>
      <c r="M455" s="1" t="str">
        <f>PROPER(TRIM(Main_Data!A455))</f>
        <v>Brazil</v>
      </c>
      <c r="N455" s="1" t="str">
        <f>PROPER(TRIM(Main_Data!B455))</f>
        <v>South America</v>
      </c>
      <c r="O455" s="1" t="str" cm="1">
        <f t="array" ref="O455">_xlfn.IFS(F455&gt;=80,"Very High",F455&gt;=70,"High",F455&gt;=60,"Medium",TRUE,"Low")</f>
        <v>Medium</v>
      </c>
      <c r="P455" s="1" t="str" cm="1">
        <f t="array" ref="P455">_xlfn.IFS(D455&gt;=40000,"High Income",D455&gt;=15000,"Middle Income",TRUE,"Low Income")</f>
        <v>Middle Income</v>
      </c>
      <c r="Q455" s="1" t="str">
        <f t="shared" si="7"/>
        <v>Duplicate</v>
      </c>
    </row>
    <row r="456" spans="1:17" x14ac:dyDescent="0.25">
      <c r="A456" s="1" t="str">
        <f>Main_Data!A456</f>
        <v>China</v>
      </c>
      <c r="B456" s="1" t="str">
        <f>Main_Data!B456</f>
        <v>East Asia</v>
      </c>
      <c r="C456" s="1">
        <f>Main_Data!C456</f>
        <v>2020</v>
      </c>
      <c r="D456" s="1">
        <f>Main_Data!D456</f>
        <v>61427</v>
      </c>
      <c r="E456" s="1">
        <f>Main_Data!E456</f>
        <v>12.9</v>
      </c>
      <c r="F456" s="1">
        <f>Main_Data!F456</f>
        <v>81</v>
      </c>
      <c r="G456" s="1">
        <f>Main_Data!G456</f>
        <v>736445689</v>
      </c>
      <c r="H456" s="1">
        <f>Main_Data!H456</f>
        <v>73</v>
      </c>
      <c r="I456" s="1">
        <f>Main_Data!I456</f>
        <v>15.5</v>
      </c>
      <c r="J456" s="1">
        <f>Main_Data!J456</f>
        <v>87</v>
      </c>
      <c r="K456" s="1">
        <f>Main_Data!K456</f>
        <v>48</v>
      </c>
      <c r="L456" s="1" t="str">
        <f>Main_Data!L456</f>
        <v>Asia</v>
      </c>
      <c r="M456" s="1" t="str">
        <f>PROPER(TRIM(Main_Data!A456))</f>
        <v>China</v>
      </c>
      <c r="N456" s="1" t="str">
        <f>PROPER(TRIM(Main_Data!B456))</f>
        <v>East Asia</v>
      </c>
      <c r="O456" s="1" t="str" cm="1">
        <f t="array" ref="O456">_xlfn.IFS(F456&gt;=80,"Very High",F456&gt;=70,"High",F456&gt;=60,"Medium",TRUE,"Low")</f>
        <v>Very High</v>
      </c>
      <c r="P456" s="1" t="str" cm="1">
        <f t="array" ref="P456">_xlfn.IFS(D456&gt;=40000,"High Income",D456&gt;=15000,"Middle Income",TRUE,"Low Income")</f>
        <v>High Income</v>
      </c>
      <c r="Q456" s="1" t="str">
        <f t="shared" si="7"/>
        <v>Duplicate</v>
      </c>
    </row>
    <row r="457" spans="1:17" x14ac:dyDescent="0.25">
      <c r="A457" s="1" t="str">
        <f>Main_Data!A457</f>
        <v>UK</v>
      </c>
      <c r="B457" s="1" t="str">
        <f>Main_Data!B457</f>
        <v>Europe</v>
      </c>
      <c r="C457" s="1">
        <f>Main_Data!C457</f>
        <v>2020</v>
      </c>
      <c r="D457" s="1">
        <f>Main_Data!D457</f>
        <v>69721</v>
      </c>
      <c r="E457" s="1">
        <f>Main_Data!E457</f>
        <v>15.7</v>
      </c>
      <c r="F457" s="1">
        <f>Main_Data!F457</f>
        <v>66</v>
      </c>
      <c r="G457" s="1">
        <f>Main_Data!G457</f>
        <v>833608980</v>
      </c>
      <c r="H457" s="1">
        <f>Main_Data!H457</f>
        <v>77</v>
      </c>
      <c r="I457" s="1">
        <f>Main_Data!I457</f>
        <v>21.7</v>
      </c>
      <c r="J457" s="1">
        <f>Main_Data!J457</f>
        <v>98</v>
      </c>
      <c r="K457" s="1">
        <f>Main_Data!K457</f>
        <v>86</v>
      </c>
      <c r="L457" s="1" t="str">
        <f>Main_Data!L457</f>
        <v>Europe</v>
      </c>
      <c r="M457" s="1" t="str">
        <f>PROPER(TRIM(Main_Data!A457))</f>
        <v>Uk</v>
      </c>
      <c r="N457" s="1" t="str">
        <f>PROPER(TRIM(Main_Data!B457))</f>
        <v>Europe</v>
      </c>
      <c r="O457" s="1" t="str" cm="1">
        <f t="array" ref="O457">_xlfn.IFS(F457&gt;=80,"Very High",F457&gt;=70,"High",F457&gt;=60,"Medium",TRUE,"Low")</f>
        <v>Medium</v>
      </c>
      <c r="P457" s="1" t="str" cm="1">
        <f t="array" ref="P457">_xlfn.IFS(D457&gt;=40000,"High Income",D457&gt;=15000,"Middle Income",TRUE,"Low Income")</f>
        <v>High Income</v>
      </c>
      <c r="Q457" s="1" t="str">
        <f t="shared" si="7"/>
        <v>Duplicate</v>
      </c>
    </row>
    <row r="458" spans="1:17" x14ac:dyDescent="0.25">
      <c r="A458" s="1" t="str">
        <f>Main_Data!A458</f>
        <v>Canada</v>
      </c>
      <c r="B458" s="1" t="str">
        <f>Main_Data!B458</f>
        <v>North America</v>
      </c>
      <c r="C458" s="1">
        <f>Main_Data!C458</f>
        <v>2022</v>
      </c>
      <c r="D458" s="1">
        <f>Main_Data!D458</f>
        <v>2266</v>
      </c>
      <c r="E458" s="1">
        <f>Main_Data!E458</f>
        <v>15.7</v>
      </c>
      <c r="F458" s="1">
        <f>Main_Data!F458</f>
        <v>75</v>
      </c>
      <c r="G458" s="1">
        <f>Main_Data!G458</f>
        <v>714151787</v>
      </c>
      <c r="H458" s="1">
        <f>Main_Data!H458</f>
        <v>50</v>
      </c>
      <c r="I458" s="1">
        <f>Main_Data!I458</f>
        <v>24.8</v>
      </c>
      <c r="J458" s="1">
        <f>Main_Data!J458</f>
        <v>99</v>
      </c>
      <c r="K458" s="1">
        <f>Main_Data!K458</f>
        <v>72</v>
      </c>
      <c r="L458" s="1" t="str">
        <f>Main_Data!L458</f>
        <v>North America</v>
      </c>
      <c r="M458" s="1" t="str">
        <f>PROPER(TRIM(Main_Data!A458))</f>
        <v>Canada</v>
      </c>
      <c r="N458" s="1" t="str">
        <f>PROPER(TRIM(Main_Data!B458))</f>
        <v>North America</v>
      </c>
      <c r="O458" s="1" t="str" cm="1">
        <f t="array" ref="O458">_xlfn.IFS(F458&gt;=80,"Very High",F458&gt;=70,"High",F458&gt;=60,"Medium",TRUE,"Low")</f>
        <v>High</v>
      </c>
      <c r="P458" s="1" t="str" cm="1">
        <f t="array" ref="P458">_xlfn.IFS(D458&gt;=40000,"High Income",D458&gt;=15000,"Middle Income",TRUE,"Low Income")</f>
        <v>Low Income</v>
      </c>
      <c r="Q458" s="1" t="str">
        <f t="shared" si="7"/>
        <v>Duplicate</v>
      </c>
    </row>
    <row r="459" spans="1:17" x14ac:dyDescent="0.25">
      <c r="A459" s="1" t="str">
        <f>Main_Data!A459</f>
        <v>Australia</v>
      </c>
      <c r="B459" s="1" t="str">
        <f>Main_Data!B459</f>
        <v>Oceania</v>
      </c>
      <c r="C459" s="1">
        <f>Main_Data!C459</f>
        <v>2020</v>
      </c>
      <c r="D459" s="1">
        <f>Main_Data!D459</f>
        <v>45313</v>
      </c>
      <c r="E459" s="1">
        <f>Main_Data!E459</f>
        <v>3.6</v>
      </c>
      <c r="F459" s="1">
        <f>Main_Data!F459</f>
        <v>77</v>
      </c>
      <c r="G459" s="1">
        <f>Main_Data!G459</f>
        <v>880496248</v>
      </c>
      <c r="H459" s="1">
        <f>Main_Data!H459</f>
        <v>86</v>
      </c>
      <c r="I459" s="1">
        <f>Main_Data!I459</f>
        <v>20.9</v>
      </c>
      <c r="J459" s="1">
        <f>Main_Data!J459</f>
        <v>82</v>
      </c>
      <c r="K459" s="1">
        <f>Main_Data!K459</f>
        <v>35</v>
      </c>
      <c r="L459" s="1" t="str">
        <f>Main_Data!L459</f>
        <v>Oceania</v>
      </c>
      <c r="M459" s="1" t="str">
        <f>PROPER(TRIM(Main_Data!A459))</f>
        <v>Australia</v>
      </c>
      <c r="N459" s="1" t="str">
        <f>PROPER(TRIM(Main_Data!B459))</f>
        <v>Oceania</v>
      </c>
      <c r="O459" s="1" t="str" cm="1">
        <f t="array" ref="O459">_xlfn.IFS(F459&gt;=80,"Very High",F459&gt;=70,"High",F459&gt;=60,"Medium",TRUE,"Low")</f>
        <v>High</v>
      </c>
      <c r="P459" s="1" t="str" cm="1">
        <f t="array" ref="P459">_xlfn.IFS(D459&gt;=40000,"High Income",D459&gt;=15000,"Middle Income",TRUE,"Low Income")</f>
        <v>High Income</v>
      </c>
      <c r="Q459" s="1" t="str">
        <f t="shared" si="7"/>
        <v>Duplicate</v>
      </c>
    </row>
    <row r="460" spans="1:17" x14ac:dyDescent="0.25">
      <c r="A460" s="1" t="str">
        <f>Main_Data!A460</f>
        <v>Japan</v>
      </c>
      <c r="B460" s="1" t="str">
        <f>Main_Data!B460</f>
        <v>East Asia</v>
      </c>
      <c r="C460" s="1">
        <f>Main_Data!C460</f>
        <v>2021</v>
      </c>
      <c r="D460" s="1">
        <f>Main_Data!D460</f>
        <v>4935</v>
      </c>
      <c r="E460" s="1">
        <f>Main_Data!E460</f>
        <v>6.1</v>
      </c>
      <c r="F460" s="1">
        <f>Main_Data!F460</f>
        <v>71</v>
      </c>
      <c r="G460" s="1">
        <f>Main_Data!G460</f>
        <v>368441198</v>
      </c>
      <c r="H460" s="1">
        <f>Main_Data!H460</f>
        <v>83</v>
      </c>
      <c r="I460" s="1">
        <f>Main_Data!I460</f>
        <v>20.8</v>
      </c>
      <c r="J460" s="1">
        <f>Main_Data!J460</f>
        <v>88</v>
      </c>
      <c r="K460" s="1">
        <f>Main_Data!K460</f>
        <v>67</v>
      </c>
      <c r="L460" s="1" t="str">
        <f>Main_Data!L460</f>
        <v>Asia</v>
      </c>
      <c r="M460" s="1" t="str">
        <f>PROPER(TRIM(Main_Data!A460))</f>
        <v>Japan</v>
      </c>
      <c r="N460" s="1" t="str">
        <f>PROPER(TRIM(Main_Data!B460))</f>
        <v>East Asia</v>
      </c>
      <c r="O460" s="1" t="str" cm="1">
        <f t="array" ref="O460">_xlfn.IFS(F460&gt;=80,"Very High",F460&gt;=70,"High",F460&gt;=60,"Medium",TRUE,"Low")</f>
        <v>High</v>
      </c>
      <c r="P460" s="1" t="str" cm="1">
        <f t="array" ref="P460">_xlfn.IFS(D460&gt;=40000,"High Income",D460&gt;=15000,"Middle Income",TRUE,"Low Income")</f>
        <v>Low Income</v>
      </c>
      <c r="Q460" s="1" t="str">
        <f t="shared" si="7"/>
        <v>Duplicate</v>
      </c>
    </row>
    <row r="461" spans="1:17" x14ac:dyDescent="0.25">
      <c r="A461" s="1" t="str">
        <f>Main_Data!A461</f>
        <v>South Africa</v>
      </c>
      <c r="B461" s="1" t="str">
        <f>Main_Data!B461</f>
        <v>Africa</v>
      </c>
      <c r="C461" s="1">
        <f>Main_Data!C461</f>
        <v>2020</v>
      </c>
      <c r="D461" s="1">
        <f>Main_Data!D461</f>
        <v>22293</v>
      </c>
      <c r="E461" s="1">
        <f>Main_Data!E461</f>
        <v>9.1</v>
      </c>
      <c r="F461" s="1">
        <f>Main_Data!F461</f>
        <v>65</v>
      </c>
      <c r="G461" s="1">
        <f>Main_Data!G461</f>
        <v>1094174729</v>
      </c>
      <c r="H461" s="1">
        <f>Main_Data!H461</f>
        <v>67</v>
      </c>
      <c r="I461" s="1">
        <f>Main_Data!I461</f>
        <v>16.3</v>
      </c>
      <c r="J461" s="1">
        <f>Main_Data!J461</f>
        <v>79</v>
      </c>
      <c r="K461" s="1">
        <f>Main_Data!K461</f>
        <v>88</v>
      </c>
      <c r="L461" s="1" t="str">
        <f>Main_Data!L461</f>
        <v>Africa</v>
      </c>
      <c r="M461" s="1" t="str">
        <f>PROPER(TRIM(Main_Data!A461))</f>
        <v>South Africa</v>
      </c>
      <c r="N461" s="1" t="str">
        <f>PROPER(TRIM(Main_Data!B461))</f>
        <v>Africa</v>
      </c>
      <c r="O461" s="1" t="str" cm="1">
        <f t="array" ref="O461">_xlfn.IFS(F461&gt;=80,"Very High",F461&gt;=70,"High",F461&gt;=60,"Medium",TRUE,"Low")</f>
        <v>Medium</v>
      </c>
      <c r="P461" s="1" t="str" cm="1">
        <f t="array" ref="P461">_xlfn.IFS(D461&gt;=40000,"High Income",D461&gt;=15000,"Middle Income",TRUE,"Low Income")</f>
        <v>Middle Income</v>
      </c>
      <c r="Q461" s="1" t="str">
        <f t="shared" si="7"/>
        <v>Duplicate</v>
      </c>
    </row>
    <row r="462" spans="1:17" x14ac:dyDescent="0.25">
      <c r="A462" s="1" t="str">
        <f>Main_Data!A462</f>
        <v>India</v>
      </c>
      <c r="B462" s="1" t="str">
        <f>Main_Data!B462</f>
        <v>South Asia</v>
      </c>
      <c r="C462" s="1">
        <f>Main_Data!C462</f>
        <v>2021</v>
      </c>
      <c r="D462" s="1">
        <f>Main_Data!D462</f>
        <v>57661</v>
      </c>
      <c r="E462" s="1">
        <f>Main_Data!E462</f>
        <v>3.6</v>
      </c>
      <c r="F462" s="1">
        <f>Main_Data!F462</f>
        <v>80</v>
      </c>
      <c r="G462" s="1">
        <f>Main_Data!G462</f>
        <v>1152089087</v>
      </c>
      <c r="H462" s="1">
        <f>Main_Data!H462</f>
        <v>76</v>
      </c>
      <c r="I462" s="1">
        <f>Main_Data!I462</f>
        <v>7.3</v>
      </c>
      <c r="J462" s="1">
        <f>Main_Data!J462</f>
        <v>75</v>
      </c>
      <c r="K462" s="1">
        <f>Main_Data!K462</f>
        <v>90</v>
      </c>
      <c r="L462" s="1" t="str">
        <f>Main_Data!L462</f>
        <v>Asia</v>
      </c>
      <c r="M462" s="1" t="str">
        <f>PROPER(TRIM(Main_Data!A462))</f>
        <v>India</v>
      </c>
      <c r="N462" s="1" t="str">
        <f>PROPER(TRIM(Main_Data!B462))</f>
        <v>South Asia</v>
      </c>
      <c r="O462" s="1" t="str" cm="1">
        <f t="array" ref="O462">_xlfn.IFS(F462&gt;=80,"Very High",F462&gt;=70,"High",F462&gt;=60,"Medium",TRUE,"Low")</f>
        <v>Very High</v>
      </c>
      <c r="P462" s="1" t="str" cm="1">
        <f t="array" ref="P462">_xlfn.IFS(D462&gt;=40000,"High Income",D462&gt;=15000,"Middle Income",TRUE,"Low Income")</f>
        <v>High Income</v>
      </c>
      <c r="Q462" s="1" t="str">
        <f t="shared" si="7"/>
        <v>Duplicate</v>
      </c>
    </row>
    <row r="463" spans="1:17" x14ac:dyDescent="0.25">
      <c r="A463" s="1" t="str">
        <f>Main_Data!A463</f>
        <v>USA</v>
      </c>
      <c r="B463" s="1" t="str">
        <f>Main_Data!B463</f>
        <v>North America</v>
      </c>
      <c r="C463" s="1">
        <f>Main_Data!C463</f>
        <v>2020</v>
      </c>
      <c r="D463" s="1">
        <f>Main_Data!D463</f>
        <v>41992</v>
      </c>
      <c r="E463" s="1">
        <f>Main_Data!E463</f>
        <v>12.8</v>
      </c>
      <c r="F463" s="1">
        <f>Main_Data!F463</f>
        <v>64</v>
      </c>
      <c r="G463" s="1">
        <f>Main_Data!G463</f>
        <v>243962397</v>
      </c>
      <c r="H463" s="1">
        <f>Main_Data!H463</f>
        <v>95</v>
      </c>
      <c r="I463" s="1">
        <f>Main_Data!I463</f>
        <v>16</v>
      </c>
      <c r="J463" s="1">
        <f>Main_Data!J463</f>
        <v>96</v>
      </c>
      <c r="K463" s="1">
        <f>Main_Data!K463</f>
        <v>49</v>
      </c>
      <c r="L463" s="1" t="str">
        <f>Main_Data!L463</f>
        <v>North America</v>
      </c>
      <c r="M463" s="1" t="str">
        <f>PROPER(TRIM(Main_Data!A463))</f>
        <v>Usa</v>
      </c>
      <c r="N463" s="1" t="str">
        <f>PROPER(TRIM(Main_Data!B463))</f>
        <v>North America</v>
      </c>
      <c r="O463" s="1" t="str" cm="1">
        <f t="array" ref="O463">_xlfn.IFS(F463&gt;=80,"Very High",F463&gt;=70,"High",F463&gt;=60,"Medium",TRUE,"Low")</f>
        <v>Medium</v>
      </c>
      <c r="P463" s="1" t="str" cm="1">
        <f t="array" ref="P463">_xlfn.IFS(D463&gt;=40000,"High Income",D463&gt;=15000,"Middle Income",TRUE,"Low Income")</f>
        <v>High Income</v>
      </c>
      <c r="Q463" s="1" t="str">
        <f t="shared" si="7"/>
        <v>Duplicate</v>
      </c>
    </row>
    <row r="464" spans="1:17" x14ac:dyDescent="0.25">
      <c r="A464" s="1" t="str">
        <f>Main_Data!A464</f>
        <v>Germany</v>
      </c>
      <c r="B464" s="1" t="str">
        <f>Main_Data!B464</f>
        <v>Europe</v>
      </c>
      <c r="C464" s="1">
        <f>Main_Data!C464</f>
        <v>2021</v>
      </c>
      <c r="D464" s="1">
        <f>Main_Data!D464</f>
        <v>50031</v>
      </c>
      <c r="E464" s="1">
        <f>Main_Data!E464</f>
        <v>4.7</v>
      </c>
      <c r="F464" s="1">
        <f>Main_Data!F464</f>
        <v>73</v>
      </c>
      <c r="G464" s="1">
        <f>Main_Data!G464</f>
        <v>613243070</v>
      </c>
      <c r="H464" s="1">
        <f>Main_Data!H464</f>
        <v>77</v>
      </c>
      <c r="I464" s="1">
        <f>Main_Data!I464</f>
        <v>23.1</v>
      </c>
      <c r="J464" s="1">
        <f>Main_Data!J464</f>
        <v>89</v>
      </c>
      <c r="K464" s="1">
        <f>Main_Data!K464</f>
        <v>48</v>
      </c>
      <c r="L464" s="1" t="str">
        <f>Main_Data!L464</f>
        <v>Europe</v>
      </c>
      <c r="M464" s="1" t="str">
        <f>PROPER(TRIM(Main_Data!A464))</f>
        <v>Germany</v>
      </c>
      <c r="N464" s="1" t="str">
        <f>PROPER(TRIM(Main_Data!B464))</f>
        <v>Europe</v>
      </c>
      <c r="O464" s="1" t="str" cm="1">
        <f t="array" ref="O464">_xlfn.IFS(F464&gt;=80,"Very High",F464&gt;=70,"High",F464&gt;=60,"Medium",TRUE,"Low")</f>
        <v>High</v>
      </c>
      <c r="P464" s="1" t="str" cm="1">
        <f t="array" ref="P464">_xlfn.IFS(D464&gt;=40000,"High Income",D464&gt;=15000,"Middle Income",TRUE,"Low Income")</f>
        <v>High Income</v>
      </c>
      <c r="Q464" s="1" t="str">
        <f t="shared" si="7"/>
        <v>Duplicate</v>
      </c>
    </row>
    <row r="465" spans="1:17" x14ac:dyDescent="0.25">
      <c r="A465" s="1" t="str">
        <f>Main_Data!A465</f>
        <v>Brazil</v>
      </c>
      <c r="B465" s="1" t="str">
        <f>Main_Data!B465</f>
        <v>South America</v>
      </c>
      <c r="C465" s="1">
        <f>Main_Data!C465</f>
        <v>2020</v>
      </c>
      <c r="D465" s="1">
        <f>Main_Data!D465</f>
        <v>34100</v>
      </c>
      <c r="E465" s="1">
        <f>Main_Data!E465</f>
        <v>10</v>
      </c>
      <c r="F465" s="1">
        <f>Main_Data!F465</f>
        <v>66</v>
      </c>
      <c r="G465" s="1">
        <f>Main_Data!G465</f>
        <v>653937643</v>
      </c>
      <c r="H465" s="1">
        <f>Main_Data!H465</f>
        <v>95</v>
      </c>
      <c r="I465" s="1">
        <f>Main_Data!I465</f>
        <v>21.5</v>
      </c>
      <c r="J465" s="1">
        <f>Main_Data!J465</f>
        <v>91</v>
      </c>
      <c r="K465" s="1">
        <f>Main_Data!K465</f>
        <v>41</v>
      </c>
      <c r="L465" s="1" t="str">
        <f>Main_Data!L465</f>
        <v>South America</v>
      </c>
      <c r="M465" s="1" t="str">
        <f>PROPER(TRIM(Main_Data!A465))</f>
        <v>Brazil</v>
      </c>
      <c r="N465" s="1" t="str">
        <f>PROPER(TRIM(Main_Data!B465))</f>
        <v>South America</v>
      </c>
      <c r="O465" s="1" t="str" cm="1">
        <f t="array" ref="O465">_xlfn.IFS(F465&gt;=80,"Very High",F465&gt;=70,"High",F465&gt;=60,"Medium",TRUE,"Low")</f>
        <v>Medium</v>
      </c>
      <c r="P465" s="1" t="str" cm="1">
        <f t="array" ref="P465">_xlfn.IFS(D465&gt;=40000,"High Income",D465&gt;=15000,"Middle Income",TRUE,"Low Income")</f>
        <v>Middle Income</v>
      </c>
      <c r="Q465" s="1" t="str">
        <f t="shared" si="7"/>
        <v>Duplicate</v>
      </c>
    </row>
    <row r="466" spans="1:17" x14ac:dyDescent="0.25">
      <c r="A466" s="1" t="str">
        <f>Main_Data!A466</f>
        <v>China</v>
      </c>
      <c r="B466" s="1" t="str">
        <f>Main_Data!B466</f>
        <v>East Asia</v>
      </c>
      <c r="C466" s="1">
        <f>Main_Data!C466</f>
        <v>2022</v>
      </c>
      <c r="D466" s="1">
        <f>Main_Data!D466</f>
        <v>51105</v>
      </c>
      <c r="E466" s="1">
        <f>Main_Data!E466</f>
        <v>10.7</v>
      </c>
      <c r="F466" s="1">
        <f>Main_Data!F466</f>
        <v>62</v>
      </c>
      <c r="G466" s="1">
        <f>Main_Data!G466</f>
        <v>1302533436</v>
      </c>
      <c r="H466" s="1">
        <f>Main_Data!H466</f>
        <v>67</v>
      </c>
      <c r="I466" s="1">
        <f>Main_Data!I466</f>
        <v>5.3</v>
      </c>
      <c r="J466" s="1">
        <f>Main_Data!J466</f>
        <v>70</v>
      </c>
      <c r="K466" s="1">
        <f>Main_Data!K466</f>
        <v>63</v>
      </c>
      <c r="L466" s="1" t="str">
        <f>Main_Data!L466</f>
        <v>Asia</v>
      </c>
      <c r="M466" s="1" t="str">
        <f>PROPER(TRIM(Main_Data!A466))</f>
        <v>China</v>
      </c>
      <c r="N466" s="1" t="str">
        <f>PROPER(TRIM(Main_Data!B466))</f>
        <v>East Asia</v>
      </c>
      <c r="O466" s="1" t="str" cm="1">
        <f t="array" ref="O466">_xlfn.IFS(F466&gt;=80,"Very High",F466&gt;=70,"High",F466&gt;=60,"Medium",TRUE,"Low")</f>
        <v>Medium</v>
      </c>
      <c r="P466" s="1" t="str" cm="1">
        <f t="array" ref="P466">_xlfn.IFS(D466&gt;=40000,"High Income",D466&gt;=15000,"Middle Income",TRUE,"Low Income")</f>
        <v>High Income</v>
      </c>
      <c r="Q466" s="1" t="str">
        <f t="shared" si="7"/>
        <v>Duplicate</v>
      </c>
    </row>
    <row r="467" spans="1:17" x14ac:dyDescent="0.25">
      <c r="A467" s="1" t="str">
        <f>Main_Data!A467</f>
        <v>UK</v>
      </c>
      <c r="B467" s="1" t="str">
        <f>Main_Data!B467</f>
        <v>Europe</v>
      </c>
      <c r="C467" s="1">
        <f>Main_Data!C467</f>
        <v>2022</v>
      </c>
      <c r="D467" s="1">
        <f>Main_Data!D467</f>
        <v>31852</v>
      </c>
      <c r="E467" s="1">
        <f>Main_Data!E467</f>
        <v>6.7</v>
      </c>
      <c r="F467" s="1">
        <f>Main_Data!F467</f>
        <v>63</v>
      </c>
      <c r="G467" s="1">
        <f>Main_Data!G467</f>
        <v>1329300454</v>
      </c>
      <c r="H467" s="1">
        <f>Main_Data!H467</f>
        <v>59</v>
      </c>
      <c r="I467" s="1">
        <f>Main_Data!I467</f>
        <v>17.7</v>
      </c>
      <c r="J467" s="1">
        <f>Main_Data!J467</f>
        <v>93</v>
      </c>
      <c r="K467" s="1">
        <f>Main_Data!K467</f>
        <v>78</v>
      </c>
      <c r="L467" s="1" t="str">
        <f>Main_Data!L467</f>
        <v>Europe</v>
      </c>
      <c r="M467" s="1" t="str">
        <f>PROPER(TRIM(Main_Data!A467))</f>
        <v>Uk</v>
      </c>
      <c r="N467" s="1" t="str">
        <f>PROPER(TRIM(Main_Data!B467))</f>
        <v>Europe</v>
      </c>
      <c r="O467" s="1" t="str" cm="1">
        <f t="array" ref="O467">_xlfn.IFS(F467&gt;=80,"Very High",F467&gt;=70,"High",F467&gt;=60,"Medium",TRUE,"Low")</f>
        <v>Medium</v>
      </c>
      <c r="P467" s="1" t="str" cm="1">
        <f t="array" ref="P467">_xlfn.IFS(D467&gt;=40000,"High Income",D467&gt;=15000,"Middle Income",TRUE,"Low Income")</f>
        <v>Middle Income</v>
      </c>
      <c r="Q467" s="1" t="str">
        <f t="shared" si="7"/>
        <v>Duplicate</v>
      </c>
    </row>
    <row r="468" spans="1:17" x14ac:dyDescent="0.25">
      <c r="A468" s="1" t="str">
        <f>Main_Data!A468</f>
        <v>Canada</v>
      </c>
      <c r="B468" s="1" t="str">
        <f>Main_Data!B468</f>
        <v>North America</v>
      </c>
      <c r="C468" s="1">
        <f>Main_Data!C468</f>
        <v>2021</v>
      </c>
      <c r="D468" s="1">
        <f>Main_Data!D468</f>
        <v>49526</v>
      </c>
      <c r="E468" s="1">
        <f>Main_Data!E468</f>
        <v>8.5</v>
      </c>
      <c r="F468" s="1">
        <f>Main_Data!F468</f>
        <v>78</v>
      </c>
      <c r="G468" s="1">
        <f>Main_Data!G468</f>
        <v>1333725790</v>
      </c>
      <c r="H468" s="1">
        <f>Main_Data!H468</f>
        <v>65</v>
      </c>
      <c r="I468" s="1">
        <f>Main_Data!I468</f>
        <v>19.2</v>
      </c>
      <c r="J468" s="1">
        <f>Main_Data!J468</f>
        <v>87</v>
      </c>
      <c r="K468" s="1">
        <f>Main_Data!K468</f>
        <v>84</v>
      </c>
      <c r="L468" s="1" t="str">
        <f>Main_Data!L468</f>
        <v>North America</v>
      </c>
      <c r="M468" s="1" t="str">
        <f>PROPER(TRIM(Main_Data!A468))</f>
        <v>Canada</v>
      </c>
      <c r="N468" s="1" t="str">
        <f>PROPER(TRIM(Main_Data!B468))</f>
        <v>North America</v>
      </c>
      <c r="O468" s="1" t="str" cm="1">
        <f t="array" ref="O468">_xlfn.IFS(F468&gt;=80,"Very High",F468&gt;=70,"High",F468&gt;=60,"Medium",TRUE,"Low")</f>
        <v>High</v>
      </c>
      <c r="P468" s="1" t="str" cm="1">
        <f t="array" ref="P468">_xlfn.IFS(D468&gt;=40000,"High Income",D468&gt;=15000,"Middle Income",TRUE,"Low Income")</f>
        <v>High Income</v>
      </c>
      <c r="Q468" s="1" t="str">
        <f t="shared" si="7"/>
        <v>Duplicate</v>
      </c>
    </row>
    <row r="469" spans="1:17" x14ac:dyDescent="0.25">
      <c r="A469" s="1" t="str">
        <f>Main_Data!A469</f>
        <v>Australia</v>
      </c>
      <c r="B469" s="1" t="str">
        <f>Main_Data!B469</f>
        <v>Oceania</v>
      </c>
      <c r="C469" s="1">
        <f>Main_Data!C469</f>
        <v>2021</v>
      </c>
      <c r="D469" s="1">
        <f>Main_Data!D469</f>
        <v>33043</v>
      </c>
      <c r="E469" s="1">
        <f>Main_Data!E469</f>
        <v>14.2</v>
      </c>
      <c r="F469" s="1">
        <f>Main_Data!F469</f>
        <v>74</v>
      </c>
      <c r="G469" s="1">
        <f>Main_Data!G469</f>
        <v>406966434</v>
      </c>
      <c r="H469" s="1">
        <f>Main_Data!H469</f>
        <v>81</v>
      </c>
      <c r="I469" s="1">
        <f>Main_Data!I469</f>
        <v>14</v>
      </c>
      <c r="J469" s="1">
        <f>Main_Data!J469</f>
        <v>85</v>
      </c>
      <c r="K469" s="1">
        <f>Main_Data!K469</f>
        <v>68</v>
      </c>
      <c r="L469" s="1" t="str">
        <f>Main_Data!L469</f>
        <v>Oceania</v>
      </c>
      <c r="M469" s="1" t="str">
        <f>PROPER(TRIM(Main_Data!A469))</f>
        <v>Australia</v>
      </c>
      <c r="N469" s="1" t="str">
        <f>PROPER(TRIM(Main_Data!B469))</f>
        <v>Oceania</v>
      </c>
      <c r="O469" s="1" t="str" cm="1">
        <f t="array" ref="O469">_xlfn.IFS(F469&gt;=80,"Very High",F469&gt;=70,"High",F469&gt;=60,"Medium",TRUE,"Low")</f>
        <v>High</v>
      </c>
      <c r="P469" s="1" t="str" cm="1">
        <f t="array" ref="P469">_xlfn.IFS(D469&gt;=40000,"High Income",D469&gt;=15000,"Middle Income",TRUE,"Low Income")</f>
        <v>Middle Income</v>
      </c>
      <c r="Q469" s="1" t="str">
        <f t="shared" si="7"/>
        <v>Duplicate</v>
      </c>
    </row>
    <row r="470" spans="1:17" x14ac:dyDescent="0.25">
      <c r="A470" s="1" t="str">
        <f>Main_Data!A470</f>
        <v>Japan</v>
      </c>
      <c r="B470" s="1" t="str">
        <f>Main_Data!B470</f>
        <v>East Asia</v>
      </c>
      <c r="C470" s="1">
        <f>Main_Data!C470</f>
        <v>2020</v>
      </c>
      <c r="D470" s="1">
        <f>Main_Data!D470</f>
        <v>9430</v>
      </c>
      <c r="E470" s="1">
        <f>Main_Data!E470</f>
        <v>4</v>
      </c>
      <c r="F470" s="1">
        <f>Main_Data!F470</f>
        <v>83</v>
      </c>
      <c r="G470" s="1">
        <f>Main_Data!G470</f>
        <v>1189693714</v>
      </c>
      <c r="H470" s="1">
        <f>Main_Data!H470</f>
        <v>50</v>
      </c>
      <c r="I470" s="1">
        <f>Main_Data!I470</f>
        <v>24.8</v>
      </c>
      <c r="J470" s="1">
        <f>Main_Data!J470</f>
        <v>75</v>
      </c>
      <c r="K470" s="1">
        <f>Main_Data!K470</f>
        <v>74</v>
      </c>
      <c r="L470" s="1" t="str">
        <f>Main_Data!L470</f>
        <v>Asia</v>
      </c>
      <c r="M470" s="1" t="str">
        <f>PROPER(TRIM(Main_Data!A470))</f>
        <v>Japan</v>
      </c>
      <c r="N470" s="1" t="str">
        <f>PROPER(TRIM(Main_Data!B470))</f>
        <v>East Asia</v>
      </c>
      <c r="O470" s="1" t="str" cm="1">
        <f t="array" ref="O470">_xlfn.IFS(F470&gt;=80,"Very High",F470&gt;=70,"High",F470&gt;=60,"Medium",TRUE,"Low")</f>
        <v>Very High</v>
      </c>
      <c r="P470" s="1" t="str" cm="1">
        <f t="array" ref="P470">_xlfn.IFS(D470&gt;=40000,"High Income",D470&gt;=15000,"Middle Income",TRUE,"Low Income")</f>
        <v>Low Income</v>
      </c>
      <c r="Q470" s="1" t="str">
        <f t="shared" si="7"/>
        <v>Duplicate</v>
      </c>
    </row>
    <row r="471" spans="1:17" x14ac:dyDescent="0.25">
      <c r="A471" s="1" t="str">
        <f>Main_Data!A471</f>
        <v>South Africa</v>
      </c>
      <c r="B471" s="1" t="str">
        <f>Main_Data!B471</f>
        <v>Africa</v>
      </c>
      <c r="C471" s="1">
        <f>Main_Data!C471</f>
        <v>2022</v>
      </c>
      <c r="D471" s="1">
        <f>Main_Data!D471</f>
        <v>63645</v>
      </c>
      <c r="E471" s="1">
        <f>Main_Data!E471</f>
        <v>15.2</v>
      </c>
      <c r="F471" s="1">
        <f>Main_Data!F471</f>
        <v>67</v>
      </c>
      <c r="G471" s="1">
        <f>Main_Data!G471</f>
        <v>455458389</v>
      </c>
      <c r="H471" s="1">
        <f>Main_Data!H471</f>
        <v>68</v>
      </c>
      <c r="I471" s="1">
        <f>Main_Data!I471</f>
        <v>6.8</v>
      </c>
      <c r="J471" s="1">
        <f>Main_Data!J471</f>
        <v>96</v>
      </c>
      <c r="K471" s="1">
        <f>Main_Data!K471</f>
        <v>79</v>
      </c>
      <c r="L471" s="1" t="str">
        <f>Main_Data!L471</f>
        <v>Africa</v>
      </c>
      <c r="M471" s="1" t="str">
        <f>PROPER(TRIM(Main_Data!A471))</f>
        <v>South Africa</v>
      </c>
      <c r="N471" s="1" t="str">
        <f>PROPER(TRIM(Main_Data!B471))</f>
        <v>Africa</v>
      </c>
      <c r="O471" s="1" t="str" cm="1">
        <f t="array" ref="O471">_xlfn.IFS(F471&gt;=80,"Very High",F471&gt;=70,"High",F471&gt;=60,"Medium",TRUE,"Low")</f>
        <v>Medium</v>
      </c>
      <c r="P471" s="1" t="str" cm="1">
        <f t="array" ref="P471">_xlfn.IFS(D471&gt;=40000,"High Income",D471&gt;=15000,"Middle Income",TRUE,"Low Income")</f>
        <v>High Income</v>
      </c>
      <c r="Q471" s="1" t="str">
        <f t="shared" si="7"/>
        <v>Duplicate</v>
      </c>
    </row>
    <row r="472" spans="1:17" x14ac:dyDescent="0.25">
      <c r="A472" s="1" t="str">
        <f>Main_Data!A472</f>
        <v>India</v>
      </c>
      <c r="B472" s="1" t="str">
        <f>Main_Data!B472</f>
        <v>South Asia</v>
      </c>
      <c r="C472" s="1">
        <f>Main_Data!C472</f>
        <v>2020</v>
      </c>
      <c r="D472" s="1">
        <f>Main_Data!D472</f>
        <v>61989</v>
      </c>
      <c r="E472" s="1">
        <f>Main_Data!E472</f>
        <v>11</v>
      </c>
      <c r="F472" s="1">
        <f>Main_Data!F472</f>
        <v>73</v>
      </c>
      <c r="G472" s="1">
        <f>Main_Data!G472</f>
        <v>1102453617</v>
      </c>
      <c r="H472" s="1">
        <f>Main_Data!H472</f>
        <v>60</v>
      </c>
      <c r="I472" s="1">
        <f>Main_Data!I472</f>
        <v>21.4</v>
      </c>
      <c r="J472" s="1">
        <f>Main_Data!J472</f>
        <v>75</v>
      </c>
      <c r="K472" s="1">
        <f>Main_Data!K472</f>
        <v>64</v>
      </c>
      <c r="L472" s="1" t="str">
        <f>Main_Data!L472</f>
        <v>Asia</v>
      </c>
      <c r="M472" s="1" t="str">
        <f>PROPER(TRIM(Main_Data!A472))</f>
        <v>India</v>
      </c>
      <c r="N472" s="1" t="str">
        <f>PROPER(TRIM(Main_Data!B472))</f>
        <v>South Asia</v>
      </c>
      <c r="O472" s="1" t="str" cm="1">
        <f t="array" ref="O472">_xlfn.IFS(F472&gt;=80,"Very High",F472&gt;=70,"High",F472&gt;=60,"Medium",TRUE,"Low")</f>
        <v>High</v>
      </c>
      <c r="P472" s="1" t="str" cm="1">
        <f t="array" ref="P472">_xlfn.IFS(D472&gt;=40000,"High Income",D472&gt;=15000,"Middle Income",TRUE,"Low Income")</f>
        <v>High Income</v>
      </c>
      <c r="Q472" s="1" t="str">
        <f t="shared" si="7"/>
        <v>Duplicate</v>
      </c>
    </row>
    <row r="473" spans="1:17" x14ac:dyDescent="0.25">
      <c r="A473" s="1" t="str">
        <f>Main_Data!A473</f>
        <v>USA</v>
      </c>
      <c r="B473" s="1" t="str">
        <f>Main_Data!B473</f>
        <v>North America</v>
      </c>
      <c r="C473" s="1">
        <f>Main_Data!C473</f>
        <v>2021</v>
      </c>
      <c r="D473" s="1">
        <f>Main_Data!D473</f>
        <v>22156</v>
      </c>
      <c r="E473" s="1">
        <f>Main_Data!E473</f>
        <v>14.4</v>
      </c>
      <c r="F473" s="1">
        <f>Main_Data!F473</f>
        <v>69</v>
      </c>
      <c r="G473" s="1">
        <f>Main_Data!G473</f>
        <v>384942416</v>
      </c>
      <c r="H473" s="1">
        <f>Main_Data!H473</f>
        <v>65</v>
      </c>
      <c r="I473" s="1">
        <f>Main_Data!I473</f>
        <v>14</v>
      </c>
      <c r="J473" s="1">
        <f>Main_Data!J473</f>
        <v>75</v>
      </c>
      <c r="K473" s="1">
        <f>Main_Data!K473</f>
        <v>30</v>
      </c>
      <c r="L473" s="1" t="str">
        <f>Main_Data!L473</f>
        <v>North America</v>
      </c>
      <c r="M473" s="1" t="str">
        <f>PROPER(TRIM(Main_Data!A473))</f>
        <v>Usa</v>
      </c>
      <c r="N473" s="1" t="str">
        <f>PROPER(TRIM(Main_Data!B473))</f>
        <v>North America</v>
      </c>
      <c r="O473" s="1" t="str" cm="1">
        <f t="array" ref="O473">_xlfn.IFS(F473&gt;=80,"Very High",F473&gt;=70,"High",F473&gt;=60,"Medium",TRUE,"Low")</f>
        <v>Medium</v>
      </c>
      <c r="P473" s="1" t="str" cm="1">
        <f t="array" ref="P473">_xlfn.IFS(D473&gt;=40000,"High Income",D473&gt;=15000,"Middle Income",TRUE,"Low Income")</f>
        <v>Middle Income</v>
      </c>
      <c r="Q473" s="1" t="str">
        <f t="shared" si="7"/>
        <v>Duplicate</v>
      </c>
    </row>
    <row r="474" spans="1:17" x14ac:dyDescent="0.25">
      <c r="A474" s="1" t="str">
        <f>Main_Data!A474</f>
        <v>Germany</v>
      </c>
      <c r="B474" s="1" t="str">
        <f>Main_Data!B474</f>
        <v>Europe</v>
      </c>
      <c r="C474" s="1">
        <f>Main_Data!C474</f>
        <v>2021</v>
      </c>
      <c r="D474" s="1">
        <f>Main_Data!D474</f>
        <v>40419</v>
      </c>
      <c r="E474" s="1">
        <f>Main_Data!E474</f>
        <v>13.3</v>
      </c>
      <c r="F474" s="1">
        <f>Main_Data!F474</f>
        <v>71</v>
      </c>
      <c r="G474" s="1">
        <f>Main_Data!G474</f>
        <v>1208455098</v>
      </c>
      <c r="H474" s="1">
        <f>Main_Data!H474</f>
        <v>85</v>
      </c>
      <c r="I474" s="1">
        <f>Main_Data!I474</f>
        <v>7.3</v>
      </c>
      <c r="J474" s="1">
        <f>Main_Data!J474</f>
        <v>97</v>
      </c>
      <c r="K474" s="1">
        <f>Main_Data!K474</f>
        <v>90</v>
      </c>
      <c r="L474" s="1" t="str">
        <f>Main_Data!L474</f>
        <v>Europe</v>
      </c>
      <c r="M474" s="1" t="str">
        <f>PROPER(TRIM(Main_Data!A474))</f>
        <v>Germany</v>
      </c>
      <c r="N474" s="1" t="str">
        <f>PROPER(TRIM(Main_Data!B474))</f>
        <v>Europe</v>
      </c>
      <c r="O474" s="1" t="str" cm="1">
        <f t="array" ref="O474">_xlfn.IFS(F474&gt;=80,"Very High",F474&gt;=70,"High",F474&gt;=60,"Medium",TRUE,"Low")</f>
        <v>High</v>
      </c>
      <c r="P474" s="1" t="str" cm="1">
        <f t="array" ref="P474">_xlfn.IFS(D474&gt;=40000,"High Income",D474&gt;=15000,"Middle Income",TRUE,"Low Income")</f>
        <v>High Income</v>
      </c>
      <c r="Q474" s="1" t="str">
        <f t="shared" si="7"/>
        <v>Duplicate</v>
      </c>
    </row>
    <row r="475" spans="1:17" x14ac:dyDescent="0.25">
      <c r="A475" s="1" t="str">
        <f>Main_Data!A475</f>
        <v>Brazil</v>
      </c>
      <c r="B475" s="1" t="str">
        <f>Main_Data!B475</f>
        <v>South America</v>
      </c>
      <c r="C475" s="1">
        <f>Main_Data!C475</f>
        <v>2020</v>
      </c>
      <c r="D475" s="1">
        <f>Main_Data!D475</f>
        <v>17314</v>
      </c>
      <c r="E475" s="1">
        <f>Main_Data!E475</f>
        <v>10.7</v>
      </c>
      <c r="F475" s="1">
        <f>Main_Data!F475</f>
        <v>84</v>
      </c>
      <c r="G475" s="1">
        <f>Main_Data!G475</f>
        <v>609840573</v>
      </c>
      <c r="H475" s="1">
        <f>Main_Data!H475</f>
        <v>70</v>
      </c>
      <c r="I475" s="1">
        <f>Main_Data!I475</f>
        <v>23.8</v>
      </c>
      <c r="J475" s="1">
        <f>Main_Data!J475</f>
        <v>79</v>
      </c>
      <c r="K475" s="1">
        <f>Main_Data!K475</f>
        <v>74</v>
      </c>
      <c r="L475" s="1" t="str">
        <f>Main_Data!L475</f>
        <v>South America</v>
      </c>
      <c r="M475" s="1" t="str">
        <f>PROPER(TRIM(Main_Data!A475))</f>
        <v>Brazil</v>
      </c>
      <c r="N475" s="1" t="str">
        <f>PROPER(TRIM(Main_Data!B475))</f>
        <v>South America</v>
      </c>
      <c r="O475" s="1" t="str" cm="1">
        <f t="array" ref="O475">_xlfn.IFS(F475&gt;=80,"Very High",F475&gt;=70,"High",F475&gt;=60,"Medium",TRUE,"Low")</f>
        <v>Very High</v>
      </c>
      <c r="P475" s="1" t="str" cm="1">
        <f t="array" ref="P475">_xlfn.IFS(D475&gt;=40000,"High Income",D475&gt;=15000,"Middle Income",TRUE,"Low Income")</f>
        <v>Middle Income</v>
      </c>
      <c r="Q475" s="1" t="str">
        <f t="shared" si="7"/>
        <v>Duplicate</v>
      </c>
    </row>
    <row r="476" spans="1:17" x14ac:dyDescent="0.25">
      <c r="A476" s="1" t="str">
        <f>Main_Data!A476</f>
        <v>China</v>
      </c>
      <c r="B476" s="1" t="str">
        <f>Main_Data!B476</f>
        <v>East Asia</v>
      </c>
      <c r="C476" s="1">
        <f>Main_Data!C476</f>
        <v>2021</v>
      </c>
      <c r="D476" s="1">
        <f>Main_Data!D476</f>
        <v>43062</v>
      </c>
      <c r="E476" s="1">
        <f>Main_Data!E476</f>
        <v>8.5</v>
      </c>
      <c r="F476" s="1">
        <f>Main_Data!F476</f>
        <v>81</v>
      </c>
      <c r="G476" s="1">
        <f>Main_Data!G476</f>
        <v>898049481</v>
      </c>
      <c r="H476" s="1">
        <f>Main_Data!H476</f>
        <v>85</v>
      </c>
      <c r="I476" s="1">
        <f>Main_Data!I476</f>
        <v>12.3</v>
      </c>
      <c r="J476" s="1">
        <f>Main_Data!J476</f>
        <v>78</v>
      </c>
      <c r="K476" s="1">
        <f>Main_Data!K476</f>
        <v>76</v>
      </c>
      <c r="L476" s="1" t="str">
        <f>Main_Data!L476</f>
        <v>Asia</v>
      </c>
      <c r="M476" s="1" t="str">
        <f>PROPER(TRIM(Main_Data!A476))</f>
        <v>China</v>
      </c>
      <c r="N476" s="1" t="str">
        <f>PROPER(TRIM(Main_Data!B476))</f>
        <v>East Asia</v>
      </c>
      <c r="O476" s="1" t="str" cm="1">
        <f t="array" ref="O476">_xlfn.IFS(F476&gt;=80,"Very High",F476&gt;=70,"High",F476&gt;=60,"Medium",TRUE,"Low")</f>
        <v>Very High</v>
      </c>
      <c r="P476" s="1" t="str" cm="1">
        <f t="array" ref="P476">_xlfn.IFS(D476&gt;=40000,"High Income",D476&gt;=15000,"Middle Income",TRUE,"Low Income")</f>
        <v>High Income</v>
      </c>
      <c r="Q476" s="1" t="str">
        <f t="shared" si="7"/>
        <v>Duplicate</v>
      </c>
    </row>
    <row r="477" spans="1:17" x14ac:dyDescent="0.25">
      <c r="A477" s="1" t="str">
        <f>Main_Data!A477</f>
        <v>UK</v>
      </c>
      <c r="B477" s="1" t="str">
        <f>Main_Data!B477</f>
        <v>Europe</v>
      </c>
      <c r="C477" s="1">
        <f>Main_Data!C477</f>
        <v>2022</v>
      </c>
      <c r="D477" s="1">
        <f>Main_Data!D477</f>
        <v>39095</v>
      </c>
      <c r="E477" s="1">
        <f>Main_Data!E477</f>
        <v>5.9</v>
      </c>
      <c r="F477" s="1">
        <f>Main_Data!F477</f>
        <v>61</v>
      </c>
      <c r="G477" s="1">
        <f>Main_Data!G477</f>
        <v>655564103</v>
      </c>
      <c r="H477" s="1">
        <f>Main_Data!H477</f>
        <v>92</v>
      </c>
      <c r="I477" s="1">
        <f>Main_Data!I477</f>
        <v>3.6</v>
      </c>
      <c r="J477" s="1">
        <f>Main_Data!J477</f>
        <v>82</v>
      </c>
      <c r="K477" s="1">
        <f>Main_Data!K477</f>
        <v>37</v>
      </c>
      <c r="L477" s="1" t="str">
        <f>Main_Data!L477</f>
        <v>Europe</v>
      </c>
      <c r="M477" s="1" t="str">
        <f>PROPER(TRIM(Main_Data!A477))</f>
        <v>Uk</v>
      </c>
      <c r="N477" s="1" t="str">
        <f>PROPER(TRIM(Main_Data!B477))</f>
        <v>Europe</v>
      </c>
      <c r="O477" s="1" t="str" cm="1">
        <f t="array" ref="O477">_xlfn.IFS(F477&gt;=80,"Very High",F477&gt;=70,"High",F477&gt;=60,"Medium",TRUE,"Low")</f>
        <v>Medium</v>
      </c>
      <c r="P477" s="1" t="str" cm="1">
        <f t="array" ref="P477">_xlfn.IFS(D477&gt;=40000,"High Income",D477&gt;=15000,"Middle Income",TRUE,"Low Income")</f>
        <v>Middle Income</v>
      </c>
      <c r="Q477" s="1" t="str">
        <f t="shared" si="7"/>
        <v>Duplicate</v>
      </c>
    </row>
    <row r="478" spans="1:17" x14ac:dyDescent="0.25">
      <c r="A478" s="1" t="str">
        <f>Main_Data!A478</f>
        <v>Canada</v>
      </c>
      <c r="B478" s="1" t="str">
        <f>Main_Data!B478</f>
        <v>North America</v>
      </c>
      <c r="C478" s="1">
        <f>Main_Data!C478</f>
        <v>2022</v>
      </c>
      <c r="D478" s="1">
        <f>Main_Data!D478</f>
        <v>26756</v>
      </c>
      <c r="E478" s="1">
        <f>Main_Data!E478</f>
        <v>6.8</v>
      </c>
      <c r="F478" s="1">
        <f>Main_Data!F478</f>
        <v>71</v>
      </c>
      <c r="G478" s="1">
        <f>Main_Data!G478</f>
        <v>1499990158</v>
      </c>
      <c r="H478" s="1">
        <f>Main_Data!H478</f>
        <v>59</v>
      </c>
      <c r="I478" s="1">
        <f>Main_Data!I478</f>
        <v>18.5</v>
      </c>
      <c r="J478" s="1">
        <f>Main_Data!J478</f>
        <v>81</v>
      </c>
      <c r="K478" s="1">
        <f>Main_Data!K478</f>
        <v>33</v>
      </c>
      <c r="L478" s="1" t="str">
        <f>Main_Data!L478</f>
        <v>North America</v>
      </c>
      <c r="M478" s="1" t="str">
        <f>PROPER(TRIM(Main_Data!A478))</f>
        <v>Canada</v>
      </c>
      <c r="N478" s="1" t="str">
        <f>PROPER(TRIM(Main_Data!B478))</f>
        <v>North America</v>
      </c>
      <c r="O478" s="1" t="str" cm="1">
        <f t="array" ref="O478">_xlfn.IFS(F478&gt;=80,"Very High",F478&gt;=70,"High",F478&gt;=60,"Medium",TRUE,"Low")</f>
        <v>High</v>
      </c>
      <c r="P478" s="1" t="str" cm="1">
        <f t="array" ref="P478">_xlfn.IFS(D478&gt;=40000,"High Income",D478&gt;=15000,"Middle Income",TRUE,"Low Income")</f>
        <v>Middle Income</v>
      </c>
      <c r="Q478" s="1" t="str">
        <f t="shared" si="7"/>
        <v>Duplicate</v>
      </c>
    </row>
    <row r="479" spans="1:17" x14ac:dyDescent="0.25">
      <c r="A479" s="1" t="str">
        <f>Main_Data!A479</f>
        <v>Australia</v>
      </c>
      <c r="B479" s="1" t="str">
        <f>Main_Data!B479</f>
        <v>Oceania</v>
      </c>
      <c r="C479" s="1">
        <f>Main_Data!C479</f>
        <v>2022</v>
      </c>
      <c r="D479" s="1">
        <f>Main_Data!D479</f>
        <v>68396</v>
      </c>
      <c r="E479" s="1">
        <f>Main_Data!E479</f>
        <v>6.9</v>
      </c>
      <c r="F479" s="1">
        <f>Main_Data!F479</f>
        <v>75</v>
      </c>
      <c r="G479" s="1">
        <f>Main_Data!G479</f>
        <v>594210994</v>
      </c>
      <c r="H479" s="1">
        <f>Main_Data!H479</f>
        <v>83</v>
      </c>
      <c r="I479" s="1">
        <f>Main_Data!I479</f>
        <v>20</v>
      </c>
      <c r="J479" s="1">
        <f>Main_Data!J479</f>
        <v>76</v>
      </c>
      <c r="K479" s="1">
        <f>Main_Data!K479</f>
        <v>89</v>
      </c>
      <c r="L479" s="1" t="str">
        <f>Main_Data!L479</f>
        <v>Oceania</v>
      </c>
      <c r="M479" s="1" t="str">
        <f>PROPER(TRIM(Main_Data!A479))</f>
        <v>Australia</v>
      </c>
      <c r="N479" s="1" t="str">
        <f>PROPER(TRIM(Main_Data!B479))</f>
        <v>Oceania</v>
      </c>
      <c r="O479" s="1" t="str" cm="1">
        <f t="array" ref="O479">_xlfn.IFS(F479&gt;=80,"Very High",F479&gt;=70,"High",F479&gt;=60,"Medium",TRUE,"Low")</f>
        <v>High</v>
      </c>
      <c r="P479" s="1" t="str" cm="1">
        <f t="array" ref="P479">_xlfn.IFS(D479&gt;=40000,"High Income",D479&gt;=15000,"Middle Income",TRUE,"Low Income")</f>
        <v>High Income</v>
      </c>
      <c r="Q479" s="1" t="str">
        <f t="shared" si="7"/>
        <v>Duplicate</v>
      </c>
    </row>
    <row r="480" spans="1:17" x14ac:dyDescent="0.25">
      <c r="A480" s="1" t="str">
        <f>Main_Data!A480</f>
        <v>Japan</v>
      </c>
      <c r="B480" s="1" t="str">
        <f>Main_Data!B480</f>
        <v>East Asia</v>
      </c>
      <c r="C480" s="1">
        <f>Main_Data!C480</f>
        <v>2021</v>
      </c>
      <c r="D480" s="1">
        <f>Main_Data!D480</f>
        <v>56526</v>
      </c>
      <c r="E480" s="1">
        <f>Main_Data!E480</f>
        <v>7.8</v>
      </c>
      <c r="F480" s="1">
        <f>Main_Data!F480</f>
        <v>80</v>
      </c>
      <c r="G480" s="1">
        <f>Main_Data!G480</f>
        <v>280171661</v>
      </c>
      <c r="H480" s="1">
        <f>Main_Data!H480</f>
        <v>74</v>
      </c>
      <c r="I480" s="1">
        <f>Main_Data!I480</f>
        <v>24.7</v>
      </c>
      <c r="J480" s="1">
        <f>Main_Data!J480</f>
        <v>78</v>
      </c>
      <c r="K480" s="1">
        <f>Main_Data!K480</f>
        <v>80</v>
      </c>
      <c r="L480" s="1" t="str">
        <f>Main_Data!L480</f>
        <v>Asia</v>
      </c>
      <c r="M480" s="1" t="str">
        <f>PROPER(TRIM(Main_Data!A480))</f>
        <v>Japan</v>
      </c>
      <c r="N480" s="1" t="str">
        <f>PROPER(TRIM(Main_Data!B480))</f>
        <v>East Asia</v>
      </c>
      <c r="O480" s="1" t="str" cm="1">
        <f t="array" ref="O480">_xlfn.IFS(F480&gt;=80,"Very High",F480&gt;=70,"High",F480&gt;=60,"Medium",TRUE,"Low")</f>
        <v>Very High</v>
      </c>
      <c r="P480" s="1" t="str" cm="1">
        <f t="array" ref="P480">_xlfn.IFS(D480&gt;=40000,"High Income",D480&gt;=15000,"Middle Income",TRUE,"Low Income")</f>
        <v>High Income</v>
      </c>
      <c r="Q480" s="1" t="str">
        <f t="shared" si="7"/>
        <v>Duplicate</v>
      </c>
    </row>
    <row r="481" spans="1:17" x14ac:dyDescent="0.25">
      <c r="A481" s="1" t="str">
        <f>Main_Data!A481</f>
        <v>South Africa</v>
      </c>
      <c r="B481" s="1" t="str">
        <f>Main_Data!B481</f>
        <v>Africa</v>
      </c>
      <c r="C481" s="1">
        <f>Main_Data!C481</f>
        <v>2021</v>
      </c>
      <c r="D481" s="1">
        <f>Main_Data!D481</f>
        <v>32492</v>
      </c>
      <c r="E481" s="1">
        <f>Main_Data!E481</f>
        <v>4.9000000000000004</v>
      </c>
      <c r="F481" s="1">
        <f>Main_Data!F481</f>
        <v>68</v>
      </c>
      <c r="G481" s="1">
        <f>Main_Data!G481</f>
        <v>1321707077</v>
      </c>
      <c r="H481" s="1">
        <f>Main_Data!H481</f>
        <v>85</v>
      </c>
      <c r="I481" s="1">
        <f>Main_Data!I481</f>
        <v>4.5</v>
      </c>
      <c r="J481" s="1">
        <f>Main_Data!J481</f>
        <v>88</v>
      </c>
      <c r="K481" s="1">
        <f>Main_Data!K481</f>
        <v>35</v>
      </c>
      <c r="L481" s="1" t="str">
        <f>Main_Data!L481</f>
        <v>Africa</v>
      </c>
      <c r="M481" s="1" t="str">
        <f>PROPER(TRIM(Main_Data!A481))</f>
        <v>South Africa</v>
      </c>
      <c r="N481" s="1" t="str">
        <f>PROPER(TRIM(Main_Data!B481))</f>
        <v>Africa</v>
      </c>
      <c r="O481" s="1" t="str" cm="1">
        <f t="array" ref="O481">_xlfn.IFS(F481&gt;=80,"Very High",F481&gt;=70,"High",F481&gt;=60,"Medium",TRUE,"Low")</f>
        <v>Medium</v>
      </c>
      <c r="P481" s="1" t="str" cm="1">
        <f t="array" ref="P481">_xlfn.IFS(D481&gt;=40000,"High Income",D481&gt;=15000,"Middle Income",TRUE,"Low Income")</f>
        <v>Middle Income</v>
      </c>
      <c r="Q481" s="1" t="str">
        <f t="shared" si="7"/>
        <v>Duplicate</v>
      </c>
    </row>
    <row r="482" spans="1:17" x14ac:dyDescent="0.25">
      <c r="A482" s="1" t="str">
        <f>Main_Data!A482</f>
        <v>India</v>
      </c>
      <c r="B482" s="1" t="str">
        <f>Main_Data!B482</f>
        <v>South Asia</v>
      </c>
      <c r="C482" s="1">
        <f>Main_Data!C482</f>
        <v>2022</v>
      </c>
      <c r="D482" s="1">
        <f>Main_Data!D482</f>
        <v>11255</v>
      </c>
      <c r="E482" s="1">
        <f>Main_Data!E482</f>
        <v>13.7</v>
      </c>
      <c r="F482" s="1">
        <f>Main_Data!F482</f>
        <v>64</v>
      </c>
      <c r="G482" s="1">
        <f>Main_Data!G482</f>
        <v>1404371911</v>
      </c>
      <c r="H482" s="1">
        <f>Main_Data!H482</f>
        <v>64</v>
      </c>
      <c r="I482" s="1">
        <f>Main_Data!I482</f>
        <v>5.7</v>
      </c>
      <c r="J482" s="1">
        <f>Main_Data!J482</f>
        <v>80</v>
      </c>
      <c r="K482" s="1">
        <f>Main_Data!K482</f>
        <v>82</v>
      </c>
      <c r="L482" s="1" t="str">
        <f>Main_Data!L482</f>
        <v>Asia</v>
      </c>
      <c r="M482" s="1" t="str">
        <f>PROPER(TRIM(Main_Data!A482))</f>
        <v>India</v>
      </c>
      <c r="N482" s="1" t="str">
        <f>PROPER(TRIM(Main_Data!B482))</f>
        <v>South Asia</v>
      </c>
      <c r="O482" s="1" t="str" cm="1">
        <f t="array" ref="O482">_xlfn.IFS(F482&gt;=80,"Very High",F482&gt;=70,"High",F482&gt;=60,"Medium",TRUE,"Low")</f>
        <v>Medium</v>
      </c>
      <c r="P482" s="1" t="str" cm="1">
        <f t="array" ref="P482">_xlfn.IFS(D482&gt;=40000,"High Income",D482&gt;=15000,"Middle Income",TRUE,"Low Income")</f>
        <v>Low Income</v>
      </c>
      <c r="Q482" s="1" t="str">
        <f t="shared" si="7"/>
        <v>Duplicate</v>
      </c>
    </row>
    <row r="483" spans="1:17" x14ac:dyDescent="0.25">
      <c r="A483" s="1" t="str">
        <f>Main_Data!A483</f>
        <v>USA</v>
      </c>
      <c r="B483" s="1" t="str">
        <f>Main_Data!B483</f>
        <v>North America</v>
      </c>
      <c r="C483" s="1">
        <f>Main_Data!C483</f>
        <v>2020</v>
      </c>
      <c r="D483" s="1">
        <f>Main_Data!D483</f>
        <v>12092</v>
      </c>
      <c r="E483" s="1">
        <f>Main_Data!E483</f>
        <v>5.6</v>
      </c>
      <c r="F483" s="1">
        <f>Main_Data!F483</f>
        <v>76</v>
      </c>
      <c r="G483" s="1">
        <f>Main_Data!G483</f>
        <v>728503315</v>
      </c>
      <c r="H483" s="1">
        <f>Main_Data!H483</f>
        <v>53</v>
      </c>
      <c r="I483" s="1">
        <f>Main_Data!I483</f>
        <v>15.3</v>
      </c>
      <c r="J483" s="1">
        <f>Main_Data!J483</f>
        <v>96</v>
      </c>
      <c r="K483" s="1">
        <f>Main_Data!K483</f>
        <v>61</v>
      </c>
      <c r="L483" s="1" t="str">
        <f>Main_Data!L483</f>
        <v>North America</v>
      </c>
      <c r="M483" s="1" t="str">
        <f>PROPER(TRIM(Main_Data!A483))</f>
        <v>Usa</v>
      </c>
      <c r="N483" s="1" t="str">
        <f>PROPER(TRIM(Main_Data!B483))</f>
        <v>North America</v>
      </c>
      <c r="O483" s="1" t="str" cm="1">
        <f t="array" ref="O483">_xlfn.IFS(F483&gt;=80,"Very High",F483&gt;=70,"High",F483&gt;=60,"Medium",TRUE,"Low")</f>
        <v>High</v>
      </c>
      <c r="P483" s="1" t="str" cm="1">
        <f t="array" ref="P483">_xlfn.IFS(D483&gt;=40000,"High Income",D483&gt;=15000,"Middle Income",TRUE,"Low Income")</f>
        <v>Low Income</v>
      </c>
      <c r="Q483" s="1" t="str">
        <f t="shared" si="7"/>
        <v>Duplicate</v>
      </c>
    </row>
    <row r="484" spans="1:17" x14ac:dyDescent="0.25">
      <c r="A484" s="1" t="str">
        <f>Main_Data!A484</f>
        <v>Germany</v>
      </c>
      <c r="B484" s="1" t="str">
        <f>Main_Data!B484</f>
        <v>Europe</v>
      </c>
      <c r="C484" s="1">
        <f>Main_Data!C484</f>
        <v>2020</v>
      </c>
      <c r="D484" s="1">
        <f>Main_Data!D484</f>
        <v>28685</v>
      </c>
      <c r="E484" s="1">
        <f>Main_Data!E484</f>
        <v>6.9</v>
      </c>
      <c r="F484" s="1">
        <f>Main_Data!F484</f>
        <v>67</v>
      </c>
      <c r="G484" s="1">
        <f>Main_Data!G484</f>
        <v>553857175</v>
      </c>
      <c r="H484" s="1">
        <f>Main_Data!H484</f>
        <v>83</v>
      </c>
      <c r="I484" s="1">
        <f>Main_Data!I484</f>
        <v>21.1</v>
      </c>
      <c r="J484" s="1">
        <f>Main_Data!J484</f>
        <v>97</v>
      </c>
      <c r="K484" s="1">
        <f>Main_Data!K484</f>
        <v>67</v>
      </c>
      <c r="L484" s="1" t="str">
        <f>Main_Data!L484</f>
        <v>Europe</v>
      </c>
      <c r="M484" s="1" t="str">
        <f>PROPER(TRIM(Main_Data!A484))</f>
        <v>Germany</v>
      </c>
      <c r="N484" s="1" t="str">
        <f>PROPER(TRIM(Main_Data!B484))</f>
        <v>Europe</v>
      </c>
      <c r="O484" s="1" t="str" cm="1">
        <f t="array" ref="O484">_xlfn.IFS(F484&gt;=80,"Very High",F484&gt;=70,"High",F484&gt;=60,"Medium",TRUE,"Low")</f>
        <v>Medium</v>
      </c>
      <c r="P484" s="1" t="str" cm="1">
        <f t="array" ref="P484">_xlfn.IFS(D484&gt;=40000,"High Income",D484&gt;=15000,"Middle Income",TRUE,"Low Income")</f>
        <v>Middle Income</v>
      </c>
      <c r="Q484" s="1" t="str">
        <f t="shared" si="7"/>
        <v>Duplicate</v>
      </c>
    </row>
    <row r="485" spans="1:17" x14ac:dyDescent="0.25">
      <c r="A485" s="1" t="str">
        <f>Main_Data!A485</f>
        <v>Brazil</v>
      </c>
      <c r="B485" s="1" t="str">
        <f>Main_Data!B485</f>
        <v>South America</v>
      </c>
      <c r="C485" s="1">
        <f>Main_Data!C485</f>
        <v>2021</v>
      </c>
      <c r="D485" s="1">
        <f>Main_Data!D485</f>
        <v>67299</v>
      </c>
      <c r="E485" s="1">
        <f>Main_Data!E485</f>
        <v>10.3</v>
      </c>
      <c r="F485" s="1">
        <f>Main_Data!F485</f>
        <v>76</v>
      </c>
      <c r="G485" s="1">
        <f>Main_Data!G485</f>
        <v>666443325</v>
      </c>
      <c r="H485" s="1">
        <f>Main_Data!H485</f>
        <v>66</v>
      </c>
      <c r="I485" s="1">
        <f>Main_Data!I485</f>
        <v>16.5</v>
      </c>
      <c r="J485" s="1">
        <f>Main_Data!J485</f>
        <v>95</v>
      </c>
      <c r="K485" s="1">
        <f>Main_Data!K485</f>
        <v>53</v>
      </c>
      <c r="L485" s="1" t="str">
        <f>Main_Data!L485</f>
        <v>South America</v>
      </c>
      <c r="M485" s="1" t="str">
        <f>PROPER(TRIM(Main_Data!A485))</f>
        <v>Brazil</v>
      </c>
      <c r="N485" s="1" t="str">
        <f>PROPER(TRIM(Main_Data!B485))</f>
        <v>South America</v>
      </c>
      <c r="O485" s="1" t="str" cm="1">
        <f t="array" ref="O485">_xlfn.IFS(F485&gt;=80,"Very High",F485&gt;=70,"High",F485&gt;=60,"Medium",TRUE,"Low")</f>
        <v>High</v>
      </c>
      <c r="P485" s="1" t="str" cm="1">
        <f t="array" ref="P485">_xlfn.IFS(D485&gt;=40000,"High Income",D485&gt;=15000,"Middle Income",TRUE,"Low Income")</f>
        <v>High Income</v>
      </c>
      <c r="Q485" s="1" t="str">
        <f t="shared" si="7"/>
        <v>Duplicate</v>
      </c>
    </row>
    <row r="486" spans="1:17" x14ac:dyDescent="0.25">
      <c r="A486" s="1" t="str">
        <f>Main_Data!A486</f>
        <v>China</v>
      </c>
      <c r="B486" s="1" t="str">
        <f>Main_Data!B486</f>
        <v>East Asia</v>
      </c>
      <c r="C486" s="1">
        <f>Main_Data!C486</f>
        <v>2022</v>
      </c>
      <c r="D486" s="1">
        <f>Main_Data!D486</f>
        <v>2082</v>
      </c>
      <c r="E486" s="1">
        <f>Main_Data!E486</f>
        <v>11.6</v>
      </c>
      <c r="F486" s="1">
        <f>Main_Data!F486</f>
        <v>71</v>
      </c>
      <c r="G486" s="1">
        <f>Main_Data!G486</f>
        <v>1481031812</v>
      </c>
      <c r="H486" s="1">
        <f>Main_Data!H486</f>
        <v>91</v>
      </c>
      <c r="I486" s="1">
        <f>Main_Data!I486</f>
        <v>18.399999999999999</v>
      </c>
      <c r="J486" s="1">
        <f>Main_Data!J486</f>
        <v>90</v>
      </c>
      <c r="K486" s="1">
        <f>Main_Data!K486</f>
        <v>82</v>
      </c>
      <c r="L486" s="1" t="str">
        <f>Main_Data!L486</f>
        <v>Asia</v>
      </c>
      <c r="M486" s="1" t="str">
        <f>PROPER(TRIM(Main_Data!A486))</f>
        <v>China</v>
      </c>
      <c r="N486" s="1" t="str">
        <f>PROPER(TRIM(Main_Data!B486))</f>
        <v>East Asia</v>
      </c>
      <c r="O486" s="1" t="str" cm="1">
        <f t="array" ref="O486">_xlfn.IFS(F486&gt;=80,"Very High",F486&gt;=70,"High",F486&gt;=60,"Medium",TRUE,"Low")</f>
        <v>High</v>
      </c>
      <c r="P486" s="1" t="str" cm="1">
        <f t="array" ref="P486">_xlfn.IFS(D486&gt;=40000,"High Income",D486&gt;=15000,"Middle Income",TRUE,"Low Income")</f>
        <v>Low Income</v>
      </c>
      <c r="Q486" s="1" t="str">
        <f t="shared" si="7"/>
        <v>Duplicate</v>
      </c>
    </row>
    <row r="487" spans="1:17" x14ac:dyDescent="0.25">
      <c r="A487" s="1" t="str">
        <f>Main_Data!A487</f>
        <v>UK</v>
      </c>
      <c r="B487" s="1" t="str">
        <f>Main_Data!B487</f>
        <v>Europe</v>
      </c>
      <c r="C487" s="1">
        <f>Main_Data!C487</f>
        <v>2020</v>
      </c>
      <c r="D487" s="1">
        <f>Main_Data!D487</f>
        <v>20870</v>
      </c>
      <c r="E487" s="1">
        <f>Main_Data!E487</f>
        <v>9.1</v>
      </c>
      <c r="F487" s="1">
        <f>Main_Data!F487</f>
        <v>84</v>
      </c>
      <c r="G487" s="1">
        <f>Main_Data!G487</f>
        <v>604185716</v>
      </c>
      <c r="H487" s="1">
        <f>Main_Data!H487</f>
        <v>73</v>
      </c>
      <c r="I487" s="1">
        <f>Main_Data!I487</f>
        <v>8.6999999999999993</v>
      </c>
      <c r="J487" s="1">
        <f>Main_Data!J487</f>
        <v>97</v>
      </c>
      <c r="K487" s="1">
        <f>Main_Data!K487</f>
        <v>46</v>
      </c>
      <c r="L487" s="1" t="str">
        <f>Main_Data!L487</f>
        <v>Europe</v>
      </c>
      <c r="M487" s="1" t="str">
        <f>PROPER(TRIM(Main_Data!A487))</f>
        <v>Uk</v>
      </c>
      <c r="N487" s="1" t="str">
        <f>PROPER(TRIM(Main_Data!B487))</f>
        <v>Europe</v>
      </c>
      <c r="O487" s="1" t="str" cm="1">
        <f t="array" ref="O487">_xlfn.IFS(F487&gt;=80,"Very High",F487&gt;=70,"High",F487&gt;=60,"Medium",TRUE,"Low")</f>
        <v>Very High</v>
      </c>
      <c r="P487" s="1" t="str" cm="1">
        <f t="array" ref="P487">_xlfn.IFS(D487&gt;=40000,"High Income",D487&gt;=15000,"Middle Income",TRUE,"Low Income")</f>
        <v>Middle Income</v>
      </c>
      <c r="Q487" s="1" t="str">
        <f t="shared" si="7"/>
        <v>Duplicate</v>
      </c>
    </row>
    <row r="488" spans="1:17" x14ac:dyDescent="0.25">
      <c r="A488" s="1" t="str">
        <f>Main_Data!A488</f>
        <v>Canada</v>
      </c>
      <c r="B488" s="1" t="str">
        <f>Main_Data!B488</f>
        <v>North America</v>
      </c>
      <c r="C488" s="1">
        <f>Main_Data!C488</f>
        <v>2021</v>
      </c>
      <c r="D488" s="1">
        <f>Main_Data!D488</f>
        <v>23678</v>
      </c>
      <c r="E488" s="1">
        <f>Main_Data!E488</f>
        <v>5.0999999999999996</v>
      </c>
      <c r="F488" s="1">
        <f>Main_Data!F488</f>
        <v>66</v>
      </c>
      <c r="G488" s="1">
        <f>Main_Data!G488</f>
        <v>1367456600</v>
      </c>
      <c r="H488" s="1">
        <f>Main_Data!H488</f>
        <v>62</v>
      </c>
      <c r="I488" s="1">
        <f>Main_Data!I488</f>
        <v>9.8000000000000007</v>
      </c>
      <c r="J488" s="1">
        <f>Main_Data!J488</f>
        <v>79</v>
      </c>
      <c r="K488" s="1">
        <f>Main_Data!K488</f>
        <v>62</v>
      </c>
      <c r="L488" s="1" t="str">
        <f>Main_Data!L488</f>
        <v>North America</v>
      </c>
      <c r="M488" s="1" t="str">
        <f>PROPER(TRIM(Main_Data!A488))</f>
        <v>Canada</v>
      </c>
      <c r="N488" s="1" t="str">
        <f>PROPER(TRIM(Main_Data!B488))</f>
        <v>North America</v>
      </c>
      <c r="O488" s="1" t="str" cm="1">
        <f t="array" ref="O488">_xlfn.IFS(F488&gt;=80,"Very High",F488&gt;=70,"High",F488&gt;=60,"Medium",TRUE,"Low")</f>
        <v>Medium</v>
      </c>
      <c r="P488" s="1" t="str" cm="1">
        <f t="array" ref="P488">_xlfn.IFS(D488&gt;=40000,"High Income",D488&gt;=15000,"Middle Income",TRUE,"Low Income")</f>
        <v>Middle Income</v>
      </c>
      <c r="Q488" s="1" t="str">
        <f t="shared" si="7"/>
        <v>Duplicate</v>
      </c>
    </row>
    <row r="489" spans="1:17" x14ac:dyDescent="0.25">
      <c r="A489" s="1" t="str">
        <f>Main_Data!A489</f>
        <v>Australia</v>
      </c>
      <c r="B489" s="1" t="str">
        <f>Main_Data!B489</f>
        <v>Oceania</v>
      </c>
      <c r="C489" s="1">
        <f>Main_Data!C489</f>
        <v>2021</v>
      </c>
      <c r="D489" s="1">
        <f>Main_Data!D489</f>
        <v>16381</v>
      </c>
      <c r="E489" s="1">
        <f>Main_Data!E489</f>
        <v>3</v>
      </c>
      <c r="F489" s="1">
        <f>Main_Data!F489</f>
        <v>81</v>
      </c>
      <c r="G489" s="1">
        <f>Main_Data!G489</f>
        <v>1357389161</v>
      </c>
      <c r="H489" s="1">
        <f>Main_Data!H489</f>
        <v>81</v>
      </c>
      <c r="I489" s="1">
        <f>Main_Data!I489</f>
        <v>20.5</v>
      </c>
      <c r="J489" s="1">
        <f>Main_Data!J489</f>
        <v>77</v>
      </c>
      <c r="K489" s="1">
        <f>Main_Data!K489</f>
        <v>35</v>
      </c>
      <c r="L489" s="1" t="str">
        <f>Main_Data!L489</f>
        <v>Oceania</v>
      </c>
      <c r="M489" s="1" t="str">
        <f>PROPER(TRIM(Main_Data!A489))</f>
        <v>Australia</v>
      </c>
      <c r="N489" s="1" t="str">
        <f>PROPER(TRIM(Main_Data!B489))</f>
        <v>Oceania</v>
      </c>
      <c r="O489" s="1" t="str" cm="1">
        <f t="array" ref="O489">_xlfn.IFS(F489&gt;=80,"Very High",F489&gt;=70,"High",F489&gt;=60,"Medium",TRUE,"Low")</f>
        <v>Very High</v>
      </c>
      <c r="P489" s="1" t="str" cm="1">
        <f t="array" ref="P489">_xlfn.IFS(D489&gt;=40000,"High Income",D489&gt;=15000,"Middle Income",TRUE,"Low Income")</f>
        <v>Middle Income</v>
      </c>
      <c r="Q489" s="1" t="str">
        <f t="shared" si="7"/>
        <v>Duplicate</v>
      </c>
    </row>
    <row r="490" spans="1:17" x14ac:dyDescent="0.25">
      <c r="A490" s="1" t="str">
        <f>Main_Data!A490</f>
        <v>Japan</v>
      </c>
      <c r="B490" s="1" t="str">
        <f>Main_Data!B490</f>
        <v>East Asia</v>
      </c>
      <c r="C490" s="1">
        <f>Main_Data!C490</f>
        <v>2021</v>
      </c>
      <c r="D490" s="1">
        <f>Main_Data!D490</f>
        <v>11700</v>
      </c>
      <c r="E490" s="1">
        <f>Main_Data!E490</f>
        <v>15.5</v>
      </c>
      <c r="F490" s="1">
        <f>Main_Data!F490</f>
        <v>79</v>
      </c>
      <c r="G490" s="1">
        <f>Main_Data!G490</f>
        <v>1273620927</v>
      </c>
      <c r="H490" s="1">
        <f>Main_Data!H490</f>
        <v>88</v>
      </c>
      <c r="I490" s="1">
        <f>Main_Data!I490</f>
        <v>2.9</v>
      </c>
      <c r="J490" s="1">
        <f>Main_Data!J490</f>
        <v>97</v>
      </c>
      <c r="K490" s="1">
        <f>Main_Data!K490</f>
        <v>30</v>
      </c>
      <c r="L490" s="1" t="str">
        <f>Main_Data!L490</f>
        <v>Asia</v>
      </c>
      <c r="M490" s="1" t="str">
        <f>PROPER(TRIM(Main_Data!A490))</f>
        <v>Japan</v>
      </c>
      <c r="N490" s="1" t="str">
        <f>PROPER(TRIM(Main_Data!B490))</f>
        <v>East Asia</v>
      </c>
      <c r="O490" s="1" t="str" cm="1">
        <f t="array" ref="O490">_xlfn.IFS(F490&gt;=80,"Very High",F490&gt;=70,"High",F490&gt;=60,"Medium",TRUE,"Low")</f>
        <v>High</v>
      </c>
      <c r="P490" s="1" t="str" cm="1">
        <f t="array" ref="P490">_xlfn.IFS(D490&gt;=40000,"High Income",D490&gt;=15000,"Middle Income",TRUE,"Low Income")</f>
        <v>Low Income</v>
      </c>
      <c r="Q490" s="1" t="str">
        <f t="shared" si="7"/>
        <v>Duplicate</v>
      </c>
    </row>
    <row r="491" spans="1:17" x14ac:dyDescent="0.25">
      <c r="A491" s="1" t="str">
        <f>Main_Data!A491</f>
        <v>South Africa</v>
      </c>
      <c r="B491" s="1" t="str">
        <f>Main_Data!B491</f>
        <v>Africa</v>
      </c>
      <c r="C491" s="1">
        <f>Main_Data!C491</f>
        <v>2022</v>
      </c>
      <c r="D491" s="1">
        <f>Main_Data!D491</f>
        <v>12967</v>
      </c>
      <c r="E491" s="1">
        <f>Main_Data!E491</f>
        <v>9.1</v>
      </c>
      <c r="F491" s="1">
        <f>Main_Data!F491</f>
        <v>84</v>
      </c>
      <c r="G491" s="1">
        <f>Main_Data!G491</f>
        <v>251745522</v>
      </c>
      <c r="H491" s="1">
        <f>Main_Data!H491</f>
        <v>76</v>
      </c>
      <c r="I491" s="1">
        <f>Main_Data!I491</f>
        <v>18.5</v>
      </c>
      <c r="J491" s="1">
        <f>Main_Data!J491</f>
        <v>86</v>
      </c>
      <c r="K491" s="1">
        <f>Main_Data!K491</f>
        <v>39</v>
      </c>
      <c r="L491" s="1" t="str">
        <f>Main_Data!L491</f>
        <v>Africa</v>
      </c>
      <c r="M491" s="1" t="str">
        <f>PROPER(TRIM(Main_Data!A491))</f>
        <v>South Africa</v>
      </c>
      <c r="N491" s="1" t="str">
        <f>PROPER(TRIM(Main_Data!B491))</f>
        <v>Africa</v>
      </c>
      <c r="O491" s="1" t="str" cm="1">
        <f t="array" ref="O491">_xlfn.IFS(F491&gt;=80,"Very High",F491&gt;=70,"High",F491&gt;=60,"Medium",TRUE,"Low")</f>
        <v>Very High</v>
      </c>
      <c r="P491" s="1" t="str" cm="1">
        <f t="array" ref="P491">_xlfn.IFS(D491&gt;=40000,"High Income",D491&gt;=15000,"Middle Income",TRUE,"Low Income")</f>
        <v>Low Income</v>
      </c>
      <c r="Q491" s="1" t="str">
        <f t="shared" si="7"/>
        <v>Duplicate</v>
      </c>
    </row>
    <row r="492" spans="1:17" x14ac:dyDescent="0.25">
      <c r="A492" s="1" t="str">
        <f>Main_Data!A492</f>
        <v>India</v>
      </c>
      <c r="B492" s="1" t="str">
        <f>Main_Data!B492</f>
        <v>South Asia</v>
      </c>
      <c r="C492" s="1">
        <f>Main_Data!C492</f>
        <v>2020</v>
      </c>
      <c r="D492" s="1">
        <f>Main_Data!D492</f>
        <v>66065</v>
      </c>
      <c r="E492" s="1">
        <f>Main_Data!E492</f>
        <v>6</v>
      </c>
      <c r="F492" s="1">
        <f>Main_Data!F492</f>
        <v>69</v>
      </c>
      <c r="G492" s="1">
        <f>Main_Data!G492</f>
        <v>906207894</v>
      </c>
      <c r="H492" s="1">
        <f>Main_Data!H492</f>
        <v>88</v>
      </c>
      <c r="I492" s="1">
        <f>Main_Data!I492</f>
        <v>9.1</v>
      </c>
      <c r="J492" s="1">
        <f>Main_Data!J492</f>
        <v>70</v>
      </c>
      <c r="K492" s="1">
        <f>Main_Data!K492</f>
        <v>79</v>
      </c>
      <c r="L492" s="1" t="str">
        <f>Main_Data!L492</f>
        <v>Asia</v>
      </c>
      <c r="M492" s="1" t="str">
        <f>PROPER(TRIM(Main_Data!A492))</f>
        <v>India</v>
      </c>
      <c r="N492" s="1" t="str">
        <f>PROPER(TRIM(Main_Data!B492))</f>
        <v>South Asia</v>
      </c>
      <c r="O492" s="1" t="str" cm="1">
        <f t="array" ref="O492">_xlfn.IFS(F492&gt;=80,"Very High",F492&gt;=70,"High",F492&gt;=60,"Medium",TRUE,"Low")</f>
        <v>Medium</v>
      </c>
      <c r="P492" s="1" t="str" cm="1">
        <f t="array" ref="P492">_xlfn.IFS(D492&gt;=40000,"High Income",D492&gt;=15000,"Middle Income",TRUE,"Low Income")</f>
        <v>High Income</v>
      </c>
      <c r="Q492" s="1" t="str">
        <f t="shared" si="7"/>
        <v>Duplicate</v>
      </c>
    </row>
    <row r="493" spans="1:17" x14ac:dyDescent="0.25">
      <c r="A493" s="1" t="str">
        <f>Main_Data!A493</f>
        <v>USA</v>
      </c>
      <c r="B493" s="1" t="str">
        <f>Main_Data!B493</f>
        <v>North America</v>
      </c>
      <c r="C493" s="1">
        <f>Main_Data!C493</f>
        <v>2020</v>
      </c>
      <c r="D493" s="1">
        <f>Main_Data!D493</f>
        <v>65194</v>
      </c>
      <c r="E493" s="1">
        <f>Main_Data!E493</f>
        <v>8.9</v>
      </c>
      <c r="F493" s="1">
        <f>Main_Data!F493</f>
        <v>66</v>
      </c>
      <c r="G493" s="1">
        <f>Main_Data!G493</f>
        <v>1294675280</v>
      </c>
      <c r="H493" s="1">
        <f>Main_Data!H493</f>
        <v>58</v>
      </c>
      <c r="I493" s="1">
        <f>Main_Data!I493</f>
        <v>22.9</v>
      </c>
      <c r="J493" s="1">
        <f>Main_Data!J493</f>
        <v>94</v>
      </c>
      <c r="K493" s="1">
        <f>Main_Data!K493</f>
        <v>71</v>
      </c>
      <c r="L493" s="1" t="str">
        <f>Main_Data!L493</f>
        <v>North America</v>
      </c>
      <c r="M493" s="1" t="str">
        <f>PROPER(TRIM(Main_Data!A493))</f>
        <v>Usa</v>
      </c>
      <c r="N493" s="1" t="str">
        <f>PROPER(TRIM(Main_Data!B493))</f>
        <v>North America</v>
      </c>
      <c r="O493" s="1" t="str" cm="1">
        <f t="array" ref="O493">_xlfn.IFS(F493&gt;=80,"Very High",F493&gt;=70,"High",F493&gt;=60,"Medium",TRUE,"Low")</f>
        <v>Medium</v>
      </c>
      <c r="P493" s="1" t="str" cm="1">
        <f t="array" ref="P493">_xlfn.IFS(D493&gt;=40000,"High Income",D493&gt;=15000,"Middle Income",TRUE,"Low Income")</f>
        <v>High Income</v>
      </c>
      <c r="Q493" s="1" t="str">
        <f t="shared" si="7"/>
        <v>Duplicate</v>
      </c>
    </row>
    <row r="494" spans="1:17" x14ac:dyDescent="0.25">
      <c r="A494" s="1" t="str">
        <f>Main_Data!A494</f>
        <v>Germany</v>
      </c>
      <c r="B494" s="1" t="str">
        <f>Main_Data!B494</f>
        <v>Europe</v>
      </c>
      <c r="C494" s="1">
        <f>Main_Data!C494</f>
        <v>2022</v>
      </c>
      <c r="D494" s="1">
        <f>Main_Data!D494</f>
        <v>54167</v>
      </c>
      <c r="E494" s="1">
        <f>Main_Data!E494</f>
        <v>14.3</v>
      </c>
      <c r="F494" s="1">
        <f>Main_Data!F494</f>
        <v>64</v>
      </c>
      <c r="G494" s="1">
        <f>Main_Data!G494</f>
        <v>1443738440</v>
      </c>
      <c r="H494" s="1">
        <f>Main_Data!H494</f>
        <v>50</v>
      </c>
      <c r="I494" s="1">
        <f>Main_Data!I494</f>
        <v>15.4</v>
      </c>
      <c r="J494" s="1">
        <f>Main_Data!J494</f>
        <v>88</v>
      </c>
      <c r="K494" s="1">
        <f>Main_Data!K494</f>
        <v>85</v>
      </c>
      <c r="L494" s="1" t="str">
        <f>Main_Data!L494</f>
        <v>Europe</v>
      </c>
      <c r="M494" s="1" t="str">
        <f>PROPER(TRIM(Main_Data!A494))</f>
        <v>Germany</v>
      </c>
      <c r="N494" s="1" t="str">
        <f>PROPER(TRIM(Main_Data!B494))</f>
        <v>Europe</v>
      </c>
      <c r="O494" s="1" t="str" cm="1">
        <f t="array" ref="O494">_xlfn.IFS(F494&gt;=80,"Very High",F494&gt;=70,"High",F494&gt;=60,"Medium",TRUE,"Low")</f>
        <v>Medium</v>
      </c>
      <c r="P494" s="1" t="str" cm="1">
        <f t="array" ref="P494">_xlfn.IFS(D494&gt;=40000,"High Income",D494&gt;=15000,"Middle Income",TRUE,"Low Income")</f>
        <v>High Income</v>
      </c>
      <c r="Q494" s="1" t="str">
        <f t="shared" si="7"/>
        <v>Duplicate</v>
      </c>
    </row>
    <row r="495" spans="1:17" x14ac:dyDescent="0.25">
      <c r="A495" s="1" t="str">
        <f>Main_Data!A495</f>
        <v>Brazil</v>
      </c>
      <c r="B495" s="1" t="str">
        <f>Main_Data!B495</f>
        <v>South America</v>
      </c>
      <c r="C495" s="1">
        <f>Main_Data!C495</f>
        <v>2021</v>
      </c>
      <c r="D495" s="1">
        <f>Main_Data!D495</f>
        <v>5215</v>
      </c>
      <c r="E495" s="1">
        <f>Main_Data!E495</f>
        <v>6.5</v>
      </c>
      <c r="F495" s="1">
        <f>Main_Data!F495</f>
        <v>69</v>
      </c>
      <c r="G495" s="1">
        <f>Main_Data!G495</f>
        <v>569600951</v>
      </c>
      <c r="H495" s="1">
        <f>Main_Data!H495</f>
        <v>94</v>
      </c>
      <c r="I495" s="1">
        <f>Main_Data!I495</f>
        <v>22.4</v>
      </c>
      <c r="J495" s="1">
        <f>Main_Data!J495</f>
        <v>93</v>
      </c>
      <c r="K495" s="1">
        <f>Main_Data!K495</f>
        <v>62</v>
      </c>
      <c r="L495" s="1" t="str">
        <f>Main_Data!L495</f>
        <v>South America</v>
      </c>
      <c r="M495" s="1" t="str">
        <f>PROPER(TRIM(Main_Data!A495))</f>
        <v>Brazil</v>
      </c>
      <c r="N495" s="1" t="str">
        <f>PROPER(TRIM(Main_Data!B495))</f>
        <v>South America</v>
      </c>
      <c r="O495" s="1" t="str" cm="1">
        <f t="array" ref="O495">_xlfn.IFS(F495&gt;=80,"Very High",F495&gt;=70,"High",F495&gt;=60,"Medium",TRUE,"Low")</f>
        <v>Medium</v>
      </c>
      <c r="P495" s="1" t="str" cm="1">
        <f t="array" ref="P495">_xlfn.IFS(D495&gt;=40000,"High Income",D495&gt;=15000,"Middle Income",TRUE,"Low Income")</f>
        <v>Low Income</v>
      </c>
      <c r="Q495" s="1" t="str">
        <f t="shared" si="7"/>
        <v>Duplicate</v>
      </c>
    </row>
    <row r="496" spans="1:17" x14ac:dyDescent="0.25">
      <c r="A496" s="1" t="str">
        <f>Main_Data!A496</f>
        <v>China</v>
      </c>
      <c r="B496" s="1" t="str">
        <f>Main_Data!B496</f>
        <v>East Asia</v>
      </c>
      <c r="C496" s="1">
        <f>Main_Data!C496</f>
        <v>2022</v>
      </c>
      <c r="D496" s="1">
        <f>Main_Data!D496</f>
        <v>43771</v>
      </c>
      <c r="E496" s="1">
        <f>Main_Data!E496</f>
        <v>4.3</v>
      </c>
      <c r="F496" s="1">
        <f>Main_Data!F496</f>
        <v>71</v>
      </c>
      <c r="G496" s="1">
        <f>Main_Data!G496</f>
        <v>1475110392</v>
      </c>
      <c r="H496" s="1">
        <f>Main_Data!H496</f>
        <v>58</v>
      </c>
      <c r="I496" s="1">
        <f>Main_Data!I496</f>
        <v>12.8</v>
      </c>
      <c r="J496" s="1">
        <f>Main_Data!J496</f>
        <v>70</v>
      </c>
      <c r="K496" s="1">
        <f>Main_Data!K496</f>
        <v>59</v>
      </c>
      <c r="L496" s="1" t="str">
        <f>Main_Data!L496</f>
        <v>Asia</v>
      </c>
      <c r="M496" s="1" t="str">
        <f>PROPER(TRIM(Main_Data!A496))</f>
        <v>China</v>
      </c>
      <c r="N496" s="1" t="str">
        <f>PROPER(TRIM(Main_Data!B496))</f>
        <v>East Asia</v>
      </c>
      <c r="O496" s="1" t="str" cm="1">
        <f t="array" ref="O496">_xlfn.IFS(F496&gt;=80,"Very High",F496&gt;=70,"High",F496&gt;=60,"Medium",TRUE,"Low")</f>
        <v>High</v>
      </c>
      <c r="P496" s="1" t="str" cm="1">
        <f t="array" ref="P496">_xlfn.IFS(D496&gt;=40000,"High Income",D496&gt;=15000,"Middle Income",TRUE,"Low Income")</f>
        <v>High Income</v>
      </c>
      <c r="Q496" s="1" t="str">
        <f t="shared" si="7"/>
        <v>Duplicate</v>
      </c>
    </row>
    <row r="497" spans="1:17" x14ac:dyDescent="0.25">
      <c r="A497" s="1" t="str">
        <f>Main_Data!A497</f>
        <v>UK</v>
      </c>
      <c r="B497" s="1" t="str">
        <f>Main_Data!B497</f>
        <v>Europe</v>
      </c>
      <c r="C497" s="1">
        <f>Main_Data!C497</f>
        <v>2021</v>
      </c>
      <c r="D497" s="1">
        <f>Main_Data!D497</f>
        <v>50360</v>
      </c>
      <c r="E497" s="1">
        <f>Main_Data!E497</f>
        <v>15.4</v>
      </c>
      <c r="F497" s="1">
        <f>Main_Data!F497</f>
        <v>78</v>
      </c>
      <c r="G497" s="1">
        <f>Main_Data!G497</f>
        <v>1173779390</v>
      </c>
      <c r="H497" s="1">
        <f>Main_Data!H497</f>
        <v>58</v>
      </c>
      <c r="I497" s="1">
        <f>Main_Data!I497</f>
        <v>20.5</v>
      </c>
      <c r="J497" s="1">
        <f>Main_Data!J497</f>
        <v>85</v>
      </c>
      <c r="K497" s="1">
        <f>Main_Data!K497</f>
        <v>52</v>
      </c>
      <c r="L497" s="1" t="str">
        <f>Main_Data!L497</f>
        <v>Europe</v>
      </c>
      <c r="M497" s="1" t="str">
        <f>PROPER(TRIM(Main_Data!A497))</f>
        <v>Uk</v>
      </c>
      <c r="N497" s="1" t="str">
        <f>PROPER(TRIM(Main_Data!B497))</f>
        <v>Europe</v>
      </c>
      <c r="O497" s="1" t="str" cm="1">
        <f t="array" ref="O497">_xlfn.IFS(F497&gt;=80,"Very High",F497&gt;=70,"High",F497&gt;=60,"Medium",TRUE,"Low")</f>
        <v>High</v>
      </c>
      <c r="P497" s="1" t="str" cm="1">
        <f t="array" ref="P497">_xlfn.IFS(D497&gt;=40000,"High Income",D497&gt;=15000,"Middle Income",TRUE,"Low Income")</f>
        <v>High Income</v>
      </c>
      <c r="Q497" s="1" t="str">
        <f t="shared" si="7"/>
        <v>Duplicate</v>
      </c>
    </row>
    <row r="498" spans="1:17" x14ac:dyDescent="0.25">
      <c r="A498" s="1" t="str">
        <f>Main_Data!A498</f>
        <v>Canada</v>
      </c>
      <c r="B498" s="1" t="str">
        <f>Main_Data!B498</f>
        <v>North America</v>
      </c>
      <c r="C498" s="1">
        <f>Main_Data!C498</f>
        <v>2022</v>
      </c>
      <c r="D498" s="1">
        <f>Main_Data!D498</f>
        <v>45389</v>
      </c>
      <c r="E498" s="1">
        <f>Main_Data!E498</f>
        <v>7.9</v>
      </c>
      <c r="F498" s="1">
        <f>Main_Data!F498</f>
        <v>69</v>
      </c>
      <c r="G498" s="1">
        <f>Main_Data!G498</f>
        <v>10172880</v>
      </c>
      <c r="H498" s="1">
        <f>Main_Data!H498</f>
        <v>70</v>
      </c>
      <c r="I498" s="1">
        <f>Main_Data!I498</f>
        <v>19.899999999999999</v>
      </c>
      <c r="J498" s="1">
        <f>Main_Data!J498</f>
        <v>94</v>
      </c>
      <c r="K498" s="1">
        <f>Main_Data!K498</f>
        <v>42</v>
      </c>
      <c r="L498" s="1" t="str">
        <f>Main_Data!L498</f>
        <v>North America</v>
      </c>
      <c r="M498" s="1" t="str">
        <f>PROPER(TRIM(Main_Data!A498))</f>
        <v>Canada</v>
      </c>
      <c r="N498" s="1" t="str">
        <f>PROPER(TRIM(Main_Data!B498))</f>
        <v>North America</v>
      </c>
      <c r="O498" s="1" t="str" cm="1">
        <f t="array" ref="O498">_xlfn.IFS(F498&gt;=80,"Very High",F498&gt;=70,"High",F498&gt;=60,"Medium",TRUE,"Low")</f>
        <v>Medium</v>
      </c>
      <c r="P498" s="1" t="str" cm="1">
        <f t="array" ref="P498">_xlfn.IFS(D498&gt;=40000,"High Income",D498&gt;=15000,"Middle Income",TRUE,"Low Income")</f>
        <v>High Income</v>
      </c>
      <c r="Q498" s="1" t="str">
        <f t="shared" si="7"/>
        <v>Duplicate</v>
      </c>
    </row>
    <row r="499" spans="1:17" x14ac:dyDescent="0.25">
      <c r="A499" s="1" t="str">
        <f>Main_Data!A499</f>
        <v>Australia</v>
      </c>
      <c r="B499" s="1" t="str">
        <f>Main_Data!B499</f>
        <v>Oceania</v>
      </c>
      <c r="C499" s="1">
        <f>Main_Data!C499</f>
        <v>2021</v>
      </c>
      <c r="D499" s="1">
        <f>Main_Data!D499</f>
        <v>10166</v>
      </c>
      <c r="E499" s="1">
        <f>Main_Data!E499</f>
        <v>4.9000000000000004</v>
      </c>
      <c r="F499" s="1">
        <f>Main_Data!F499</f>
        <v>67</v>
      </c>
      <c r="G499" s="1">
        <f>Main_Data!G499</f>
        <v>1045842962</v>
      </c>
      <c r="H499" s="1">
        <f>Main_Data!H499</f>
        <v>89</v>
      </c>
      <c r="I499" s="1">
        <f>Main_Data!I499</f>
        <v>15.2</v>
      </c>
      <c r="J499" s="1">
        <f>Main_Data!J499</f>
        <v>92</v>
      </c>
      <c r="K499" s="1">
        <f>Main_Data!K499</f>
        <v>45</v>
      </c>
      <c r="L499" s="1" t="str">
        <f>Main_Data!L499</f>
        <v>Oceania</v>
      </c>
      <c r="M499" s="1" t="str">
        <f>PROPER(TRIM(Main_Data!A499))</f>
        <v>Australia</v>
      </c>
      <c r="N499" s="1" t="str">
        <f>PROPER(TRIM(Main_Data!B499))</f>
        <v>Oceania</v>
      </c>
      <c r="O499" s="1" t="str" cm="1">
        <f t="array" ref="O499">_xlfn.IFS(F499&gt;=80,"Very High",F499&gt;=70,"High",F499&gt;=60,"Medium",TRUE,"Low")</f>
        <v>Medium</v>
      </c>
      <c r="P499" s="1" t="str" cm="1">
        <f t="array" ref="P499">_xlfn.IFS(D499&gt;=40000,"High Income",D499&gt;=15000,"Middle Income",TRUE,"Low Income")</f>
        <v>Low Income</v>
      </c>
      <c r="Q499" s="1" t="str">
        <f t="shared" si="7"/>
        <v>Duplicate</v>
      </c>
    </row>
    <row r="500" spans="1:17" x14ac:dyDescent="0.25">
      <c r="A500" s="1" t="str">
        <f>Main_Data!A500</f>
        <v>Japan</v>
      </c>
      <c r="B500" s="1" t="str">
        <f>Main_Data!B500</f>
        <v>East Asia</v>
      </c>
      <c r="C500" s="1">
        <f>Main_Data!C500</f>
        <v>2020</v>
      </c>
      <c r="D500" s="1">
        <f>Main_Data!D500</f>
        <v>67116</v>
      </c>
      <c r="E500" s="1">
        <f>Main_Data!E500</f>
        <v>15.6</v>
      </c>
      <c r="F500" s="1">
        <f>Main_Data!F500</f>
        <v>72</v>
      </c>
      <c r="G500" s="1">
        <f>Main_Data!G500</f>
        <v>1227974417</v>
      </c>
      <c r="H500" s="1">
        <f>Main_Data!H500</f>
        <v>76</v>
      </c>
      <c r="I500" s="1">
        <f>Main_Data!I500</f>
        <v>7.4</v>
      </c>
      <c r="J500" s="1">
        <f>Main_Data!J500</f>
        <v>92</v>
      </c>
      <c r="K500" s="1">
        <f>Main_Data!K500</f>
        <v>86</v>
      </c>
      <c r="L500" s="1" t="str">
        <f>Main_Data!L500</f>
        <v>Asia</v>
      </c>
      <c r="M500" s="1" t="str">
        <f>PROPER(TRIM(Main_Data!A500))</f>
        <v>Japan</v>
      </c>
      <c r="N500" s="1" t="str">
        <f>PROPER(TRIM(Main_Data!B500))</f>
        <v>East Asia</v>
      </c>
      <c r="O500" s="1" t="str" cm="1">
        <f t="array" ref="O500">_xlfn.IFS(F500&gt;=80,"Very High",F500&gt;=70,"High",F500&gt;=60,"Medium",TRUE,"Low")</f>
        <v>High</v>
      </c>
      <c r="P500" s="1" t="str" cm="1">
        <f t="array" ref="P500">_xlfn.IFS(D500&gt;=40000,"High Income",D500&gt;=15000,"Middle Income",TRUE,"Low Income")</f>
        <v>High Income</v>
      </c>
      <c r="Q500" s="1" t="str">
        <f t="shared" si="7"/>
        <v>Duplicate</v>
      </c>
    </row>
    <row r="501" spans="1:17" x14ac:dyDescent="0.25">
      <c r="A501" s="1" t="str">
        <f>Main_Data!A501</f>
        <v>South Africa</v>
      </c>
      <c r="B501" s="1" t="str">
        <f>Main_Data!B501</f>
        <v>Africa</v>
      </c>
      <c r="C501" s="1">
        <f>Main_Data!C501</f>
        <v>2020</v>
      </c>
      <c r="D501" s="1">
        <f>Main_Data!D501</f>
        <v>51044</v>
      </c>
      <c r="E501" s="1">
        <f>Main_Data!E501</f>
        <v>15.9</v>
      </c>
      <c r="F501" s="1">
        <f>Main_Data!F501</f>
        <v>82</v>
      </c>
      <c r="G501" s="1">
        <f>Main_Data!G501</f>
        <v>476370662</v>
      </c>
      <c r="H501" s="1">
        <f>Main_Data!H501</f>
        <v>94</v>
      </c>
      <c r="I501" s="1">
        <f>Main_Data!I501</f>
        <v>21.9</v>
      </c>
      <c r="J501" s="1">
        <f>Main_Data!J501</f>
        <v>87</v>
      </c>
      <c r="K501" s="1">
        <f>Main_Data!K501</f>
        <v>44</v>
      </c>
      <c r="L501" s="1" t="str">
        <f>Main_Data!L501</f>
        <v>Africa</v>
      </c>
      <c r="M501" s="1" t="str">
        <f>PROPER(TRIM(Main_Data!A501))</f>
        <v>South Africa</v>
      </c>
      <c r="N501" s="1" t="str">
        <f>PROPER(TRIM(Main_Data!B501))</f>
        <v>Africa</v>
      </c>
      <c r="O501" s="1" t="str" cm="1">
        <f t="array" ref="O501">_xlfn.IFS(F501&gt;=80,"Very High",F501&gt;=70,"High",F501&gt;=60,"Medium",TRUE,"Low")</f>
        <v>Very High</v>
      </c>
      <c r="P501" s="1" t="str" cm="1">
        <f t="array" ref="P501">_xlfn.IFS(D501&gt;=40000,"High Income",D501&gt;=15000,"Middle Income",TRUE,"Low Income")</f>
        <v>High Income</v>
      </c>
      <c r="Q501" s="1" t="str">
        <f t="shared" si="7"/>
        <v>Duplicate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D5" sqref="D5"/>
    </sheetView>
  </sheetViews>
  <sheetFormatPr defaultRowHeight="15" x14ac:dyDescent="0.25"/>
  <cols>
    <col min="1" max="1" width="12" bestFit="1" customWidth="1"/>
    <col min="2" max="2" width="14" bestFit="1" customWidth="1"/>
    <col min="3" max="3" width="8.85546875" bestFit="1" customWidth="1"/>
    <col min="4" max="4" width="14" bestFit="1" customWidth="1"/>
  </cols>
  <sheetData>
    <row r="1" spans="1:4" x14ac:dyDescent="0.25">
      <c r="A1" s="3" t="s">
        <v>35</v>
      </c>
      <c r="B1" s="3" t="s">
        <v>36</v>
      </c>
      <c r="C1" s="3" t="s">
        <v>37</v>
      </c>
      <c r="D1" s="3" t="s">
        <v>38</v>
      </c>
    </row>
    <row r="2" spans="1:4" x14ac:dyDescent="0.25">
      <c r="A2" s="1" t="str" cm="1">
        <f t="array" ref="A2:A11">_xlfn.UNIQUE(Main_Data!A2:A501)</f>
        <v>India</v>
      </c>
      <c r="B2" s="1" t="str" cm="1">
        <f t="array" ref="B2:B8">_xlfn.UNIQUE(Main_Data!B2:B501)</f>
        <v>South Asia</v>
      </c>
      <c r="C2" s="1" cm="1">
        <f t="array" ref="C2:C4">_xlfn.UNIQUE(Main_Data!C2:C501)</f>
        <v>2021</v>
      </c>
      <c r="D2" s="1" t="str" cm="1">
        <f t="array" ref="D2:D7">_xlfn.UNIQUE(Main_Data!L2:L501)</f>
        <v>Asia</v>
      </c>
    </row>
    <row r="3" spans="1:4" x14ac:dyDescent="0.25">
      <c r="A3" s="1" t="str">
        <v>USA</v>
      </c>
      <c r="B3" s="1" t="str">
        <v>North America</v>
      </c>
      <c r="C3" s="1">
        <v>2022</v>
      </c>
      <c r="D3" s="1" t="str">
        <v>North America</v>
      </c>
    </row>
    <row r="4" spans="1:4" x14ac:dyDescent="0.25">
      <c r="A4" s="1" t="str">
        <v>Germany</v>
      </c>
      <c r="B4" s="1" t="str">
        <v>Europe</v>
      </c>
      <c r="C4" s="1">
        <v>2020</v>
      </c>
      <c r="D4" s="1" t="str">
        <v>Europe</v>
      </c>
    </row>
    <row r="5" spans="1:4" x14ac:dyDescent="0.25">
      <c r="A5" s="1" t="str">
        <v>Brazil</v>
      </c>
      <c r="B5" s="1" t="str">
        <v>South America</v>
      </c>
      <c r="C5" s="1"/>
      <c r="D5" s="1" t="str">
        <v>South America</v>
      </c>
    </row>
    <row r="6" spans="1:4" x14ac:dyDescent="0.25">
      <c r="A6" s="1" t="str">
        <v>China</v>
      </c>
      <c r="B6" s="1" t="str">
        <v>East Asia</v>
      </c>
      <c r="C6" s="1"/>
      <c r="D6" s="1" t="str">
        <v>Oceania</v>
      </c>
    </row>
    <row r="7" spans="1:4" x14ac:dyDescent="0.25">
      <c r="A7" s="1" t="str">
        <v>UK</v>
      </c>
      <c r="B7" s="1" t="str">
        <v>Oceania</v>
      </c>
      <c r="C7" s="1"/>
      <c r="D7" s="1" t="str">
        <v>Africa</v>
      </c>
    </row>
    <row r="8" spans="1:4" x14ac:dyDescent="0.25">
      <c r="A8" s="1" t="str">
        <v>Canada</v>
      </c>
      <c r="B8" s="1" t="str">
        <v>Africa</v>
      </c>
      <c r="C8" s="1"/>
      <c r="D8" s="1"/>
    </row>
    <row r="9" spans="1:4" x14ac:dyDescent="0.25">
      <c r="A9" s="1" t="str">
        <v>Australia</v>
      </c>
      <c r="B9" s="1"/>
      <c r="C9" s="1"/>
      <c r="D9" s="1"/>
    </row>
    <row r="10" spans="1:4" x14ac:dyDescent="0.25">
      <c r="A10" s="1" t="str">
        <v>Japan</v>
      </c>
      <c r="B10" s="1"/>
      <c r="C10" s="1"/>
      <c r="D10" s="1"/>
    </row>
    <row r="11" spans="1:4" x14ac:dyDescent="0.25">
      <c r="A11" s="1" t="str">
        <v>South Africa</v>
      </c>
      <c r="B11" s="1"/>
      <c r="C11" s="1"/>
      <c r="D11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0"/>
  <sheetViews>
    <sheetView workbookViewId="0">
      <selection activeCell="I18" sqref="I18"/>
    </sheetView>
  </sheetViews>
  <sheetFormatPr defaultRowHeight="15" x14ac:dyDescent="0.25"/>
  <cols>
    <col min="1" max="1" width="11.7109375" bestFit="1" customWidth="1"/>
    <col min="2" max="2" width="19.85546875" bestFit="1" customWidth="1"/>
    <col min="3" max="3" width="11.85546875" bestFit="1" customWidth="1"/>
    <col min="4" max="4" width="14.42578125" bestFit="1" customWidth="1"/>
  </cols>
  <sheetData>
    <row r="1" spans="1:4" ht="15.75" x14ac:dyDescent="0.25">
      <c r="A1" s="4" t="s">
        <v>0</v>
      </c>
      <c r="B1" s="4" t="s">
        <v>39</v>
      </c>
      <c r="C1" s="5" t="s">
        <v>6</v>
      </c>
      <c r="D1" s="4" t="s">
        <v>10</v>
      </c>
    </row>
    <row r="2" spans="1:4" x14ac:dyDescent="0.25">
      <c r="A2" s="1" t="str">
        <f>Main_Data!A2</f>
        <v>India</v>
      </c>
      <c r="B2" s="1" t="str">
        <f>VLOOKUP(A2,Main_Data!A:B,2,FALSE)</f>
        <v>South Asia</v>
      </c>
      <c r="C2" s="1">
        <f>VLOOKUP(A2,Main_Data!A1:L501,7,FALSE)</f>
        <v>320755470</v>
      </c>
      <c r="D2" s="1">
        <f>VLOOKUP(A2,Main_Data!A1:L501,11,FALSE)</f>
        <v>43</v>
      </c>
    </row>
    <row r="3" spans="1:4" x14ac:dyDescent="0.25">
      <c r="A3" s="1" t="str">
        <f>Main_Data!A3</f>
        <v>USA</v>
      </c>
      <c r="B3" s="1" t="str">
        <f>VLOOKUP(A3,Main_Data!A:B,2,FALSE)</f>
        <v>North America</v>
      </c>
      <c r="C3" s="1">
        <f>VLOOKUP(A3,Main_Data!A2:L502,7,FALSE)</f>
        <v>779975845</v>
      </c>
      <c r="D3" s="1">
        <f>VLOOKUP(A3,Main_Data!A2:L502,11,FALSE)</f>
        <v>51</v>
      </c>
    </row>
    <row r="4" spans="1:4" x14ac:dyDescent="0.25">
      <c r="A4" s="1" t="str">
        <f>Main_Data!A4</f>
        <v>Germany</v>
      </c>
      <c r="B4" s="1" t="str">
        <f>VLOOKUP(A4,Main_Data!A:B,2,FALSE)</f>
        <v>Europe</v>
      </c>
      <c r="C4" s="1">
        <f>VLOOKUP(A4,Main_Data!A3:L503,7,FALSE)</f>
        <v>1024677989</v>
      </c>
      <c r="D4" s="1">
        <f>VLOOKUP(A4,Main_Data!A3:L503,11,FALSE)</f>
        <v>88</v>
      </c>
    </row>
    <row r="5" spans="1:4" x14ac:dyDescent="0.25">
      <c r="A5" s="1" t="str">
        <f>Main_Data!A5</f>
        <v>Brazil</v>
      </c>
      <c r="B5" s="1" t="str">
        <f>VLOOKUP(A5,Main_Data!A:B,2,FALSE)</f>
        <v>South America</v>
      </c>
      <c r="C5" s="1">
        <f>VLOOKUP(A5,Main_Data!A4:L504,7,FALSE)</f>
        <v>11982489</v>
      </c>
      <c r="D5" s="1">
        <f>VLOOKUP(A5,Main_Data!A4:L504,11,FALSE)</f>
        <v>60</v>
      </c>
    </row>
    <row r="6" spans="1:4" x14ac:dyDescent="0.25">
      <c r="A6" s="1" t="str">
        <f>Main_Data!A6</f>
        <v>China</v>
      </c>
      <c r="B6" s="1" t="str">
        <f>VLOOKUP(A6,Main_Data!A:B,2,FALSE)</f>
        <v>East Asia</v>
      </c>
      <c r="C6" s="1">
        <f>VLOOKUP(A6,Main_Data!A5:L505,7,FALSE)</f>
        <v>1398599595</v>
      </c>
      <c r="D6" s="1">
        <f>VLOOKUP(A6,Main_Data!A5:L505,11,FALSE)</f>
        <v>87</v>
      </c>
    </row>
    <row r="7" spans="1:4" x14ac:dyDescent="0.25">
      <c r="A7" s="1" t="str">
        <f>Main_Data!A7</f>
        <v>UK</v>
      </c>
      <c r="B7" s="1" t="str">
        <f>VLOOKUP(A7,Main_Data!A:B,2,FALSE)</f>
        <v>Europe</v>
      </c>
      <c r="C7" s="1">
        <f>VLOOKUP(A7,Main_Data!A6:L506,7,FALSE)</f>
        <v>225142920</v>
      </c>
      <c r="D7" s="1">
        <f>VLOOKUP(A7,Main_Data!A6:L506,11,FALSE)</f>
        <v>39</v>
      </c>
    </row>
    <row r="8" spans="1:4" x14ac:dyDescent="0.25">
      <c r="A8" s="1" t="str">
        <f>Main_Data!A8</f>
        <v>Canada</v>
      </c>
      <c r="B8" s="1" t="str">
        <f>VLOOKUP(A8,Main_Data!A:B,2,FALSE)</f>
        <v>North America</v>
      </c>
      <c r="C8" s="1">
        <f>VLOOKUP(A8,Main_Data!A7:L507,7,FALSE)</f>
        <v>1025519857</v>
      </c>
      <c r="D8" s="1">
        <f>VLOOKUP(A8,Main_Data!A7:L507,11,FALSE)</f>
        <v>42</v>
      </c>
    </row>
    <row r="9" spans="1:4" x14ac:dyDescent="0.25">
      <c r="A9" s="1" t="str">
        <f>Main_Data!A9</f>
        <v>Australia</v>
      </c>
      <c r="B9" s="1" t="str">
        <f>VLOOKUP(A9,Main_Data!A:B,2,FALSE)</f>
        <v>Oceania</v>
      </c>
      <c r="C9" s="1">
        <f>VLOOKUP(A9,Main_Data!A8:L508,7,FALSE)</f>
        <v>997430905</v>
      </c>
      <c r="D9" s="1">
        <f>VLOOKUP(A9,Main_Data!A8:L508,11,FALSE)</f>
        <v>64</v>
      </c>
    </row>
    <row r="10" spans="1:4" x14ac:dyDescent="0.25">
      <c r="A10" s="1" t="str">
        <f>Main_Data!A10</f>
        <v>Japan</v>
      </c>
      <c r="B10" s="1" t="str">
        <f>VLOOKUP(A10,Main_Data!A:B,2,FALSE)</f>
        <v>East Asia</v>
      </c>
      <c r="C10" s="1">
        <f>VLOOKUP(A10,Main_Data!A9:L509,7,FALSE)</f>
        <v>579162748</v>
      </c>
      <c r="D10" s="1">
        <f>VLOOKUP(A10,Main_Data!A9:L509,11,FALSE)</f>
        <v>47</v>
      </c>
    </row>
    <row r="11" spans="1:4" x14ac:dyDescent="0.25">
      <c r="A11" s="1" t="str">
        <f>Main_Data!A11</f>
        <v>South Africa</v>
      </c>
      <c r="B11" s="1" t="str">
        <f>VLOOKUP(A11,Main_Data!A:B,2,FALSE)</f>
        <v>Africa</v>
      </c>
      <c r="C11" s="1">
        <f>VLOOKUP(A11,Main_Data!A10:L510,7,FALSE)</f>
        <v>1150916965</v>
      </c>
      <c r="D11" s="1">
        <f>VLOOKUP(A11,Main_Data!A10:L510,11,FALSE)</f>
        <v>65</v>
      </c>
    </row>
    <row r="12" spans="1:4" x14ac:dyDescent="0.25">
      <c r="A12" s="1" t="str">
        <f>Main_Data!A12</f>
        <v>India</v>
      </c>
      <c r="B12" s="1" t="str">
        <f>VLOOKUP(A12,Main_Data!A:B,2,FALSE)</f>
        <v>South Asia</v>
      </c>
      <c r="C12" s="1">
        <f>VLOOKUP(A12,Main_Data!A11:L511,7,FALSE)</f>
        <v>583736500</v>
      </c>
      <c r="D12" s="1">
        <f>VLOOKUP(A12,Main_Data!A11:L511,11,FALSE)</f>
        <v>72</v>
      </c>
    </row>
    <row r="13" spans="1:4" x14ac:dyDescent="0.25">
      <c r="A13" s="1" t="str">
        <f>Main_Data!A13</f>
        <v>USA</v>
      </c>
      <c r="B13" s="1" t="str">
        <f>VLOOKUP(A13,Main_Data!A:B,2,FALSE)</f>
        <v>North America</v>
      </c>
      <c r="C13" s="1">
        <f>VLOOKUP(A13,Main_Data!A12:L512,7,FALSE)</f>
        <v>1491550777</v>
      </c>
      <c r="D13" s="1">
        <f>VLOOKUP(A13,Main_Data!A12:L512,11,FALSE)</f>
        <v>87</v>
      </c>
    </row>
    <row r="14" spans="1:4" x14ac:dyDescent="0.25">
      <c r="A14" s="1" t="str">
        <f>Main_Data!A14</f>
        <v>Germany</v>
      </c>
      <c r="B14" s="1" t="str">
        <f>VLOOKUP(A14,Main_Data!A:B,2,FALSE)</f>
        <v>Europe</v>
      </c>
      <c r="C14" s="1">
        <f>VLOOKUP(A14,Main_Data!A13:L513,7,FALSE)</f>
        <v>604209612</v>
      </c>
      <c r="D14" s="1">
        <f>VLOOKUP(A14,Main_Data!A13:L513,11,FALSE)</f>
        <v>46</v>
      </c>
    </row>
    <row r="15" spans="1:4" x14ac:dyDescent="0.25">
      <c r="A15" s="1" t="str">
        <f>Main_Data!A15</f>
        <v>Brazil</v>
      </c>
      <c r="B15" s="1" t="str">
        <f>VLOOKUP(A15,Main_Data!A:B,2,FALSE)</f>
        <v>South America</v>
      </c>
      <c r="C15" s="1">
        <f>VLOOKUP(A15,Main_Data!A14:L514,7,FALSE)</f>
        <v>900636370</v>
      </c>
      <c r="D15" s="1">
        <f>VLOOKUP(A15,Main_Data!A14:L514,11,FALSE)</f>
        <v>50</v>
      </c>
    </row>
    <row r="16" spans="1:4" x14ac:dyDescent="0.25">
      <c r="A16" s="1" t="str">
        <f>Main_Data!A16</f>
        <v>China</v>
      </c>
      <c r="B16" s="1" t="str">
        <f>VLOOKUP(A16,Main_Data!A:B,2,FALSE)</f>
        <v>East Asia</v>
      </c>
      <c r="C16" s="1">
        <f>VLOOKUP(A16,Main_Data!A15:L515,7,FALSE)</f>
        <v>781479156</v>
      </c>
      <c r="D16" s="1">
        <f>VLOOKUP(A16,Main_Data!A15:L515,11,FALSE)</f>
        <v>80</v>
      </c>
    </row>
    <row r="17" spans="1:4" x14ac:dyDescent="0.25">
      <c r="A17" s="1" t="str">
        <f>Main_Data!A17</f>
        <v>UK</v>
      </c>
      <c r="B17" s="1" t="str">
        <f>VLOOKUP(A17,Main_Data!A:B,2,FALSE)</f>
        <v>Europe</v>
      </c>
      <c r="C17" s="1">
        <f>VLOOKUP(A17,Main_Data!A16:L516,7,FALSE)</f>
        <v>248590736</v>
      </c>
      <c r="D17" s="1">
        <f>VLOOKUP(A17,Main_Data!A16:L516,11,FALSE)</f>
        <v>80</v>
      </c>
    </row>
    <row r="18" spans="1:4" x14ac:dyDescent="0.25">
      <c r="A18" s="1" t="str">
        <f>Main_Data!A18</f>
        <v>Canada</v>
      </c>
      <c r="B18" s="1" t="str">
        <f>VLOOKUP(A18,Main_Data!A:B,2,FALSE)</f>
        <v>North America</v>
      </c>
      <c r="C18" s="1">
        <f>VLOOKUP(A18,Main_Data!A17:L517,7,FALSE)</f>
        <v>226850356</v>
      </c>
      <c r="D18" s="1">
        <f>VLOOKUP(A18,Main_Data!A17:L517,11,FALSE)</f>
        <v>76</v>
      </c>
    </row>
    <row r="19" spans="1:4" x14ac:dyDescent="0.25">
      <c r="A19" s="1" t="str">
        <f>Main_Data!A19</f>
        <v>Australia</v>
      </c>
      <c r="B19" s="1" t="str">
        <f>VLOOKUP(A19,Main_Data!A:B,2,FALSE)</f>
        <v>Oceania</v>
      </c>
      <c r="C19" s="1">
        <f>VLOOKUP(A19,Main_Data!A18:L518,7,FALSE)</f>
        <v>1484327543</v>
      </c>
      <c r="D19" s="1">
        <f>VLOOKUP(A19,Main_Data!A18:L518,11,FALSE)</f>
        <v>33</v>
      </c>
    </row>
    <row r="20" spans="1:4" x14ac:dyDescent="0.25">
      <c r="A20" s="1" t="str">
        <f>Main_Data!A20</f>
        <v>Japan</v>
      </c>
      <c r="B20" s="1" t="str">
        <f>VLOOKUP(A20,Main_Data!A:B,2,FALSE)</f>
        <v>East Asia</v>
      </c>
      <c r="C20" s="1">
        <f>VLOOKUP(A20,Main_Data!A19:L519,7,FALSE)</f>
        <v>1397611416</v>
      </c>
      <c r="D20" s="1">
        <f>VLOOKUP(A20,Main_Data!A19:L519,11,FALSE)</f>
        <v>90</v>
      </c>
    </row>
    <row r="21" spans="1:4" x14ac:dyDescent="0.25">
      <c r="A21" s="1" t="str">
        <f>Main_Data!A21</f>
        <v>South Africa</v>
      </c>
      <c r="B21" s="1" t="str">
        <f>VLOOKUP(A21,Main_Data!A:B,2,FALSE)</f>
        <v>Africa</v>
      </c>
      <c r="C21" s="1">
        <f>VLOOKUP(A21,Main_Data!A20:L520,7,FALSE)</f>
        <v>85057374</v>
      </c>
      <c r="D21" s="1">
        <f>VLOOKUP(A21,Main_Data!A20:L520,11,FALSE)</f>
        <v>43</v>
      </c>
    </row>
    <row r="22" spans="1:4" x14ac:dyDescent="0.25">
      <c r="A22" s="1" t="str">
        <f>Main_Data!A22</f>
        <v>India</v>
      </c>
      <c r="B22" s="1" t="str">
        <f>VLOOKUP(A22,Main_Data!A:B,2,FALSE)</f>
        <v>South Asia</v>
      </c>
      <c r="C22" s="1">
        <f>VLOOKUP(A22,Main_Data!A21:L521,7,FALSE)</f>
        <v>1373510320</v>
      </c>
      <c r="D22" s="1">
        <f>VLOOKUP(A22,Main_Data!A21:L521,11,FALSE)</f>
        <v>37</v>
      </c>
    </row>
    <row r="23" spans="1:4" x14ac:dyDescent="0.25">
      <c r="A23" s="1" t="str">
        <f>Main_Data!A23</f>
        <v>USA</v>
      </c>
      <c r="B23" s="1" t="str">
        <f>VLOOKUP(A23,Main_Data!A:B,2,FALSE)</f>
        <v>North America</v>
      </c>
      <c r="C23" s="1">
        <f>VLOOKUP(A23,Main_Data!A22:L522,7,FALSE)</f>
        <v>971847595</v>
      </c>
      <c r="D23" s="1">
        <f>VLOOKUP(A23,Main_Data!A22:L522,11,FALSE)</f>
        <v>38</v>
      </c>
    </row>
    <row r="24" spans="1:4" x14ac:dyDescent="0.25">
      <c r="A24" s="1" t="str">
        <f>Main_Data!A24</f>
        <v>Germany</v>
      </c>
      <c r="B24" s="1" t="str">
        <f>VLOOKUP(A24,Main_Data!A:B,2,FALSE)</f>
        <v>Europe</v>
      </c>
      <c r="C24" s="1">
        <f>VLOOKUP(A24,Main_Data!A23:L523,7,FALSE)</f>
        <v>415702244</v>
      </c>
      <c r="D24" s="1">
        <f>VLOOKUP(A24,Main_Data!A23:L523,11,FALSE)</f>
        <v>74</v>
      </c>
    </row>
    <row r="25" spans="1:4" x14ac:dyDescent="0.25">
      <c r="A25" s="1" t="str">
        <f>Main_Data!A25</f>
        <v>Brazil</v>
      </c>
      <c r="B25" s="1" t="str">
        <f>VLOOKUP(A25,Main_Data!A:B,2,FALSE)</f>
        <v>South America</v>
      </c>
      <c r="C25" s="1">
        <f>VLOOKUP(A25,Main_Data!A24:L524,7,FALSE)</f>
        <v>781853496</v>
      </c>
      <c r="D25" s="1">
        <f>VLOOKUP(A25,Main_Data!A24:L524,11,FALSE)</f>
        <v>89</v>
      </c>
    </row>
    <row r="26" spans="1:4" x14ac:dyDescent="0.25">
      <c r="A26" s="1" t="str">
        <f>Main_Data!A26</f>
        <v>China</v>
      </c>
      <c r="B26" s="1" t="str">
        <f>VLOOKUP(A26,Main_Data!A:B,2,FALSE)</f>
        <v>East Asia</v>
      </c>
      <c r="C26" s="1">
        <f>VLOOKUP(A26,Main_Data!A25:L525,7,FALSE)</f>
        <v>558355032</v>
      </c>
      <c r="D26" s="1">
        <f>VLOOKUP(A26,Main_Data!A25:L525,11,FALSE)</f>
        <v>87</v>
      </c>
    </row>
    <row r="27" spans="1:4" x14ac:dyDescent="0.25">
      <c r="A27" s="1" t="str">
        <f>Main_Data!A27</f>
        <v>UK</v>
      </c>
      <c r="B27" s="1" t="str">
        <f>VLOOKUP(A27,Main_Data!A:B,2,FALSE)</f>
        <v>Europe</v>
      </c>
      <c r="C27" s="1">
        <f>VLOOKUP(A27,Main_Data!A26:L526,7,FALSE)</f>
        <v>793703952</v>
      </c>
      <c r="D27" s="1">
        <f>VLOOKUP(A27,Main_Data!A26:L526,11,FALSE)</f>
        <v>55</v>
      </c>
    </row>
    <row r="28" spans="1:4" x14ac:dyDescent="0.25">
      <c r="A28" s="1" t="str">
        <f>Main_Data!A28</f>
        <v>Canada</v>
      </c>
      <c r="B28" s="1" t="str">
        <f>VLOOKUP(A28,Main_Data!A:B,2,FALSE)</f>
        <v>North America</v>
      </c>
      <c r="C28" s="1">
        <f>VLOOKUP(A28,Main_Data!A27:L527,7,FALSE)</f>
        <v>987668740</v>
      </c>
      <c r="D28" s="1">
        <f>VLOOKUP(A28,Main_Data!A27:L527,11,FALSE)</f>
        <v>63</v>
      </c>
    </row>
    <row r="29" spans="1:4" x14ac:dyDescent="0.25">
      <c r="A29" s="1" t="str">
        <f>Main_Data!A29</f>
        <v>Australia</v>
      </c>
      <c r="B29" s="1" t="str">
        <f>VLOOKUP(A29,Main_Data!A:B,2,FALSE)</f>
        <v>Oceania</v>
      </c>
      <c r="C29" s="1">
        <f>VLOOKUP(A29,Main_Data!A28:L528,7,FALSE)</f>
        <v>1006359670</v>
      </c>
      <c r="D29" s="1">
        <f>VLOOKUP(A29,Main_Data!A28:L528,11,FALSE)</f>
        <v>71</v>
      </c>
    </row>
    <row r="30" spans="1:4" x14ac:dyDescent="0.25">
      <c r="A30" s="1" t="str">
        <f>Main_Data!A30</f>
        <v>Japan</v>
      </c>
      <c r="B30" s="1" t="str">
        <f>VLOOKUP(A30,Main_Data!A:B,2,FALSE)</f>
        <v>East Asia</v>
      </c>
      <c r="C30" s="1">
        <f>VLOOKUP(A30,Main_Data!A29:L529,7,FALSE)</f>
        <v>1361478031</v>
      </c>
      <c r="D30" s="1">
        <f>VLOOKUP(A30,Main_Data!A29:L529,11,FALSE)</f>
        <v>50</v>
      </c>
    </row>
    <row r="31" spans="1:4" x14ac:dyDescent="0.25">
      <c r="A31" s="1" t="str">
        <f>Main_Data!A31</f>
        <v>South Africa</v>
      </c>
      <c r="B31" s="1" t="str">
        <f>VLOOKUP(A31,Main_Data!A:B,2,FALSE)</f>
        <v>Africa</v>
      </c>
      <c r="C31" s="1">
        <f>VLOOKUP(A31,Main_Data!A30:L530,7,FALSE)</f>
        <v>1136140974</v>
      </c>
      <c r="D31" s="1">
        <f>VLOOKUP(A31,Main_Data!A30:L530,11,FALSE)</f>
        <v>61</v>
      </c>
    </row>
    <row r="32" spans="1:4" x14ac:dyDescent="0.25">
      <c r="A32" s="1" t="str">
        <f>Main_Data!A32</f>
        <v>India</v>
      </c>
      <c r="B32" s="1" t="str">
        <f>VLOOKUP(A32,Main_Data!A:B,2,FALSE)</f>
        <v>South Asia</v>
      </c>
      <c r="C32" s="1">
        <f>VLOOKUP(A32,Main_Data!A31:L531,7,FALSE)</f>
        <v>347279427</v>
      </c>
      <c r="D32" s="1">
        <f>VLOOKUP(A32,Main_Data!A31:L531,11,FALSE)</f>
        <v>54</v>
      </c>
    </row>
    <row r="33" spans="1:4" x14ac:dyDescent="0.25">
      <c r="A33" s="1" t="str">
        <f>Main_Data!A33</f>
        <v>USA</v>
      </c>
      <c r="B33" s="1" t="str">
        <f>VLOOKUP(A33,Main_Data!A:B,2,FALSE)</f>
        <v>North America</v>
      </c>
      <c r="C33" s="1">
        <f>VLOOKUP(A33,Main_Data!A32:L532,7,FALSE)</f>
        <v>1311001448</v>
      </c>
      <c r="D33" s="1">
        <f>VLOOKUP(A33,Main_Data!A32:L532,11,FALSE)</f>
        <v>87</v>
      </c>
    </row>
    <row r="34" spans="1:4" x14ac:dyDescent="0.25">
      <c r="A34" s="1" t="str">
        <f>Main_Data!A34</f>
        <v>Germany</v>
      </c>
      <c r="B34" s="1" t="str">
        <f>VLOOKUP(A34,Main_Data!A:B,2,FALSE)</f>
        <v>Europe</v>
      </c>
      <c r="C34" s="1">
        <f>VLOOKUP(A34,Main_Data!A33:L533,7,FALSE)</f>
        <v>518591098</v>
      </c>
      <c r="D34" s="1">
        <f>VLOOKUP(A34,Main_Data!A33:L533,11,FALSE)</f>
        <v>76</v>
      </c>
    </row>
    <row r="35" spans="1:4" x14ac:dyDescent="0.25">
      <c r="A35" s="1" t="str">
        <f>Main_Data!A35</f>
        <v>Brazil</v>
      </c>
      <c r="B35" s="1" t="str">
        <f>VLOOKUP(A35,Main_Data!A:B,2,FALSE)</f>
        <v>South America</v>
      </c>
      <c r="C35" s="1">
        <f>VLOOKUP(A35,Main_Data!A34:L534,7,FALSE)</f>
        <v>318736337</v>
      </c>
      <c r="D35" s="1">
        <f>VLOOKUP(A35,Main_Data!A34:L534,11,FALSE)</f>
        <v>62</v>
      </c>
    </row>
    <row r="36" spans="1:4" x14ac:dyDescent="0.25">
      <c r="A36" s="1" t="str">
        <f>Main_Data!A36</f>
        <v>China</v>
      </c>
      <c r="B36" s="1" t="str">
        <f>VLOOKUP(A36,Main_Data!A:B,2,FALSE)</f>
        <v>East Asia</v>
      </c>
      <c r="C36" s="1">
        <f>VLOOKUP(A36,Main_Data!A35:L535,7,FALSE)</f>
        <v>1162132779</v>
      </c>
      <c r="D36" s="1">
        <f>VLOOKUP(A36,Main_Data!A35:L535,11,FALSE)</f>
        <v>58</v>
      </c>
    </row>
    <row r="37" spans="1:4" x14ac:dyDescent="0.25">
      <c r="A37" s="1" t="str">
        <f>Main_Data!A37</f>
        <v>UK</v>
      </c>
      <c r="B37" s="1" t="str">
        <f>VLOOKUP(A37,Main_Data!A:B,2,FALSE)</f>
        <v>Europe</v>
      </c>
      <c r="C37" s="1">
        <f>VLOOKUP(A37,Main_Data!A36:L536,7,FALSE)</f>
        <v>607447700</v>
      </c>
      <c r="D37" s="1">
        <f>VLOOKUP(A37,Main_Data!A36:L536,11,FALSE)</f>
        <v>58</v>
      </c>
    </row>
    <row r="38" spans="1:4" x14ac:dyDescent="0.25">
      <c r="A38" s="1" t="str">
        <f>Main_Data!A38</f>
        <v>Canada</v>
      </c>
      <c r="B38" s="1" t="str">
        <f>VLOOKUP(A38,Main_Data!A:B,2,FALSE)</f>
        <v>North America</v>
      </c>
      <c r="C38" s="1">
        <f>VLOOKUP(A38,Main_Data!A37:L537,7,FALSE)</f>
        <v>661569142</v>
      </c>
      <c r="D38" s="1">
        <f>VLOOKUP(A38,Main_Data!A37:L537,11,FALSE)</f>
        <v>87</v>
      </c>
    </row>
    <row r="39" spans="1:4" x14ac:dyDescent="0.25">
      <c r="A39" s="1" t="str">
        <f>Main_Data!A39</f>
        <v>Australia</v>
      </c>
      <c r="B39" s="1" t="str">
        <f>VLOOKUP(A39,Main_Data!A:B,2,FALSE)</f>
        <v>Oceania</v>
      </c>
      <c r="C39" s="1">
        <f>VLOOKUP(A39,Main_Data!A38:L538,7,FALSE)</f>
        <v>1335176541</v>
      </c>
      <c r="D39" s="1">
        <f>VLOOKUP(A39,Main_Data!A38:L538,11,FALSE)</f>
        <v>69</v>
      </c>
    </row>
    <row r="40" spans="1:4" x14ac:dyDescent="0.25">
      <c r="A40" s="1" t="str">
        <f>Main_Data!A40</f>
        <v>Japan</v>
      </c>
      <c r="B40" s="1" t="str">
        <f>VLOOKUP(A40,Main_Data!A:B,2,FALSE)</f>
        <v>East Asia</v>
      </c>
      <c r="C40" s="1">
        <f>VLOOKUP(A40,Main_Data!A39:L539,7,FALSE)</f>
        <v>805568777</v>
      </c>
      <c r="D40" s="1">
        <f>VLOOKUP(A40,Main_Data!A39:L539,11,FALSE)</f>
        <v>33</v>
      </c>
    </row>
    <row r="41" spans="1:4" x14ac:dyDescent="0.25">
      <c r="A41" s="1" t="str">
        <f>Main_Data!A41</f>
        <v>South Africa</v>
      </c>
      <c r="B41" s="1" t="str">
        <f>VLOOKUP(A41,Main_Data!A:B,2,FALSE)</f>
        <v>Africa</v>
      </c>
      <c r="C41" s="1">
        <f>VLOOKUP(A41,Main_Data!A40:L540,7,FALSE)</f>
        <v>325233161</v>
      </c>
      <c r="D41" s="1">
        <f>VLOOKUP(A41,Main_Data!A40:L540,11,FALSE)</f>
        <v>50</v>
      </c>
    </row>
    <row r="42" spans="1:4" x14ac:dyDescent="0.25">
      <c r="A42" s="1" t="str">
        <f>Main_Data!A42</f>
        <v>India</v>
      </c>
      <c r="B42" s="1" t="str">
        <f>VLOOKUP(A42,Main_Data!A:B,2,FALSE)</f>
        <v>South Asia</v>
      </c>
      <c r="C42" s="1">
        <f>VLOOKUP(A42,Main_Data!A41:L541,7,FALSE)</f>
        <v>1036423983</v>
      </c>
      <c r="D42" s="1">
        <f>VLOOKUP(A42,Main_Data!A41:L541,11,FALSE)</f>
        <v>52</v>
      </c>
    </row>
    <row r="43" spans="1:4" x14ac:dyDescent="0.25">
      <c r="A43" s="1" t="str">
        <f>Main_Data!A43</f>
        <v>USA</v>
      </c>
      <c r="B43" s="1" t="str">
        <f>VLOOKUP(A43,Main_Data!A:B,2,FALSE)</f>
        <v>North America</v>
      </c>
      <c r="C43" s="1">
        <f>VLOOKUP(A43,Main_Data!A42:L542,7,FALSE)</f>
        <v>502614406</v>
      </c>
      <c r="D43" s="1">
        <f>VLOOKUP(A43,Main_Data!A42:L542,11,FALSE)</f>
        <v>55</v>
      </c>
    </row>
    <row r="44" spans="1:4" x14ac:dyDescent="0.25">
      <c r="A44" s="1" t="str">
        <f>Main_Data!A44</f>
        <v>Germany</v>
      </c>
      <c r="B44" s="1" t="str">
        <f>VLOOKUP(A44,Main_Data!A:B,2,FALSE)</f>
        <v>Europe</v>
      </c>
      <c r="C44" s="1">
        <f>VLOOKUP(A44,Main_Data!A43:L543,7,FALSE)</f>
        <v>1073893367</v>
      </c>
      <c r="D44" s="1">
        <f>VLOOKUP(A44,Main_Data!A43:L543,11,FALSE)</f>
        <v>40</v>
      </c>
    </row>
    <row r="45" spans="1:4" x14ac:dyDescent="0.25">
      <c r="A45" s="1" t="str">
        <f>Main_Data!A45</f>
        <v>Brazil</v>
      </c>
      <c r="B45" s="1" t="str">
        <f>VLOOKUP(A45,Main_Data!A:B,2,FALSE)</f>
        <v>South America</v>
      </c>
      <c r="C45" s="1">
        <f>VLOOKUP(A45,Main_Data!A44:L544,7,FALSE)</f>
        <v>422096839</v>
      </c>
      <c r="D45" s="1">
        <f>VLOOKUP(A45,Main_Data!A44:L544,11,FALSE)</f>
        <v>81</v>
      </c>
    </row>
    <row r="46" spans="1:4" x14ac:dyDescent="0.25">
      <c r="A46" s="1" t="str">
        <f>Main_Data!A46</f>
        <v>China</v>
      </c>
      <c r="B46" s="1" t="str">
        <f>VLOOKUP(A46,Main_Data!A:B,2,FALSE)</f>
        <v>East Asia</v>
      </c>
      <c r="C46" s="1">
        <f>VLOOKUP(A46,Main_Data!A45:L545,7,FALSE)</f>
        <v>1099672665</v>
      </c>
      <c r="D46" s="1">
        <f>VLOOKUP(A46,Main_Data!A45:L545,11,FALSE)</f>
        <v>58</v>
      </c>
    </row>
    <row r="47" spans="1:4" x14ac:dyDescent="0.25">
      <c r="A47" s="1" t="str">
        <f>Main_Data!A47</f>
        <v>UK</v>
      </c>
      <c r="B47" s="1" t="str">
        <f>VLOOKUP(A47,Main_Data!A:B,2,FALSE)</f>
        <v>Europe</v>
      </c>
      <c r="C47" s="1">
        <f>VLOOKUP(A47,Main_Data!A46:L546,7,FALSE)</f>
        <v>592002155</v>
      </c>
      <c r="D47" s="1">
        <f>VLOOKUP(A47,Main_Data!A46:L546,11,FALSE)</f>
        <v>60</v>
      </c>
    </row>
    <row r="48" spans="1:4" x14ac:dyDescent="0.25">
      <c r="A48" s="1" t="str">
        <f>Main_Data!A48</f>
        <v>Canada</v>
      </c>
      <c r="B48" s="1" t="str">
        <f>VLOOKUP(A48,Main_Data!A:B,2,FALSE)</f>
        <v>North America</v>
      </c>
      <c r="C48" s="1">
        <f>VLOOKUP(A48,Main_Data!A47:L547,7,FALSE)</f>
        <v>1014884760</v>
      </c>
      <c r="D48" s="1">
        <f>VLOOKUP(A48,Main_Data!A47:L547,11,FALSE)</f>
        <v>62</v>
      </c>
    </row>
    <row r="49" spans="1:4" x14ac:dyDescent="0.25">
      <c r="A49" s="1" t="str">
        <f>Main_Data!A49</f>
        <v>Australia</v>
      </c>
      <c r="B49" s="1" t="str">
        <f>VLOOKUP(A49,Main_Data!A:B,2,FALSE)</f>
        <v>Oceania</v>
      </c>
      <c r="C49" s="1">
        <f>VLOOKUP(A49,Main_Data!A48:L548,7,FALSE)</f>
        <v>53256055</v>
      </c>
      <c r="D49" s="1">
        <f>VLOOKUP(A49,Main_Data!A48:L548,11,FALSE)</f>
        <v>89</v>
      </c>
    </row>
    <row r="50" spans="1:4" x14ac:dyDescent="0.25">
      <c r="A50" s="1" t="str">
        <f>Main_Data!A50</f>
        <v>Japan</v>
      </c>
      <c r="B50" s="1" t="str">
        <f>VLOOKUP(A50,Main_Data!A:B,2,FALSE)</f>
        <v>East Asia</v>
      </c>
      <c r="C50" s="1">
        <f>VLOOKUP(A50,Main_Data!A49:L549,7,FALSE)</f>
        <v>852373935</v>
      </c>
      <c r="D50" s="1">
        <f>VLOOKUP(A50,Main_Data!A49:L549,11,FALSE)</f>
        <v>44</v>
      </c>
    </row>
    <row r="51" spans="1:4" x14ac:dyDescent="0.25">
      <c r="A51" s="1" t="str">
        <f>Main_Data!A51</f>
        <v>South Africa</v>
      </c>
      <c r="B51" s="1" t="str">
        <f>VLOOKUP(A51,Main_Data!A:B,2,FALSE)</f>
        <v>Africa</v>
      </c>
      <c r="C51" s="1">
        <f>VLOOKUP(A51,Main_Data!A50:L550,7,FALSE)</f>
        <v>103435563</v>
      </c>
      <c r="D51" s="1">
        <f>VLOOKUP(A51,Main_Data!A50:L550,11,FALSE)</f>
        <v>59</v>
      </c>
    </row>
    <row r="52" spans="1:4" x14ac:dyDescent="0.25">
      <c r="A52" s="1" t="str">
        <f>Main_Data!A52</f>
        <v>India</v>
      </c>
      <c r="B52" s="1" t="str">
        <f>VLOOKUP(A52,Main_Data!A:B,2,FALSE)</f>
        <v>South Asia</v>
      </c>
      <c r="C52" s="1">
        <f>VLOOKUP(A52,Main_Data!A51:L551,7,FALSE)</f>
        <v>407781416</v>
      </c>
      <c r="D52" s="1">
        <f>VLOOKUP(A52,Main_Data!A51:L551,11,FALSE)</f>
        <v>67</v>
      </c>
    </row>
    <row r="53" spans="1:4" x14ac:dyDescent="0.25">
      <c r="A53" s="1" t="str">
        <f>Main_Data!A53</f>
        <v>USA</v>
      </c>
      <c r="B53" s="1" t="str">
        <f>VLOOKUP(A53,Main_Data!A:B,2,FALSE)</f>
        <v>North America</v>
      </c>
      <c r="C53" s="1">
        <f>VLOOKUP(A53,Main_Data!A52:L552,7,FALSE)</f>
        <v>982998397</v>
      </c>
      <c r="D53" s="1">
        <f>VLOOKUP(A53,Main_Data!A52:L552,11,FALSE)</f>
        <v>78</v>
      </c>
    </row>
    <row r="54" spans="1:4" x14ac:dyDescent="0.25">
      <c r="A54" s="1" t="str">
        <f>Main_Data!A54</f>
        <v>Germany</v>
      </c>
      <c r="B54" s="1" t="str">
        <f>VLOOKUP(A54,Main_Data!A:B,2,FALSE)</f>
        <v>Europe</v>
      </c>
      <c r="C54" s="1">
        <f>VLOOKUP(A54,Main_Data!A53:L553,7,FALSE)</f>
        <v>1484677109</v>
      </c>
      <c r="D54" s="1">
        <f>VLOOKUP(A54,Main_Data!A53:L553,11,FALSE)</f>
        <v>37</v>
      </c>
    </row>
    <row r="55" spans="1:4" x14ac:dyDescent="0.25">
      <c r="A55" s="1" t="str">
        <f>Main_Data!A55</f>
        <v>Brazil</v>
      </c>
      <c r="B55" s="1" t="str">
        <f>VLOOKUP(A55,Main_Data!A:B,2,FALSE)</f>
        <v>South America</v>
      </c>
      <c r="C55" s="1">
        <f>VLOOKUP(A55,Main_Data!A54:L554,7,FALSE)</f>
        <v>1036525703</v>
      </c>
      <c r="D55" s="1">
        <f>VLOOKUP(A55,Main_Data!A54:L554,11,FALSE)</f>
        <v>68</v>
      </c>
    </row>
    <row r="56" spans="1:4" x14ac:dyDescent="0.25">
      <c r="A56" s="1" t="str">
        <f>Main_Data!A56</f>
        <v>China</v>
      </c>
      <c r="B56" s="1" t="str">
        <f>VLOOKUP(A56,Main_Data!A:B,2,FALSE)</f>
        <v>East Asia</v>
      </c>
      <c r="C56" s="1">
        <f>VLOOKUP(A56,Main_Data!A55:L555,7,FALSE)</f>
        <v>1417363838</v>
      </c>
      <c r="D56" s="1">
        <f>VLOOKUP(A56,Main_Data!A55:L555,11,FALSE)</f>
        <v>47</v>
      </c>
    </row>
    <row r="57" spans="1:4" x14ac:dyDescent="0.25">
      <c r="A57" s="1" t="str">
        <f>Main_Data!A57</f>
        <v>UK</v>
      </c>
      <c r="B57" s="1" t="str">
        <f>VLOOKUP(A57,Main_Data!A:B,2,FALSE)</f>
        <v>Europe</v>
      </c>
      <c r="C57" s="1">
        <f>VLOOKUP(A57,Main_Data!A56:L556,7,FALSE)</f>
        <v>653352950</v>
      </c>
      <c r="D57" s="1">
        <f>VLOOKUP(A57,Main_Data!A56:L556,11,FALSE)</f>
        <v>36</v>
      </c>
    </row>
    <row r="58" spans="1:4" x14ac:dyDescent="0.25">
      <c r="A58" s="1" t="str">
        <f>Main_Data!A58</f>
        <v>Canada</v>
      </c>
      <c r="B58" s="1" t="str">
        <f>VLOOKUP(A58,Main_Data!A:B,2,FALSE)</f>
        <v>North America</v>
      </c>
      <c r="C58" s="1">
        <f>VLOOKUP(A58,Main_Data!A57:L557,7,FALSE)</f>
        <v>385133136</v>
      </c>
      <c r="D58" s="1">
        <f>VLOOKUP(A58,Main_Data!A57:L557,11,FALSE)</f>
        <v>82</v>
      </c>
    </row>
    <row r="59" spans="1:4" x14ac:dyDescent="0.25">
      <c r="A59" s="1" t="str">
        <f>Main_Data!A59</f>
        <v>Australia</v>
      </c>
      <c r="B59" s="1" t="str">
        <f>VLOOKUP(A59,Main_Data!A:B,2,FALSE)</f>
        <v>Oceania</v>
      </c>
      <c r="C59" s="1">
        <f>VLOOKUP(A59,Main_Data!A58:L558,7,FALSE)</f>
        <v>868606524</v>
      </c>
      <c r="D59" s="1">
        <f>VLOOKUP(A59,Main_Data!A58:L558,11,FALSE)</f>
        <v>89</v>
      </c>
    </row>
    <row r="60" spans="1:4" x14ac:dyDescent="0.25">
      <c r="A60" s="1" t="str">
        <f>Main_Data!A60</f>
        <v>Japan</v>
      </c>
      <c r="B60" s="1" t="str">
        <f>VLOOKUP(A60,Main_Data!A:B,2,FALSE)</f>
        <v>East Asia</v>
      </c>
      <c r="C60" s="1">
        <f>VLOOKUP(A60,Main_Data!A59:L559,7,FALSE)</f>
        <v>147609180</v>
      </c>
      <c r="D60" s="1">
        <f>VLOOKUP(A60,Main_Data!A59:L559,11,FALSE)</f>
        <v>54</v>
      </c>
    </row>
    <row r="61" spans="1:4" x14ac:dyDescent="0.25">
      <c r="A61" s="1" t="str">
        <f>Main_Data!A61</f>
        <v>South Africa</v>
      </c>
      <c r="B61" s="1" t="str">
        <f>VLOOKUP(A61,Main_Data!A:B,2,FALSE)</f>
        <v>Africa</v>
      </c>
      <c r="C61" s="1">
        <f>VLOOKUP(A61,Main_Data!A60:L560,7,FALSE)</f>
        <v>990411739</v>
      </c>
      <c r="D61" s="1">
        <f>VLOOKUP(A61,Main_Data!A60:L560,11,FALSE)</f>
        <v>58</v>
      </c>
    </row>
    <row r="62" spans="1:4" x14ac:dyDescent="0.25">
      <c r="A62" s="1" t="str">
        <f>Main_Data!A62</f>
        <v>India</v>
      </c>
      <c r="B62" s="1" t="str">
        <f>VLOOKUP(A62,Main_Data!A:B,2,FALSE)</f>
        <v>South Asia</v>
      </c>
      <c r="C62" s="1">
        <f>VLOOKUP(A62,Main_Data!A61:L561,7,FALSE)</f>
        <v>548157662</v>
      </c>
      <c r="D62" s="1">
        <f>VLOOKUP(A62,Main_Data!A61:L561,11,FALSE)</f>
        <v>71</v>
      </c>
    </row>
    <row r="63" spans="1:4" x14ac:dyDescent="0.25">
      <c r="A63" s="1" t="str">
        <f>Main_Data!A63</f>
        <v>USA</v>
      </c>
      <c r="B63" s="1" t="str">
        <f>VLOOKUP(A63,Main_Data!A:B,2,FALSE)</f>
        <v>North America</v>
      </c>
      <c r="C63" s="1">
        <f>VLOOKUP(A63,Main_Data!A62:L562,7,FALSE)</f>
        <v>1419064325</v>
      </c>
      <c r="D63" s="1">
        <f>VLOOKUP(A63,Main_Data!A62:L562,11,FALSE)</f>
        <v>76</v>
      </c>
    </row>
    <row r="64" spans="1:4" x14ac:dyDescent="0.25">
      <c r="A64" s="1" t="str">
        <f>Main_Data!A64</f>
        <v>Germany</v>
      </c>
      <c r="B64" s="1" t="str">
        <f>VLOOKUP(A64,Main_Data!A:B,2,FALSE)</f>
        <v>Europe</v>
      </c>
      <c r="C64" s="1">
        <f>VLOOKUP(A64,Main_Data!A63:L563,7,FALSE)</f>
        <v>989617288</v>
      </c>
      <c r="D64" s="1">
        <f>VLOOKUP(A64,Main_Data!A63:L563,11,FALSE)</f>
        <v>86</v>
      </c>
    </row>
    <row r="65" spans="1:4" x14ac:dyDescent="0.25">
      <c r="A65" s="1" t="str">
        <f>Main_Data!A65</f>
        <v>Brazil</v>
      </c>
      <c r="B65" s="1" t="str">
        <f>VLOOKUP(A65,Main_Data!A:B,2,FALSE)</f>
        <v>South America</v>
      </c>
      <c r="C65" s="1">
        <f>VLOOKUP(A65,Main_Data!A64:L564,7,FALSE)</f>
        <v>1460834804</v>
      </c>
      <c r="D65" s="1">
        <f>VLOOKUP(A65,Main_Data!A64:L564,11,FALSE)</f>
        <v>77</v>
      </c>
    </row>
    <row r="66" spans="1:4" x14ac:dyDescent="0.25">
      <c r="A66" s="1" t="str">
        <f>Main_Data!A66</f>
        <v>China</v>
      </c>
      <c r="B66" s="1" t="str">
        <f>VLOOKUP(A66,Main_Data!A:B,2,FALSE)</f>
        <v>East Asia</v>
      </c>
      <c r="C66" s="1">
        <f>VLOOKUP(A66,Main_Data!A65:L565,7,FALSE)</f>
        <v>399265416</v>
      </c>
      <c r="D66" s="1">
        <f>VLOOKUP(A66,Main_Data!A65:L565,11,FALSE)</f>
        <v>39</v>
      </c>
    </row>
    <row r="67" spans="1:4" x14ac:dyDescent="0.25">
      <c r="A67" s="1" t="str">
        <f>Main_Data!A67</f>
        <v>UK</v>
      </c>
      <c r="B67" s="1" t="str">
        <f>VLOOKUP(A67,Main_Data!A:B,2,FALSE)</f>
        <v>Europe</v>
      </c>
      <c r="C67" s="1">
        <f>VLOOKUP(A67,Main_Data!A66:L566,7,FALSE)</f>
        <v>997000219</v>
      </c>
      <c r="D67" s="1">
        <f>VLOOKUP(A67,Main_Data!A66:L566,11,FALSE)</f>
        <v>83</v>
      </c>
    </row>
    <row r="68" spans="1:4" x14ac:dyDescent="0.25">
      <c r="A68" s="1" t="str">
        <f>Main_Data!A68</f>
        <v>Canada</v>
      </c>
      <c r="B68" s="1" t="str">
        <f>VLOOKUP(A68,Main_Data!A:B,2,FALSE)</f>
        <v>North America</v>
      </c>
      <c r="C68" s="1">
        <f>VLOOKUP(A68,Main_Data!A67:L567,7,FALSE)</f>
        <v>918107039</v>
      </c>
      <c r="D68" s="1">
        <f>VLOOKUP(A68,Main_Data!A67:L567,11,FALSE)</f>
        <v>70</v>
      </c>
    </row>
    <row r="69" spans="1:4" x14ac:dyDescent="0.25">
      <c r="A69" s="1" t="str">
        <f>Main_Data!A69</f>
        <v>Australia</v>
      </c>
      <c r="B69" s="1" t="str">
        <f>VLOOKUP(A69,Main_Data!A:B,2,FALSE)</f>
        <v>Oceania</v>
      </c>
      <c r="C69" s="1">
        <f>VLOOKUP(A69,Main_Data!A68:L568,7,FALSE)</f>
        <v>1171399308</v>
      </c>
      <c r="D69" s="1">
        <f>VLOOKUP(A69,Main_Data!A68:L568,11,FALSE)</f>
        <v>53</v>
      </c>
    </row>
    <row r="70" spans="1:4" x14ac:dyDescent="0.25">
      <c r="A70" s="1" t="str">
        <f>Main_Data!A70</f>
        <v>Japan</v>
      </c>
      <c r="B70" s="1" t="str">
        <f>VLOOKUP(A70,Main_Data!A:B,2,FALSE)</f>
        <v>East Asia</v>
      </c>
      <c r="C70" s="1">
        <f>VLOOKUP(A70,Main_Data!A69:L569,7,FALSE)</f>
        <v>312512490</v>
      </c>
      <c r="D70" s="1">
        <f>VLOOKUP(A70,Main_Data!A69:L569,11,FALSE)</f>
        <v>74</v>
      </c>
    </row>
    <row r="71" spans="1:4" x14ac:dyDescent="0.25">
      <c r="A71" s="1" t="str">
        <f>Main_Data!A71</f>
        <v>South Africa</v>
      </c>
      <c r="B71" s="1" t="str">
        <f>VLOOKUP(A71,Main_Data!A:B,2,FALSE)</f>
        <v>Africa</v>
      </c>
      <c r="C71" s="1">
        <f>VLOOKUP(A71,Main_Data!A70:L570,7,FALSE)</f>
        <v>791588961</v>
      </c>
      <c r="D71" s="1">
        <f>VLOOKUP(A71,Main_Data!A70:L570,11,FALSE)</f>
        <v>75</v>
      </c>
    </row>
    <row r="72" spans="1:4" x14ac:dyDescent="0.25">
      <c r="A72" s="1" t="str">
        <f>Main_Data!A72</f>
        <v>India</v>
      </c>
      <c r="B72" s="1" t="str">
        <f>VLOOKUP(A72,Main_Data!A:B,2,FALSE)</f>
        <v>South Asia</v>
      </c>
      <c r="C72" s="1">
        <f>VLOOKUP(A72,Main_Data!A71:L571,7,FALSE)</f>
        <v>1208978621</v>
      </c>
      <c r="D72" s="1">
        <f>VLOOKUP(A72,Main_Data!A71:L571,11,FALSE)</f>
        <v>47</v>
      </c>
    </row>
    <row r="73" spans="1:4" x14ac:dyDescent="0.25">
      <c r="A73" s="1" t="str">
        <f>Main_Data!A73</f>
        <v>USA</v>
      </c>
      <c r="B73" s="1" t="str">
        <f>VLOOKUP(A73,Main_Data!A:B,2,FALSE)</f>
        <v>North America</v>
      </c>
      <c r="C73" s="1">
        <f>VLOOKUP(A73,Main_Data!A72:L572,7,FALSE)</f>
        <v>1446031562</v>
      </c>
      <c r="D73" s="1">
        <f>VLOOKUP(A73,Main_Data!A72:L572,11,FALSE)</f>
        <v>72</v>
      </c>
    </row>
    <row r="74" spans="1:4" x14ac:dyDescent="0.25">
      <c r="A74" s="1" t="str">
        <f>Main_Data!A74</f>
        <v>Germany</v>
      </c>
      <c r="B74" s="1" t="str">
        <f>VLOOKUP(A74,Main_Data!A:B,2,FALSE)</f>
        <v>Europe</v>
      </c>
      <c r="C74" s="1">
        <f>VLOOKUP(A74,Main_Data!A73:L573,7,FALSE)</f>
        <v>15001276</v>
      </c>
      <c r="D74" s="1">
        <f>VLOOKUP(A74,Main_Data!A73:L573,11,FALSE)</f>
        <v>53</v>
      </c>
    </row>
    <row r="75" spans="1:4" x14ac:dyDescent="0.25">
      <c r="A75" s="1" t="str">
        <f>Main_Data!A75</f>
        <v>Brazil</v>
      </c>
      <c r="B75" s="1" t="str">
        <f>VLOOKUP(A75,Main_Data!A:B,2,FALSE)</f>
        <v>South America</v>
      </c>
      <c r="C75" s="1">
        <f>VLOOKUP(A75,Main_Data!A74:L574,7,FALSE)</f>
        <v>977544151</v>
      </c>
      <c r="D75" s="1">
        <f>VLOOKUP(A75,Main_Data!A74:L574,11,FALSE)</f>
        <v>51</v>
      </c>
    </row>
    <row r="76" spans="1:4" x14ac:dyDescent="0.25">
      <c r="A76" s="1" t="str">
        <f>Main_Data!A76</f>
        <v>China</v>
      </c>
      <c r="B76" s="1" t="str">
        <f>VLOOKUP(A76,Main_Data!A:B,2,FALSE)</f>
        <v>East Asia</v>
      </c>
      <c r="C76" s="1">
        <f>VLOOKUP(A76,Main_Data!A75:L575,7,FALSE)</f>
        <v>632459210</v>
      </c>
      <c r="D76" s="1">
        <f>VLOOKUP(A76,Main_Data!A75:L575,11,FALSE)</f>
        <v>57</v>
      </c>
    </row>
    <row r="77" spans="1:4" x14ac:dyDescent="0.25">
      <c r="A77" s="1" t="str">
        <f>Main_Data!A77</f>
        <v>UK</v>
      </c>
      <c r="B77" s="1" t="str">
        <f>VLOOKUP(A77,Main_Data!A:B,2,FALSE)</f>
        <v>Europe</v>
      </c>
      <c r="C77" s="1">
        <f>VLOOKUP(A77,Main_Data!A76:L576,7,FALSE)</f>
        <v>100505635</v>
      </c>
      <c r="D77" s="1">
        <f>VLOOKUP(A77,Main_Data!A76:L576,11,FALSE)</f>
        <v>59</v>
      </c>
    </row>
    <row r="78" spans="1:4" x14ac:dyDescent="0.25">
      <c r="A78" s="1" t="str">
        <f>Main_Data!A78</f>
        <v>Canada</v>
      </c>
      <c r="B78" s="1" t="str">
        <f>VLOOKUP(A78,Main_Data!A:B,2,FALSE)</f>
        <v>North America</v>
      </c>
      <c r="C78" s="1">
        <f>VLOOKUP(A78,Main_Data!A77:L577,7,FALSE)</f>
        <v>463168449</v>
      </c>
      <c r="D78" s="1">
        <f>VLOOKUP(A78,Main_Data!A77:L577,11,FALSE)</f>
        <v>39</v>
      </c>
    </row>
    <row r="79" spans="1:4" x14ac:dyDescent="0.25">
      <c r="A79" s="1" t="str">
        <f>Main_Data!A79</f>
        <v>Australia</v>
      </c>
      <c r="B79" s="1" t="str">
        <f>VLOOKUP(A79,Main_Data!A:B,2,FALSE)</f>
        <v>Oceania</v>
      </c>
      <c r="C79" s="1">
        <f>VLOOKUP(A79,Main_Data!A78:L578,7,FALSE)</f>
        <v>536876061</v>
      </c>
      <c r="D79" s="1">
        <f>VLOOKUP(A79,Main_Data!A78:L578,11,FALSE)</f>
        <v>90</v>
      </c>
    </row>
    <row r="80" spans="1:4" x14ac:dyDescent="0.25">
      <c r="A80" s="1" t="str">
        <f>Main_Data!A80</f>
        <v>Japan</v>
      </c>
      <c r="B80" s="1" t="str">
        <f>VLOOKUP(A80,Main_Data!A:B,2,FALSE)</f>
        <v>East Asia</v>
      </c>
      <c r="C80" s="1">
        <f>VLOOKUP(A80,Main_Data!A79:L579,7,FALSE)</f>
        <v>939466196</v>
      </c>
      <c r="D80" s="1">
        <f>VLOOKUP(A80,Main_Data!A79:L579,11,FALSE)</f>
        <v>66</v>
      </c>
    </row>
    <row r="81" spans="1:4" x14ac:dyDescent="0.25">
      <c r="A81" s="1" t="str">
        <f>Main_Data!A81</f>
        <v>South Africa</v>
      </c>
      <c r="B81" s="1" t="str">
        <f>VLOOKUP(A81,Main_Data!A:B,2,FALSE)</f>
        <v>Africa</v>
      </c>
      <c r="C81" s="1">
        <f>VLOOKUP(A81,Main_Data!A80:L580,7,FALSE)</f>
        <v>1366450380</v>
      </c>
      <c r="D81" s="1">
        <f>VLOOKUP(A81,Main_Data!A80:L580,11,FALSE)</f>
        <v>44</v>
      </c>
    </row>
    <row r="82" spans="1:4" x14ac:dyDescent="0.25">
      <c r="A82" s="1" t="str">
        <f>Main_Data!A82</f>
        <v>India</v>
      </c>
      <c r="B82" s="1" t="str">
        <f>VLOOKUP(A82,Main_Data!A:B,2,FALSE)</f>
        <v>South Asia</v>
      </c>
      <c r="C82" s="1">
        <f>VLOOKUP(A82,Main_Data!A81:L581,7,FALSE)</f>
        <v>1096584543</v>
      </c>
      <c r="D82" s="1">
        <f>VLOOKUP(A82,Main_Data!A81:L581,11,FALSE)</f>
        <v>63</v>
      </c>
    </row>
    <row r="83" spans="1:4" x14ac:dyDescent="0.25">
      <c r="A83" s="1" t="str">
        <f>Main_Data!A83</f>
        <v>USA</v>
      </c>
      <c r="B83" s="1" t="str">
        <f>VLOOKUP(A83,Main_Data!A:B,2,FALSE)</f>
        <v>North America</v>
      </c>
      <c r="C83" s="1">
        <f>VLOOKUP(A83,Main_Data!A82:L582,7,FALSE)</f>
        <v>1105966001</v>
      </c>
      <c r="D83" s="1">
        <f>VLOOKUP(A83,Main_Data!A82:L582,11,FALSE)</f>
        <v>58</v>
      </c>
    </row>
    <row r="84" spans="1:4" x14ac:dyDescent="0.25">
      <c r="A84" s="1" t="str">
        <f>Main_Data!A84</f>
        <v>Germany</v>
      </c>
      <c r="B84" s="1" t="str">
        <f>VLOOKUP(A84,Main_Data!A:B,2,FALSE)</f>
        <v>Europe</v>
      </c>
      <c r="C84" s="1">
        <f>VLOOKUP(A84,Main_Data!A83:L583,7,FALSE)</f>
        <v>1389242644</v>
      </c>
      <c r="D84" s="1">
        <f>VLOOKUP(A84,Main_Data!A83:L583,11,FALSE)</f>
        <v>53</v>
      </c>
    </row>
    <row r="85" spans="1:4" x14ac:dyDescent="0.25">
      <c r="A85" s="1" t="str">
        <f>Main_Data!A85</f>
        <v>Brazil</v>
      </c>
      <c r="B85" s="1" t="str">
        <f>VLOOKUP(A85,Main_Data!A:B,2,FALSE)</f>
        <v>South America</v>
      </c>
      <c r="C85" s="1">
        <f>VLOOKUP(A85,Main_Data!A84:L584,7,FALSE)</f>
        <v>823571094</v>
      </c>
      <c r="D85" s="1">
        <f>VLOOKUP(A85,Main_Data!A84:L584,11,FALSE)</f>
        <v>75</v>
      </c>
    </row>
    <row r="86" spans="1:4" x14ac:dyDescent="0.25">
      <c r="A86" s="1" t="str">
        <f>Main_Data!A86</f>
        <v>China</v>
      </c>
      <c r="B86" s="1" t="str">
        <f>VLOOKUP(A86,Main_Data!A:B,2,FALSE)</f>
        <v>East Asia</v>
      </c>
      <c r="C86" s="1">
        <f>VLOOKUP(A86,Main_Data!A85:L585,7,FALSE)</f>
        <v>1127433910</v>
      </c>
      <c r="D86" s="1">
        <f>VLOOKUP(A86,Main_Data!A85:L585,11,FALSE)</f>
        <v>32</v>
      </c>
    </row>
    <row r="87" spans="1:4" x14ac:dyDescent="0.25">
      <c r="A87" s="1" t="str">
        <f>Main_Data!A87</f>
        <v>UK</v>
      </c>
      <c r="B87" s="1" t="str">
        <f>VLOOKUP(A87,Main_Data!A:B,2,FALSE)</f>
        <v>Europe</v>
      </c>
      <c r="C87" s="1">
        <f>VLOOKUP(A87,Main_Data!A86:L586,7,FALSE)</f>
        <v>1018071697</v>
      </c>
      <c r="D87" s="1">
        <f>VLOOKUP(A87,Main_Data!A86:L586,11,FALSE)</f>
        <v>57</v>
      </c>
    </row>
    <row r="88" spans="1:4" x14ac:dyDescent="0.25">
      <c r="A88" s="1" t="str">
        <f>Main_Data!A88</f>
        <v>Canada</v>
      </c>
      <c r="B88" s="1" t="str">
        <f>VLOOKUP(A88,Main_Data!A:B,2,FALSE)</f>
        <v>North America</v>
      </c>
      <c r="C88" s="1">
        <f>VLOOKUP(A88,Main_Data!A87:L587,7,FALSE)</f>
        <v>453095962</v>
      </c>
      <c r="D88" s="1">
        <f>VLOOKUP(A88,Main_Data!A87:L587,11,FALSE)</f>
        <v>72</v>
      </c>
    </row>
    <row r="89" spans="1:4" x14ac:dyDescent="0.25">
      <c r="A89" s="1" t="str">
        <f>Main_Data!A89</f>
        <v>Australia</v>
      </c>
      <c r="B89" s="1" t="str">
        <f>VLOOKUP(A89,Main_Data!A:B,2,FALSE)</f>
        <v>Oceania</v>
      </c>
      <c r="C89" s="1">
        <f>VLOOKUP(A89,Main_Data!A88:L588,7,FALSE)</f>
        <v>213430923</v>
      </c>
      <c r="D89" s="1">
        <f>VLOOKUP(A89,Main_Data!A88:L588,11,FALSE)</f>
        <v>31</v>
      </c>
    </row>
    <row r="90" spans="1:4" x14ac:dyDescent="0.25">
      <c r="A90" s="1" t="str">
        <f>Main_Data!A90</f>
        <v>Japan</v>
      </c>
      <c r="B90" s="1" t="str">
        <f>VLOOKUP(A90,Main_Data!A:B,2,FALSE)</f>
        <v>East Asia</v>
      </c>
      <c r="C90" s="1">
        <f>VLOOKUP(A90,Main_Data!A89:L589,7,FALSE)</f>
        <v>78117296</v>
      </c>
      <c r="D90" s="1">
        <f>VLOOKUP(A90,Main_Data!A89:L589,11,FALSE)</f>
        <v>55</v>
      </c>
    </row>
    <row r="91" spans="1:4" x14ac:dyDescent="0.25">
      <c r="A91" s="1" t="str">
        <f>Main_Data!A91</f>
        <v>South Africa</v>
      </c>
      <c r="B91" s="1" t="str">
        <f>VLOOKUP(A91,Main_Data!A:B,2,FALSE)</f>
        <v>Africa</v>
      </c>
      <c r="C91" s="1">
        <f>VLOOKUP(A91,Main_Data!A90:L590,7,FALSE)</f>
        <v>456672586</v>
      </c>
      <c r="D91" s="1">
        <f>VLOOKUP(A91,Main_Data!A90:L590,11,FALSE)</f>
        <v>62</v>
      </c>
    </row>
    <row r="92" spans="1:4" x14ac:dyDescent="0.25">
      <c r="A92" s="1" t="str">
        <f>Main_Data!A92</f>
        <v>India</v>
      </c>
      <c r="B92" s="1" t="str">
        <f>VLOOKUP(A92,Main_Data!A:B,2,FALSE)</f>
        <v>South Asia</v>
      </c>
      <c r="C92" s="1">
        <f>VLOOKUP(A92,Main_Data!A91:L591,7,FALSE)</f>
        <v>1267573118</v>
      </c>
      <c r="D92" s="1">
        <f>VLOOKUP(A92,Main_Data!A91:L591,11,FALSE)</f>
        <v>82</v>
      </c>
    </row>
    <row r="93" spans="1:4" x14ac:dyDescent="0.25">
      <c r="A93" s="1" t="str">
        <f>Main_Data!A93</f>
        <v>USA</v>
      </c>
      <c r="B93" s="1" t="str">
        <f>VLOOKUP(A93,Main_Data!A:B,2,FALSE)</f>
        <v>North America</v>
      </c>
      <c r="C93" s="1">
        <f>VLOOKUP(A93,Main_Data!A92:L592,7,FALSE)</f>
        <v>527223019</v>
      </c>
      <c r="D93" s="1">
        <f>VLOOKUP(A93,Main_Data!A92:L592,11,FALSE)</f>
        <v>32</v>
      </c>
    </row>
    <row r="94" spans="1:4" x14ac:dyDescent="0.25">
      <c r="A94" s="1" t="str">
        <f>Main_Data!A94</f>
        <v>Germany</v>
      </c>
      <c r="B94" s="1" t="str">
        <f>VLOOKUP(A94,Main_Data!A:B,2,FALSE)</f>
        <v>Europe</v>
      </c>
      <c r="C94" s="1">
        <f>VLOOKUP(A94,Main_Data!A93:L593,7,FALSE)</f>
        <v>723344561</v>
      </c>
      <c r="D94" s="1">
        <f>VLOOKUP(A94,Main_Data!A93:L593,11,FALSE)</f>
        <v>41</v>
      </c>
    </row>
    <row r="95" spans="1:4" x14ac:dyDescent="0.25">
      <c r="A95" s="1" t="str">
        <f>Main_Data!A95</f>
        <v>Brazil</v>
      </c>
      <c r="B95" s="1" t="str">
        <f>VLOOKUP(A95,Main_Data!A:B,2,FALSE)</f>
        <v>South America</v>
      </c>
      <c r="C95" s="1">
        <f>VLOOKUP(A95,Main_Data!A94:L594,7,FALSE)</f>
        <v>561526459</v>
      </c>
      <c r="D95" s="1">
        <f>VLOOKUP(A95,Main_Data!A94:L594,11,FALSE)</f>
        <v>89</v>
      </c>
    </row>
    <row r="96" spans="1:4" x14ac:dyDescent="0.25">
      <c r="A96" s="1" t="str">
        <f>Main_Data!A96</f>
        <v>China</v>
      </c>
      <c r="B96" s="1" t="str">
        <f>VLOOKUP(A96,Main_Data!A:B,2,FALSE)</f>
        <v>East Asia</v>
      </c>
      <c r="C96" s="1">
        <f>VLOOKUP(A96,Main_Data!A95:L595,7,FALSE)</f>
        <v>1256041242</v>
      </c>
      <c r="D96" s="1">
        <f>VLOOKUP(A96,Main_Data!A95:L595,11,FALSE)</f>
        <v>69</v>
      </c>
    </row>
    <row r="97" spans="1:4" x14ac:dyDescent="0.25">
      <c r="A97" s="1" t="str">
        <f>Main_Data!A97</f>
        <v>UK</v>
      </c>
      <c r="B97" s="1" t="str">
        <f>VLOOKUP(A97,Main_Data!A:B,2,FALSE)</f>
        <v>Europe</v>
      </c>
      <c r="C97" s="1">
        <f>VLOOKUP(A97,Main_Data!A96:L596,7,FALSE)</f>
        <v>1284232344</v>
      </c>
      <c r="D97" s="1">
        <f>VLOOKUP(A97,Main_Data!A96:L596,11,FALSE)</f>
        <v>50</v>
      </c>
    </row>
    <row r="98" spans="1:4" x14ac:dyDescent="0.25">
      <c r="A98" s="1" t="str">
        <f>Main_Data!A98</f>
        <v>Canada</v>
      </c>
      <c r="B98" s="1" t="str">
        <f>VLOOKUP(A98,Main_Data!A:B,2,FALSE)</f>
        <v>North America</v>
      </c>
      <c r="C98" s="1">
        <f>VLOOKUP(A98,Main_Data!A97:L597,7,FALSE)</f>
        <v>1222005245</v>
      </c>
      <c r="D98" s="1">
        <f>VLOOKUP(A98,Main_Data!A97:L597,11,FALSE)</f>
        <v>36</v>
      </c>
    </row>
    <row r="99" spans="1:4" x14ac:dyDescent="0.25">
      <c r="A99" s="1" t="str">
        <f>Main_Data!A99</f>
        <v>Australia</v>
      </c>
      <c r="B99" s="1" t="str">
        <f>VLOOKUP(A99,Main_Data!A:B,2,FALSE)</f>
        <v>Oceania</v>
      </c>
      <c r="C99" s="1">
        <f>VLOOKUP(A99,Main_Data!A98:L598,7,FALSE)</f>
        <v>739964509</v>
      </c>
      <c r="D99" s="1">
        <f>VLOOKUP(A99,Main_Data!A98:L598,11,FALSE)</f>
        <v>46</v>
      </c>
    </row>
    <row r="100" spans="1:4" x14ac:dyDescent="0.25">
      <c r="A100" s="1" t="str">
        <f>Main_Data!A100</f>
        <v>Japan</v>
      </c>
      <c r="B100" s="1" t="str">
        <f>VLOOKUP(A100,Main_Data!A:B,2,FALSE)</f>
        <v>East Asia</v>
      </c>
      <c r="C100" s="1">
        <f>VLOOKUP(A100,Main_Data!A99:L599,7,FALSE)</f>
        <v>286281086</v>
      </c>
      <c r="D100" s="1">
        <f>VLOOKUP(A100,Main_Data!A99:L599,11,FALSE)</f>
        <v>75</v>
      </c>
    </row>
    <row r="101" spans="1:4" x14ac:dyDescent="0.25">
      <c r="A101" s="1" t="str">
        <f>Main_Data!A101</f>
        <v>South Africa</v>
      </c>
      <c r="B101" s="1" t="str">
        <f>VLOOKUP(A101,Main_Data!A:B,2,FALSE)</f>
        <v>Africa</v>
      </c>
      <c r="C101" s="1">
        <f>VLOOKUP(A101,Main_Data!A100:L600,7,FALSE)</f>
        <v>1271836611</v>
      </c>
      <c r="D101" s="1">
        <f>VLOOKUP(A101,Main_Data!A100:L600,11,FALSE)</f>
        <v>67</v>
      </c>
    </row>
    <row r="102" spans="1:4" x14ac:dyDescent="0.25">
      <c r="A102" s="1" t="str">
        <f>Main_Data!A102</f>
        <v>India</v>
      </c>
      <c r="B102" s="1" t="str">
        <f>VLOOKUP(A102,Main_Data!A:B,2,FALSE)</f>
        <v>South Asia</v>
      </c>
      <c r="C102" s="1">
        <f>VLOOKUP(A102,Main_Data!A101:L601,7,FALSE)</f>
        <v>532255249</v>
      </c>
      <c r="D102" s="1">
        <f>VLOOKUP(A102,Main_Data!A101:L601,11,FALSE)</f>
        <v>58</v>
      </c>
    </row>
    <row r="103" spans="1:4" x14ac:dyDescent="0.25">
      <c r="A103" s="1" t="str">
        <f>Main_Data!A103</f>
        <v>USA</v>
      </c>
      <c r="B103" s="1" t="str">
        <f>VLOOKUP(A103,Main_Data!A:B,2,FALSE)</f>
        <v>North America</v>
      </c>
      <c r="C103" s="1">
        <f>VLOOKUP(A103,Main_Data!A102:L602,7,FALSE)</f>
        <v>337667637</v>
      </c>
      <c r="D103" s="1">
        <f>VLOOKUP(A103,Main_Data!A102:L602,11,FALSE)</f>
        <v>56</v>
      </c>
    </row>
    <row r="104" spans="1:4" x14ac:dyDescent="0.25">
      <c r="A104" s="1" t="str">
        <f>Main_Data!A104</f>
        <v>Germany</v>
      </c>
      <c r="B104" s="1" t="str">
        <f>VLOOKUP(A104,Main_Data!A:B,2,FALSE)</f>
        <v>Europe</v>
      </c>
      <c r="C104" s="1">
        <f>VLOOKUP(A104,Main_Data!A103:L603,7,FALSE)</f>
        <v>1261381907</v>
      </c>
      <c r="D104" s="1">
        <f>VLOOKUP(A104,Main_Data!A103:L603,11,FALSE)</f>
        <v>31</v>
      </c>
    </row>
    <row r="105" spans="1:4" x14ac:dyDescent="0.25">
      <c r="A105" s="1" t="str">
        <f>Main_Data!A105</f>
        <v>Brazil</v>
      </c>
      <c r="B105" s="1" t="str">
        <f>VLOOKUP(A105,Main_Data!A:B,2,FALSE)</f>
        <v>South America</v>
      </c>
      <c r="C105" s="1">
        <f>VLOOKUP(A105,Main_Data!A104:L604,7,FALSE)</f>
        <v>468323510</v>
      </c>
      <c r="D105" s="1">
        <f>VLOOKUP(A105,Main_Data!A104:L604,11,FALSE)</f>
        <v>72</v>
      </c>
    </row>
    <row r="106" spans="1:4" x14ac:dyDescent="0.25">
      <c r="A106" s="1" t="str">
        <f>Main_Data!A106</f>
        <v>China</v>
      </c>
      <c r="B106" s="1" t="str">
        <f>VLOOKUP(A106,Main_Data!A:B,2,FALSE)</f>
        <v>East Asia</v>
      </c>
      <c r="C106" s="1">
        <f>VLOOKUP(A106,Main_Data!A105:L605,7,FALSE)</f>
        <v>22538025</v>
      </c>
      <c r="D106" s="1">
        <f>VLOOKUP(A106,Main_Data!A105:L605,11,FALSE)</f>
        <v>48</v>
      </c>
    </row>
    <row r="107" spans="1:4" x14ac:dyDescent="0.25">
      <c r="A107" s="1" t="str">
        <f>Main_Data!A107</f>
        <v>UK</v>
      </c>
      <c r="B107" s="1" t="str">
        <f>VLOOKUP(A107,Main_Data!A:B,2,FALSE)</f>
        <v>Europe</v>
      </c>
      <c r="C107" s="1">
        <f>VLOOKUP(A107,Main_Data!A106:L606,7,FALSE)</f>
        <v>1284507238</v>
      </c>
      <c r="D107" s="1">
        <f>VLOOKUP(A107,Main_Data!A106:L606,11,FALSE)</f>
        <v>68</v>
      </c>
    </row>
    <row r="108" spans="1:4" x14ac:dyDescent="0.25">
      <c r="A108" s="1" t="str">
        <f>Main_Data!A108</f>
        <v>Canada</v>
      </c>
      <c r="B108" s="1" t="str">
        <f>VLOOKUP(A108,Main_Data!A:B,2,FALSE)</f>
        <v>North America</v>
      </c>
      <c r="C108" s="1">
        <f>VLOOKUP(A108,Main_Data!A107:L607,7,FALSE)</f>
        <v>1190212334</v>
      </c>
      <c r="D108" s="1">
        <f>VLOOKUP(A108,Main_Data!A107:L607,11,FALSE)</f>
        <v>88</v>
      </c>
    </row>
    <row r="109" spans="1:4" x14ac:dyDescent="0.25">
      <c r="A109" s="1" t="str">
        <f>Main_Data!A109</f>
        <v>Australia</v>
      </c>
      <c r="B109" s="1" t="str">
        <f>VLOOKUP(A109,Main_Data!A:B,2,FALSE)</f>
        <v>Oceania</v>
      </c>
      <c r="C109" s="1">
        <f>VLOOKUP(A109,Main_Data!A108:L608,7,FALSE)</f>
        <v>48594675</v>
      </c>
      <c r="D109" s="1">
        <f>VLOOKUP(A109,Main_Data!A108:L608,11,FALSE)</f>
        <v>43</v>
      </c>
    </row>
    <row r="110" spans="1:4" x14ac:dyDescent="0.25">
      <c r="A110" s="1" t="str">
        <f>Main_Data!A110</f>
        <v>Japan</v>
      </c>
      <c r="B110" s="1" t="str">
        <f>VLOOKUP(A110,Main_Data!A:B,2,FALSE)</f>
        <v>East Asia</v>
      </c>
      <c r="C110" s="1">
        <f>VLOOKUP(A110,Main_Data!A109:L609,7,FALSE)</f>
        <v>376091310</v>
      </c>
      <c r="D110" s="1">
        <f>VLOOKUP(A110,Main_Data!A109:L609,11,FALSE)</f>
        <v>80</v>
      </c>
    </row>
    <row r="111" spans="1:4" x14ac:dyDescent="0.25">
      <c r="A111" s="1" t="str">
        <f>Main_Data!A111</f>
        <v>South Africa</v>
      </c>
      <c r="B111" s="1" t="str">
        <f>VLOOKUP(A111,Main_Data!A:B,2,FALSE)</f>
        <v>Africa</v>
      </c>
      <c r="C111" s="1">
        <f>VLOOKUP(A111,Main_Data!A110:L610,7,FALSE)</f>
        <v>378577359</v>
      </c>
      <c r="D111" s="1">
        <f>VLOOKUP(A111,Main_Data!A110:L610,11,FALSE)</f>
        <v>36</v>
      </c>
    </row>
    <row r="112" spans="1:4" x14ac:dyDescent="0.25">
      <c r="A112" s="1" t="str">
        <f>Main_Data!A112</f>
        <v>India</v>
      </c>
      <c r="B112" s="1" t="str">
        <f>VLOOKUP(A112,Main_Data!A:B,2,FALSE)</f>
        <v>South Asia</v>
      </c>
      <c r="C112" s="1">
        <f>VLOOKUP(A112,Main_Data!A111:L611,7,FALSE)</f>
        <v>1249257061</v>
      </c>
      <c r="D112" s="1">
        <f>VLOOKUP(A112,Main_Data!A111:L611,11,FALSE)</f>
        <v>40</v>
      </c>
    </row>
    <row r="113" spans="1:4" x14ac:dyDescent="0.25">
      <c r="A113" s="1" t="str">
        <f>Main_Data!A113</f>
        <v>USA</v>
      </c>
      <c r="B113" s="1" t="str">
        <f>VLOOKUP(A113,Main_Data!A:B,2,FALSE)</f>
        <v>North America</v>
      </c>
      <c r="C113" s="1">
        <f>VLOOKUP(A113,Main_Data!A112:L612,7,FALSE)</f>
        <v>278252233</v>
      </c>
      <c r="D113" s="1">
        <f>VLOOKUP(A113,Main_Data!A112:L612,11,FALSE)</f>
        <v>61</v>
      </c>
    </row>
    <row r="114" spans="1:4" x14ac:dyDescent="0.25">
      <c r="A114" s="1" t="str">
        <f>Main_Data!A114</f>
        <v>Germany</v>
      </c>
      <c r="B114" s="1" t="str">
        <f>VLOOKUP(A114,Main_Data!A:B,2,FALSE)</f>
        <v>Europe</v>
      </c>
      <c r="C114" s="1">
        <f>VLOOKUP(A114,Main_Data!A113:L613,7,FALSE)</f>
        <v>552023721</v>
      </c>
      <c r="D114" s="1">
        <f>VLOOKUP(A114,Main_Data!A113:L613,11,FALSE)</f>
        <v>88</v>
      </c>
    </row>
    <row r="115" spans="1:4" x14ac:dyDescent="0.25">
      <c r="A115" s="1" t="str">
        <f>Main_Data!A115</f>
        <v>Brazil</v>
      </c>
      <c r="B115" s="1" t="str">
        <f>VLOOKUP(A115,Main_Data!A:B,2,FALSE)</f>
        <v>South America</v>
      </c>
      <c r="C115" s="1">
        <f>VLOOKUP(A115,Main_Data!A114:L614,7,FALSE)</f>
        <v>164323180</v>
      </c>
      <c r="D115" s="1">
        <f>VLOOKUP(A115,Main_Data!A114:L614,11,FALSE)</f>
        <v>36</v>
      </c>
    </row>
    <row r="116" spans="1:4" x14ac:dyDescent="0.25">
      <c r="A116" s="1" t="str">
        <f>Main_Data!A116</f>
        <v>China</v>
      </c>
      <c r="B116" s="1" t="str">
        <f>VLOOKUP(A116,Main_Data!A:B,2,FALSE)</f>
        <v>East Asia</v>
      </c>
      <c r="C116" s="1">
        <f>VLOOKUP(A116,Main_Data!A115:L615,7,FALSE)</f>
        <v>535361648</v>
      </c>
      <c r="D116" s="1">
        <f>VLOOKUP(A116,Main_Data!A115:L615,11,FALSE)</f>
        <v>43</v>
      </c>
    </row>
    <row r="117" spans="1:4" x14ac:dyDescent="0.25">
      <c r="A117" s="1" t="str">
        <f>Main_Data!A117</f>
        <v>UK</v>
      </c>
      <c r="B117" s="1" t="str">
        <f>VLOOKUP(A117,Main_Data!A:B,2,FALSE)</f>
        <v>Europe</v>
      </c>
      <c r="C117" s="1">
        <f>VLOOKUP(A117,Main_Data!A116:L616,7,FALSE)</f>
        <v>778481685</v>
      </c>
      <c r="D117" s="1">
        <f>VLOOKUP(A117,Main_Data!A116:L616,11,FALSE)</f>
        <v>52</v>
      </c>
    </row>
    <row r="118" spans="1:4" x14ac:dyDescent="0.25">
      <c r="A118" s="1" t="str">
        <f>Main_Data!A118</f>
        <v>Canada</v>
      </c>
      <c r="B118" s="1" t="str">
        <f>VLOOKUP(A118,Main_Data!A:B,2,FALSE)</f>
        <v>North America</v>
      </c>
      <c r="C118" s="1">
        <f>VLOOKUP(A118,Main_Data!A117:L617,7,FALSE)</f>
        <v>173123625</v>
      </c>
      <c r="D118" s="1">
        <f>VLOOKUP(A118,Main_Data!A117:L617,11,FALSE)</f>
        <v>32</v>
      </c>
    </row>
    <row r="119" spans="1:4" x14ac:dyDescent="0.25">
      <c r="A119" s="1" t="str">
        <f>Main_Data!A119</f>
        <v>Australia</v>
      </c>
      <c r="B119" s="1" t="str">
        <f>VLOOKUP(A119,Main_Data!A:B,2,FALSE)</f>
        <v>Oceania</v>
      </c>
      <c r="C119" s="1">
        <f>VLOOKUP(A119,Main_Data!A118:L618,7,FALSE)</f>
        <v>630535869</v>
      </c>
      <c r="D119" s="1">
        <f>VLOOKUP(A119,Main_Data!A118:L618,11,FALSE)</f>
        <v>71</v>
      </c>
    </row>
    <row r="120" spans="1:4" x14ac:dyDescent="0.25">
      <c r="A120" s="1" t="str">
        <f>Main_Data!A120</f>
        <v>Japan</v>
      </c>
      <c r="B120" s="1" t="str">
        <f>VLOOKUP(A120,Main_Data!A:B,2,FALSE)</f>
        <v>East Asia</v>
      </c>
      <c r="C120" s="1">
        <f>VLOOKUP(A120,Main_Data!A119:L619,7,FALSE)</f>
        <v>242281064</v>
      </c>
      <c r="D120" s="1">
        <f>VLOOKUP(A120,Main_Data!A119:L619,11,FALSE)</f>
        <v>65</v>
      </c>
    </row>
    <row r="121" spans="1:4" x14ac:dyDescent="0.25">
      <c r="A121" s="1" t="str">
        <f>Main_Data!A121</f>
        <v>South Africa</v>
      </c>
      <c r="B121" s="1" t="str">
        <f>VLOOKUP(A121,Main_Data!A:B,2,FALSE)</f>
        <v>Africa</v>
      </c>
      <c r="C121" s="1">
        <f>VLOOKUP(A121,Main_Data!A120:L620,7,FALSE)</f>
        <v>1498703110</v>
      </c>
      <c r="D121" s="1">
        <f>VLOOKUP(A121,Main_Data!A120:L620,11,FALSE)</f>
        <v>87</v>
      </c>
    </row>
    <row r="122" spans="1:4" x14ac:dyDescent="0.25">
      <c r="A122" s="1" t="str">
        <f>Main_Data!A122</f>
        <v>India</v>
      </c>
      <c r="B122" s="1" t="str">
        <f>VLOOKUP(A122,Main_Data!A:B,2,FALSE)</f>
        <v>South Asia</v>
      </c>
      <c r="C122" s="1">
        <f>VLOOKUP(A122,Main_Data!A121:L621,7,FALSE)</f>
        <v>988659312</v>
      </c>
      <c r="D122" s="1">
        <f>VLOOKUP(A122,Main_Data!A121:L621,11,FALSE)</f>
        <v>56</v>
      </c>
    </row>
    <row r="123" spans="1:4" x14ac:dyDescent="0.25">
      <c r="A123" s="1" t="str">
        <f>Main_Data!A123</f>
        <v>USA</v>
      </c>
      <c r="B123" s="1" t="str">
        <f>VLOOKUP(A123,Main_Data!A:B,2,FALSE)</f>
        <v>North America</v>
      </c>
      <c r="C123" s="1">
        <f>VLOOKUP(A123,Main_Data!A122:L622,7,FALSE)</f>
        <v>940192004</v>
      </c>
      <c r="D123" s="1">
        <f>VLOOKUP(A123,Main_Data!A122:L622,11,FALSE)</f>
        <v>64</v>
      </c>
    </row>
    <row r="124" spans="1:4" x14ac:dyDescent="0.25">
      <c r="A124" s="1" t="str">
        <f>Main_Data!A124</f>
        <v>Germany</v>
      </c>
      <c r="B124" s="1" t="str">
        <f>VLOOKUP(A124,Main_Data!A:B,2,FALSE)</f>
        <v>Europe</v>
      </c>
      <c r="C124" s="1">
        <f>VLOOKUP(A124,Main_Data!A123:L623,7,FALSE)</f>
        <v>1174036680</v>
      </c>
      <c r="D124" s="1">
        <f>VLOOKUP(A124,Main_Data!A123:L623,11,FALSE)</f>
        <v>67</v>
      </c>
    </row>
    <row r="125" spans="1:4" x14ac:dyDescent="0.25">
      <c r="A125" s="1" t="str">
        <f>Main_Data!A125</f>
        <v>Brazil</v>
      </c>
      <c r="B125" s="1" t="str">
        <f>VLOOKUP(A125,Main_Data!A:B,2,FALSE)</f>
        <v>South America</v>
      </c>
      <c r="C125" s="1">
        <f>VLOOKUP(A125,Main_Data!A124:L624,7,FALSE)</f>
        <v>28213754</v>
      </c>
      <c r="D125" s="1">
        <f>VLOOKUP(A125,Main_Data!A124:L624,11,FALSE)</f>
        <v>40</v>
      </c>
    </row>
    <row r="126" spans="1:4" x14ac:dyDescent="0.25">
      <c r="A126" s="1" t="str">
        <f>Main_Data!A126</f>
        <v>China</v>
      </c>
      <c r="B126" s="1" t="str">
        <f>VLOOKUP(A126,Main_Data!A:B,2,FALSE)</f>
        <v>East Asia</v>
      </c>
      <c r="C126" s="1">
        <f>VLOOKUP(A126,Main_Data!A125:L625,7,FALSE)</f>
        <v>331799181</v>
      </c>
      <c r="D126" s="1">
        <f>VLOOKUP(A126,Main_Data!A125:L625,11,FALSE)</f>
        <v>71</v>
      </c>
    </row>
    <row r="127" spans="1:4" x14ac:dyDescent="0.25">
      <c r="A127" s="1" t="str">
        <f>Main_Data!A127</f>
        <v>UK</v>
      </c>
      <c r="B127" s="1" t="str">
        <f>VLOOKUP(A127,Main_Data!A:B,2,FALSE)</f>
        <v>Europe</v>
      </c>
      <c r="C127" s="1">
        <f>VLOOKUP(A127,Main_Data!A126:L626,7,FALSE)</f>
        <v>1077294623</v>
      </c>
      <c r="D127" s="1">
        <f>VLOOKUP(A127,Main_Data!A126:L626,11,FALSE)</f>
        <v>61</v>
      </c>
    </row>
    <row r="128" spans="1:4" x14ac:dyDescent="0.25">
      <c r="A128" s="1" t="str">
        <f>Main_Data!A128</f>
        <v>Canada</v>
      </c>
      <c r="B128" s="1" t="str">
        <f>VLOOKUP(A128,Main_Data!A:B,2,FALSE)</f>
        <v>North America</v>
      </c>
      <c r="C128" s="1">
        <f>VLOOKUP(A128,Main_Data!A127:L627,7,FALSE)</f>
        <v>563071192</v>
      </c>
      <c r="D128" s="1">
        <f>VLOOKUP(A128,Main_Data!A127:L627,11,FALSE)</f>
        <v>59</v>
      </c>
    </row>
    <row r="129" spans="1:4" x14ac:dyDescent="0.25">
      <c r="A129" s="1" t="str">
        <f>Main_Data!A129</f>
        <v>Australia</v>
      </c>
      <c r="B129" s="1" t="str">
        <f>VLOOKUP(A129,Main_Data!A:B,2,FALSE)</f>
        <v>Oceania</v>
      </c>
      <c r="C129" s="1">
        <f>VLOOKUP(A129,Main_Data!A128:L628,7,FALSE)</f>
        <v>997939555</v>
      </c>
      <c r="D129" s="1">
        <f>VLOOKUP(A129,Main_Data!A128:L628,11,FALSE)</f>
        <v>56</v>
      </c>
    </row>
    <row r="130" spans="1:4" x14ac:dyDescent="0.25">
      <c r="A130" s="1" t="str">
        <f>Main_Data!A130</f>
        <v>Japan</v>
      </c>
      <c r="B130" s="1" t="str">
        <f>VLOOKUP(A130,Main_Data!A:B,2,FALSE)</f>
        <v>East Asia</v>
      </c>
      <c r="C130" s="1">
        <f>VLOOKUP(A130,Main_Data!A129:L629,7,FALSE)</f>
        <v>1411748390</v>
      </c>
      <c r="D130" s="1">
        <f>VLOOKUP(A130,Main_Data!A129:L629,11,FALSE)</f>
        <v>36</v>
      </c>
    </row>
    <row r="131" spans="1:4" x14ac:dyDescent="0.25">
      <c r="A131" s="1" t="str">
        <f>Main_Data!A131</f>
        <v>South Africa</v>
      </c>
      <c r="B131" s="1" t="str">
        <f>VLOOKUP(A131,Main_Data!A:B,2,FALSE)</f>
        <v>Africa</v>
      </c>
      <c r="C131" s="1">
        <f>VLOOKUP(A131,Main_Data!A130:L630,7,FALSE)</f>
        <v>207790033</v>
      </c>
      <c r="D131" s="1">
        <f>VLOOKUP(A131,Main_Data!A130:L630,11,FALSE)</f>
        <v>35</v>
      </c>
    </row>
    <row r="132" spans="1:4" x14ac:dyDescent="0.25">
      <c r="A132" s="1" t="str">
        <f>Main_Data!A132</f>
        <v>India</v>
      </c>
      <c r="B132" s="1" t="str">
        <f>VLOOKUP(A132,Main_Data!A:B,2,FALSE)</f>
        <v>South Asia</v>
      </c>
      <c r="C132" s="1">
        <f>VLOOKUP(A132,Main_Data!A131:L631,7,FALSE)</f>
        <v>387412990</v>
      </c>
      <c r="D132" s="1">
        <f>VLOOKUP(A132,Main_Data!A131:L631,11,FALSE)</f>
        <v>55</v>
      </c>
    </row>
    <row r="133" spans="1:4" x14ac:dyDescent="0.25">
      <c r="A133" s="1" t="str">
        <f>Main_Data!A133</f>
        <v>USA</v>
      </c>
      <c r="B133" s="1" t="str">
        <f>VLOOKUP(A133,Main_Data!A:B,2,FALSE)</f>
        <v>North America</v>
      </c>
      <c r="C133" s="1">
        <f>VLOOKUP(A133,Main_Data!A132:L632,7,FALSE)</f>
        <v>1486862463</v>
      </c>
      <c r="D133" s="1">
        <f>VLOOKUP(A133,Main_Data!A132:L632,11,FALSE)</f>
        <v>53</v>
      </c>
    </row>
    <row r="134" spans="1:4" x14ac:dyDescent="0.25">
      <c r="A134" s="1" t="str">
        <f>Main_Data!A134</f>
        <v>Germany</v>
      </c>
      <c r="B134" s="1" t="str">
        <f>VLOOKUP(A134,Main_Data!A:B,2,FALSE)</f>
        <v>Europe</v>
      </c>
      <c r="C134" s="1">
        <f>VLOOKUP(A134,Main_Data!A133:L633,7,FALSE)</f>
        <v>1014131872</v>
      </c>
      <c r="D134" s="1">
        <f>VLOOKUP(A134,Main_Data!A133:L633,11,FALSE)</f>
        <v>78</v>
      </c>
    </row>
    <row r="135" spans="1:4" x14ac:dyDescent="0.25">
      <c r="A135" s="1" t="str">
        <f>Main_Data!A135</f>
        <v>Brazil</v>
      </c>
      <c r="B135" s="1" t="str">
        <f>VLOOKUP(A135,Main_Data!A:B,2,FALSE)</f>
        <v>South America</v>
      </c>
      <c r="C135" s="1">
        <f>VLOOKUP(A135,Main_Data!A134:L634,7,FALSE)</f>
        <v>237806698</v>
      </c>
      <c r="D135" s="1">
        <f>VLOOKUP(A135,Main_Data!A134:L634,11,FALSE)</f>
        <v>84</v>
      </c>
    </row>
    <row r="136" spans="1:4" x14ac:dyDescent="0.25">
      <c r="A136" s="1" t="str">
        <f>Main_Data!A136</f>
        <v>China</v>
      </c>
      <c r="B136" s="1" t="str">
        <f>VLOOKUP(A136,Main_Data!A:B,2,FALSE)</f>
        <v>East Asia</v>
      </c>
      <c r="C136" s="1">
        <f>VLOOKUP(A136,Main_Data!A135:L635,7,FALSE)</f>
        <v>1022788930</v>
      </c>
      <c r="D136" s="1">
        <f>VLOOKUP(A136,Main_Data!A135:L635,11,FALSE)</f>
        <v>89</v>
      </c>
    </row>
    <row r="137" spans="1:4" x14ac:dyDescent="0.25">
      <c r="A137" s="1" t="str">
        <f>Main_Data!A137</f>
        <v>UK</v>
      </c>
      <c r="B137" s="1" t="str">
        <f>VLOOKUP(A137,Main_Data!A:B,2,FALSE)</f>
        <v>Europe</v>
      </c>
      <c r="C137" s="1">
        <f>VLOOKUP(A137,Main_Data!A136:L636,7,FALSE)</f>
        <v>1440086596</v>
      </c>
      <c r="D137" s="1">
        <f>VLOOKUP(A137,Main_Data!A136:L636,11,FALSE)</f>
        <v>39</v>
      </c>
    </row>
    <row r="138" spans="1:4" x14ac:dyDescent="0.25">
      <c r="A138" s="1" t="str">
        <f>Main_Data!A138</f>
        <v>Canada</v>
      </c>
      <c r="B138" s="1" t="str">
        <f>VLOOKUP(A138,Main_Data!A:B,2,FALSE)</f>
        <v>North America</v>
      </c>
      <c r="C138" s="1">
        <f>VLOOKUP(A138,Main_Data!A137:L637,7,FALSE)</f>
        <v>973035484</v>
      </c>
      <c r="D138" s="1">
        <f>VLOOKUP(A138,Main_Data!A137:L637,11,FALSE)</f>
        <v>48</v>
      </c>
    </row>
    <row r="139" spans="1:4" x14ac:dyDescent="0.25">
      <c r="A139" s="1" t="str">
        <f>Main_Data!A139</f>
        <v>Australia</v>
      </c>
      <c r="B139" s="1" t="str">
        <f>VLOOKUP(A139,Main_Data!A:B,2,FALSE)</f>
        <v>Oceania</v>
      </c>
      <c r="C139" s="1">
        <f>VLOOKUP(A139,Main_Data!A138:L638,7,FALSE)</f>
        <v>440245090</v>
      </c>
      <c r="D139" s="1">
        <f>VLOOKUP(A139,Main_Data!A138:L638,11,FALSE)</f>
        <v>69</v>
      </c>
    </row>
    <row r="140" spans="1:4" x14ac:dyDescent="0.25">
      <c r="A140" s="1" t="str">
        <f>Main_Data!A140</f>
        <v>Japan</v>
      </c>
      <c r="B140" s="1" t="str">
        <f>VLOOKUP(A140,Main_Data!A:B,2,FALSE)</f>
        <v>East Asia</v>
      </c>
      <c r="C140" s="1">
        <f>VLOOKUP(A140,Main_Data!A139:L639,7,FALSE)</f>
        <v>1497795557</v>
      </c>
      <c r="D140" s="1">
        <f>VLOOKUP(A140,Main_Data!A139:L639,11,FALSE)</f>
        <v>68</v>
      </c>
    </row>
    <row r="141" spans="1:4" x14ac:dyDescent="0.25">
      <c r="A141" s="1" t="str">
        <f>Main_Data!A141</f>
        <v>South Africa</v>
      </c>
      <c r="B141" s="1" t="str">
        <f>VLOOKUP(A141,Main_Data!A:B,2,FALSE)</f>
        <v>Africa</v>
      </c>
      <c r="C141" s="1">
        <f>VLOOKUP(A141,Main_Data!A140:L640,7,FALSE)</f>
        <v>1399135794</v>
      </c>
      <c r="D141" s="1">
        <f>VLOOKUP(A141,Main_Data!A140:L640,11,FALSE)</f>
        <v>31</v>
      </c>
    </row>
    <row r="142" spans="1:4" x14ac:dyDescent="0.25">
      <c r="A142" s="1" t="str">
        <f>Main_Data!A142</f>
        <v>India</v>
      </c>
      <c r="B142" s="1" t="str">
        <f>VLOOKUP(A142,Main_Data!A:B,2,FALSE)</f>
        <v>South Asia</v>
      </c>
      <c r="C142" s="1">
        <f>VLOOKUP(A142,Main_Data!A141:L641,7,FALSE)</f>
        <v>1020220619</v>
      </c>
      <c r="D142" s="1">
        <f>VLOOKUP(A142,Main_Data!A141:L641,11,FALSE)</f>
        <v>64</v>
      </c>
    </row>
    <row r="143" spans="1:4" x14ac:dyDescent="0.25">
      <c r="A143" s="1" t="str">
        <f>Main_Data!A143</f>
        <v>USA</v>
      </c>
      <c r="B143" s="1" t="str">
        <f>VLOOKUP(A143,Main_Data!A:B,2,FALSE)</f>
        <v>North America</v>
      </c>
      <c r="C143" s="1">
        <f>VLOOKUP(A143,Main_Data!A142:L642,7,FALSE)</f>
        <v>221324641</v>
      </c>
      <c r="D143" s="1">
        <f>VLOOKUP(A143,Main_Data!A142:L642,11,FALSE)</f>
        <v>88</v>
      </c>
    </row>
    <row r="144" spans="1:4" x14ac:dyDescent="0.25">
      <c r="A144" s="1" t="str">
        <f>Main_Data!A144</f>
        <v>Germany</v>
      </c>
      <c r="B144" s="1" t="str">
        <f>VLOOKUP(A144,Main_Data!A:B,2,FALSE)</f>
        <v>Europe</v>
      </c>
      <c r="C144" s="1">
        <f>VLOOKUP(A144,Main_Data!A143:L643,7,FALSE)</f>
        <v>10083916</v>
      </c>
      <c r="D144" s="1">
        <f>VLOOKUP(A144,Main_Data!A143:L643,11,FALSE)</f>
        <v>57</v>
      </c>
    </row>
    <row r="145" spans="1:4" x14ac:dyDescent="0.25">
      <c r="A145" s="1" t="str">
        <f>Main_Data!A145</f>
        <v>Brazil</v>
      </c>
      <c r="B145" s="1" t="str">
        <f>VLOOKUP(A145,Main_Data!A:B,2,FALSE)</f>
        <v>South America</v>
      </c>
      <c r="C145" s="1">
        <f>VLOOKUP(A145,Main_Data!A144:L644,7,FALSE)</f>
        <v>652094772</v>
      </c>
      <c r="D145" s="1">
        <f>VLOOKUP(A145,Main_Data!A144:L644,11,FALSE)</f>
        <v>85</v>
      </c>
    </row>
    <row r="146" spans="1:4" x14ac:dyDescent="0.25">
      <c r="A146" s="1" t="str">
        <f>Main_Data!A146</f>
        <v>China</v>
      </c>
      <c r="B146" s="1" t="str">
        <f>VLOOKUP(A146,Main_Data!A:B,2,FALSE)</f>
        <v>East Asia</v>
      </c>
      <c r="C146" s="1">
        <f>VLOOKUP(A146,Main_Data!A145:L645,7,FALSE)</f>
        <v>645067425</v>
      </c>
      <c r="D146" s="1">
        <f>VLOOKUP(A146,Main_Data!A145:L645,11,FALSE)</f>
        <v>62</v>
      </c>
    </row>
    <row r="147" spans="1:4" x14ac:dyDescent="0.25">
      <c r="A147" s="1" t="str">
        <f>Main_Data!A147</f>
        <v>UK</v>
      </c>
      <c r="B147" s="1" t="str">
        <f>VLOOKUP(A147,Main_Data!A:B,2,FALSE)</f>
        <v>Europe</v>
      </c>
      <c r="C147" s="1">
        <f>VLOOKUP(A147,Main_Data!A146:L646,7,FALSE)</f>
        <v>755660317</v>
      </c>
      <c r="D147" s="1">
        <f>VLOOKUP(A147,Main_Data!A146:L646,11,FALSE)</f>
        <v>83</v>
      </c>
    </row>
    <row r="148" spans="1:4" x14ac:dyDescent="0.25">
      <c r="A148" s="1" t="str">
        <f>Main_Data!A148</f>
        <v>Canada</v>
      </c>
      <c r="B148" s="1" t="str">
        <f>VLOOKUP(A148,Main_Data!A:B,2,FALSE)</f>
        <v>North America</v>
      </c>
      <c r="C148" s="1">
        <f>VLOOKUP(A148,Main_Data!A147:L647,7,FALSE)</f>
        <v>108421953</v>
      </c>
      <c r="D148" s="1">
        <f>VLOOKUP(A148,Main_Data!A147:L647,11,FALSE)</f>
        <v>77</v>
      </c>
    </row>
    <row r="149" spans="1:4" x14ac:dyDescent="0.25">
      <c r="A149" s="1" t="str">
        <f>Main_Data!A149</f>
        <v>Australia</v>
      </c>
      <c r="B149" s="1" t="str">
        <f>VLOOKUP(A149,Main_Data!A:B,2,FALSE)</f>
        <v>Oceania</v>
      </c>
      <c r="C149" s="1">
        <f>VLOOKUP(A149,Main_Data!A148:L648,7,FALSE)</f>
        <v>898601262</v>
      </c>
      <c r="D149" s="1">
        <f>VLOOKUP(A149,Main_Data!A148:L648,11,FALSE)</f>
        <v>76</v>
      </c>
    </row>
    <row r="150" spans="1:4" x14ac:dyDescent="0.25">
      <c r="A150" s="1" t="str">
        <f>Main_Data!A150</f>
        <v>Japan</v>
      </c>
      <c r="B150" s="1" t="str">
        <f>VLOOKUP(A150,Main_Data!A:B,2,FALSE)</f>
        <v>East Asia</v>
      </c>
      <c r="C150" s="1">
        <f>VLOOKUP(A150,Main_Data!A149:L649,7,FALSE)</f>
        <v>329255553</v>
      </c>
      <c r="D150" s="1">
        <f>VLOOKUP(A150,Main_Data!A149:L649,11,FALSE)</f>
        <v>90</v>
      </c>
    </row>
    <row r="151" spans="1:4" x14ac:dyDescent="0.25">
      <c r="A151" s="1" t="str">
        <f>Main_Data!A151</f>
        <v>South Africa</v>
      </c>
      <c r="B151" s="1" t="str">
        <f>VLOOKUP(A151,Main_Data!A:B,2,FALSE)</f>
        <v>Africa</v>
      </c>
      <c r="C151" s="1">
        <f>VLOOKUP(A151,Main_Data!A150:L650,7,FALSE)</f>
        <v>730563524</v>
      </c>
      <c r="D151" s="1">
        <f>VLOOKUP(A151,Main_Data!A150:L650,11,FALSE)</f>
        <v>48</v>
      </c>
    </row>
    <row r="152" spans="1:4" x14ac:dyDescent="0.25">
      <c r="A152" s="1" t="str">
        <f>Main_Data!A152</f>
        <v>India</v>
      </c>
      <c r="B152" s="1" t="str">
        <f>VLOOKUP(A152,Main_Data!A:B,2,FALSE)</f>
        <v>South Asia</v>
      </c>
      <c r="C152" s="1">
        <f>VLOOKUP(A152,Main_Data!A151:L651,7,FALSE)</f>
        <v>886428599</v>
      </c>
      <c r="D152" s="1">
        <f>VLOOKUP(A152,Main_Data!A151:L651,11,FALSE)</f>
        <v>66</v>
      </c>
    </row>
    <row r="153" spans="1:4" x14ac:dyDescent="0.25">
      <c r="A153" s="1" t="str">
        <f>Main_Data!A153</f>
        <v>USA</v>
      </c>
      <c r="B153" s="1" t="str">
        <f>VLOOKUP(A153,Main_Data!A:B,2,FALSE)</f>
        <v>North America</v>
      </c>
      <c r="C153" s="1">
        <f>VLOOKUP(A153,Main_Data!A152:L652,7,FALSE)</f>
        <v>825895517</v>
      </c>
      <c r="D153" s="1">
        <f>VLOOKUP(A153,Main_Data!A152:L652,11,FALSE)</f>
        <v>65</v>
      </c>
    </row>
    <row r="154" spans="1:4" x14ac:dyDescent="0.25">
      <c r="A154" s="1" t="str">
        <f>Main_Data!A154</f>
        <v>Germany</v>
      </c>
      <c r="B154" s="1" t="str">
        <f>VLOOKUP(A154,Main_Data!A:B,2,FALSE)</f>
        <v>Europe</v>
      </c>
      <c r="C154" s="1">
        <f>VLOOKUP(A154,Main_Data!A153:L653,7,FALSE)</f>
        <v>1452520322</v>
      </c>
      <c r="D154" s="1">
        <f>VLOOKUP(A154,Main_Data!A153:L653,11,FALSE)</f>
        <v>35</v>
      </c>
    </row>
    <row r="155" spans="1:4" x14ac:dyDescent="0.25">
      <c r="A155" s="1" t="str">
        <f>Main_Data!A155</f>
        <v>Brazil</v>
      </c>
      <c r="B155" s="1" t="str">
        <f>VLOOKUP(A155,Main_Data!A:B,2,FALSE)</f>
        <v>South America</v>
      </c>
      <c r="C155" s="1">
        <f>VLOOKUP(A155,Main_Data!A154:L654,7,FALSE)</f>
        <v>1130161606</v>
      </c>
      <c r="D155" s="1">
        <f>VLOOKUP(A155,Main_Data!A154:L654,11,FALSE)</f>
        <v>68</v>
      </c>
    </row>
    <row r="156" spans="1:4" x14ac:dyDescent="0.25">
      <c r="A156" s="1" t="str">
        <f>Main_Data!A156</f>
        <v>China</v>
      </c>
      <c r="B156" s="1" t="str">
        <f>VLOOKUP(A156,Main_Data!A:B,2,FALSE)</f>
        <v>East Asia</v>
      </c>
      <c r="C156" s="1">
        <f>VLOOKUP(A156,Main_Data!A155:L655,7,FALSE)</f>
        <v>1074972358</v>
      </c>
      <c r="D156" s="1">
        <f>VLOOKUP(A156,Main_Data!A155:L655,11,FALSE)</f>
        <v>40</v>
      </c>
    </row>
    <row r="157" spans="1:4" x14ac:dyDescent="0.25">
      <c r="A157" s="1" t="str">
        <f>Main_Data!A157</f>
        <v>UK</v>
      </c>
      <c r="B157" s="1" t="str">
        <f>VLOOKUP(A157,Main_Data!A:B,2,FALSE)</f>
        <v>Europe</v>
      </c>
      <c r="C157" s="1">
        <f>VLOOKUP(A157,Main_Data!A156:L656,7,FALSE)</f>
        <v>182949889</v>
      </c>
      <c r="D157" s="1">
        <f>VLOOKUP(A157,Main_Data!A156:L656,11,FALSE)</f>
        <v>39</v>
      </c>
    </row>
    <row r="158" spans="1:4" x14ac:dyDescent="0.25">
      <c r="A158" s="1" t="str">
        <f>Main_Data!A158</f>
        <v>Canada</v>
      </c>
      <c r="B158" s="1" t="str">
        <f>VLOOKUP(A158,Main_Data!A:B,2,FALSE)</f>
        <v>North America</v>
      </c>
      <c r="C158" s="1">
        <f>VLOOKUP(A158,Main_Data!A157:L657,7,FALSE)</f>
        <v>692897189</v>
      </c>
      <c r="D158" s="1">
        <f>VLOOKUP(A158,Main_Data!A157:L657,11,FALSE)</f>
        <v>37</v>
      </c>
    </row>
    <row r="159" spans="1:4" x14ac:dyDescent="0.25">
      <c r="A159" s="1" t="str">
        <f>Main_Data!A159</f>
        <v>Australia</v>
      </c>
      <c r="B159" s="1" t="str">
        <f>VLOOKUP(A159,Main_Data!A:B,2,FALSE)</f>
        <v>Oceania</v>
      </c>
      <c r="C159" s="1">
        <f>VLOOKUP(A159,Main_Data!A158:L658,7,FALSE)</f>
        <v>1052294506</v>
      </c>
      <c r="D159" s="1">
        <f>VLOOKUP(A159,Main_Data!A158:L658,11,FALSE)</f>
        <v>79</v>
      </c>
    </row>
    <row r="160" spans="1:4" x14ac:dyDescent="0.25">
      <c r="A160" s="1" t="str">
        <f>Main_Data!A160</f>
        <v>Japan</v>
      </c>
      <c r="B160" s="1" t="str">
        <f>VLOOKUP(A160,Main_Data!A:B,2,FALSE)</f>
        <v>East Asia</v>
      </c>
      <c r="C160" s="1">
        <f>VLOOKUP(A160,Main_Data!A159:L659,7,FALSE)</f>
        <v>469191272</v>
      </c>
      <c r="D160" s="1">
        <f>VLOOKUP(A160,Main_Data!A159:L659,11,FALSE)</f>
        <v>42</v>
      </c>
    </row>
    <row r="161" spans="1:4" x14ac:dyDescent="0.25">
      <c r="A161" s="1" t="str">
        <f>Main_Data!A161</f>
        <v>South Africa</v>
      </c>
      <c r="B161" s="1" t="str">
        <f>VLOOKUP(A161,Main_Data!A:B,2,FALSE)</f>
        <v>Africa</v>
      </c>
      <c r="C161" s="1">
        <f>VLOOKUP(A161,Main_Data!A160:L660,7,FALSE)</f>
        <v>1286446927</v>
      </c>
      <c r="D161" s="1">
        <f>VLOOKUP(A161,Main_Data!A160:L660,11,FALSE)</f>
        <v>83</v>
      </c>
    </row>
    <row r="162" spans="1:4" x14ac:dyDescent="0.25">
      <c r="A162" s="1" t="str">
        <f>Main_Data!A162</f>
        <v>India</v>
      </c>
      <c r="B162" s="1" t="str">
        <f>VLOOKUP(A162,Main_Data!A:B,2,FALSE)</f>
        <v>South Asia</v>
      </c>
      <c r="C162" s="1">
        <f>VLOOKUP(A162,Main_Data!A161:L661,7,FALSE)</f>
        <v>338686805</v>
      </c>
      <c r="D162" s="1">
        <f>VLOOKUP(A162,Main_Data!A161:L661,11,FALSE)</f>
        <v>55</v>
      </c>
    </row>
    <row r="163" spans="1:4" x14ac:dyDescent="0.25">
      <c r="A163" s="1" t="str">
        <f>Main_Data!A163</f>
        <v>USA</v>
      </c>
      <c r="B163" s="1" t="str">
        <f>VLOOKUP(A163,Main_Data!A:B,2,FALSE)</f>
        <v>North America</v>
      </c>
      <c r="C163" s="1">
        <f>VLOOKUP(A163,Main_Data!A162:L662,7,FALSE)</f>
        <v>788953313</v>
      </c>
      <c r="D163" s="1">
        <f>VLOOKUP(A163,Main_Data!A162:L662,11,FALSE)</f>
        <v>71</v>
      </c>
    </row>
    <row r="164" spans="1:4" x14ac:dyDescent="0.25">
      <c r="A164" s="1" t="str">
        <f>Main_Data!A164</f>
        <v>Germany</v>
      </c>
      <c r="B164" s="1" t="str">
        <f>VLOOKUP(A164,Main_Data!A:B,2,FALSE)</f>
        <v>Europe</v>
      </c>
      <c r="C164" s="1">
        <f>VLOOKUP(A164,Main_Data!A163:L663,7,FALSE)</f>
        <v>845115978</v>
      </c>
      <c r="D164" s="1">
        <f>VLOOKUP(A164,Main_Data!A163:L663,11,FALSE)</f>
        <v>82</v>
      </c>
    </row>
    <row r="165" spans="1:4" x14ac:dyDescent="0.25">
      <c r="A165" s="1" t="str">
        <f>Main_Data!A165</f>
        <v>Brazil</v>
      </c>
      <c r="B165" s="1" t="str">
        <f>VLOOKUP(A165,Main_Data!A:B,2,FALSE)</f>
        <v>South America</v>
      </c>
      <c r="C165" s="1">
        <f>VLOOKUP(A165,Main_Data!A164:L664,7,FALSE)</f>
        <v>912188017</v>
      </c>
      <c r="D165" s="1">
        <f>VLOOKUP(A165,Main_Data!A164:L664,11,FALSE)</f>
        <v>59</v>
      </c>
    </row>
    <row r="166" spans="1:4" x14ac:dyDescent="0.25">
      <c r="A166" s="1" t="str">
        <f>Main_Data!A166</f>
        <v>China</v>
      </c>
      <c r="B166" s="1" t="str">
        <f>VLOOKUP(A166,Main_Data!A:B,2,FALSE)</f>
        <v>East Asia</v>
      </c>
      <c r="C166" s="1">
        <f>VLOOKUP(A166,Main_Data!A165:L665,7,FALSE)</f>
        <v>990445706</v>
      </c>
      <c r="D166" s="1">
        <f>VLOOKUP(A166,Main_Data!A165:L665,11,FALSE)</f>
        <v>54</v>
      </c>
    </row>
    <row r="167" spans="1:4" x14ac:dyDescent="0.25">
      <c r="A167" s="1" t="str">
        <f>Main_Data!A167</f>
        <v>UK</v>
      </c>
      <c r="B167" s="1" t="str">
        <f>VLOOKUP(A167,Main_Data!A:B,2,FALSE)</f>
        <v>Europe</v>
      </c>
      <c r="C167" s="1">
        <f>VLOOKUP(A167,Main_Data!A166:L666,7,FALSE)</f>
        <v>1412620642</v>
      </c>
      <c r="D167" s="1">
        <f>VLOOKUP(A167,Main_Data!A166:L666,11,FALSE)</f>
        <v>49</v>
      </c>
    </row>
    <row r="168" spans="1:4" x14ac:dyDescent="0.25">
      <c r="A168" s="1" t="str">
        <f>Main_Data!A168</f>
        <v>Canada</v>
      </c>
      <c r="B168" s="1" t="str">
        <f>VLOOKUP(A168,Main_Data!A:B,2,FALSE)</f>
        <v>North America</v>
      </c>
      <c r="C168" s="1">
        <f>VLOOKUP(A168,Main_Data!A167:L667,7,FALSE)</f>
        <v>1020747967</v>
      </c>
      <c r="D168" s="1">
        <f>VLOOKUP(A168,Main_Data!A167:L667,11,FALSE)</f>
        <v>66</v>
      </c>
    </row>
    <row r="169" spans="1:4" x14ac:dyDescent="0.25">
      <c r="A169" s="1" t="str">
        <f>Main_Data!A169</f>
        <v>Australia</v>
      </c>
      <c r="B169" s="1" t="str">
        <f>VLOOKUP(A169,Main_Data!A:B,2,FALSE)</f>
        <v>Oceania</v>
      </c>
      <c r="C169" s="1">
        <f>VLOOKUP(A169,Main_Data!A168:L668,7,FALSE)</f>
        <v>971814165</v>
      </c>
      <c r="D169" s="1">
        <f>VLOOKUP(A169,Main_Data!A168:L668,11,FALSE)</f>
        <v>46</v>
      </c>
    </row>
    <row r="170" spans="1:4" x14ac:dyDescent="0.25">
      <c r="A170" s="1" t="str">
        <f>Main_Data!A170</f>
        <v>Japan</v>
      </c>
      <c r="B170" s="1" t="str">
        <f>VLOOKUP(A170,Main_Data!A:B,2,FALSE)</f>
        <v>East Asia</v>
      </c>
      <c r="C170" s="1">
        <f>VLOOKUP(A170,Main_Data!A169:L669,7,FALSE)</f>
        <v>376416404</v>
      </c>
      <c r="D170" s="1">
        <f>VLOOKUP(A170,Main_Data!A169:L669,11,FALSE)</f>
        <v>52</v>
      </c>
    </row>
    <row r="171" spans="1:4" x14ac:dyDescent="0.25">
      <c r="A171" s="1" t="str">
        <f>Main_Data!A171</f>
        <v>South Africa</v>
      </c>
      <c r="B171" s="1" t="str">
        <f>VLOOKUP(A171,Main_Data!A:B,2,FALSE)</f>
        <v>Africa</v>
      </c>
      <c r="C171" s="1">
        <f>VLOOKUP(A171,Main_Data!A170:L670,7,FALSE)</f>
        <v>1299472365</v>
      </c>
      <c r="D171" s="1">
        <f>VLOOKUP(A171,Main_Data!A170:L670,11,FALSE)</f>
        <v>75</v>
      </c>
    </row>
    <row r="172" spans="1:4" x14ac:dyDescent="0.25">
      <c r="A172" s="1" t="str">
        <f>Main_Data!A172</f>
        <v>India</v>
      </c>
      <c r="B172" s="1" t="str">
        <f>VLOOKUP(A172,Main_Data!A:B,2,FALSE)</f>
        <v>South Asia</v>
      </c>
      <c r="C172" s="1">
        <f>VLOOKUP(A172,Main_Data!A171:L671,7,FALSE)</f>
        <v>1154961859</v>
      </c>
      <c r="D172" s="1">
        <f>VLOOKUP(A172,Main_Data!A171:L671,11,FALSE)</f>
        <v>44</v>
      </c>
    </row>
    <row r="173" spans="1:4" x14ac:dyDescent="0.25">
      <c r="A173" s="1" t="str">
        <f>Main_Data!A173</f>
        <v>USA</v>
      </c>
      <c r="B173" s="1" t="str">
        <f>VLOOKUP(A173,Main_Data!A:B,2,FALSE)</f>
        <v>North America</v>
      </c>
      <c r="C173" s="1">
        <f>VLOOKUP(A173,Main_Data!A172:L672,7,FALSE)</f>
        <v>608301177</v>
      </c>
      <c r="D173" s="1">
        <f>VLOOKUP(A173,Main_Data!A172:L672,11,FALSE)</f>
        <v>39</v>
      </c>
    </row>
    <row r="174" spans="1:4" x14ac:dyDescent="0.25">
      <c r="A174" s="1" t="str">
        <f>Main_Data!A174</f>
        <v>Germany</v>
      </c>
      <c r="B174" s="1" t="str">
        <f>VLOOKUP(A174,Main_Data!A:B,2,FALSE)</f>
        <v>Europe</v>
      </c>
      <c r="C174" s="1">
        <f>VLOOKUP(A174,Main_Data!A173:L673,7,FALSE)</f>
        <v>61454792</v>
      </c>
      <c r="D174" s="1">
        <f>VLOOKUP(A174,Main_Data!A173:L673,11,FALSE)</f>
        <v>89</v>
      </c>
    </row>
    <row r="175" spans="1:4" x14ac:dyDescent="0.25">
      <c r="A175" s="1" t="str">
        <f>Main_Data!A175</f>
        <v>Brazil</v>
      </c>
      <c r="B175" s="1" t="str">
        <f>VLOOKUP(A175,Main_Data!A:B,2,FALSE)</f>
        <v>South America</v>
      </c>
      <c r="C175" s="1">
        <f>VLOOKUP(A175,Main_Data!A174:L674,7,FALSE)</f>
        <v>318027567</v>
      </c>
      <c r="D175" s="1">
        <f>VLOOKUP(A175,Main_Data!A174:L674,11,FALSE)</f>
        <v>80</v>
      </c>
    </row>
    <row r="176" spans="1:4" x14ac:dyDescent="0.25">
      <c r="A176" s="1" t="str">
        <f>Main_Data!A176</f>
        <v>China</v>
      </c>
      <c r="B176" s="1" t="str">
        <f>VLOOKUP(A176,Main_Data!A:B,2,FALSE)</f>
        <v>East Asia</v>
      </c>
      <c r="C176" s="1">
        <f>VLOOKUP(A176,Main_Data!A175:L675,7,FALSE)</f>
        <v>272097796</v>
      </c>
      <c r="D176" s="1">
        <f>VLOOKUP(A176,Main_Data!A175:L675,11,FALSE)</f>
        <v>68</v>
      </c>
    </row>
    <row r="177" spans="1:4" x14ac:dyDescent="0.25">
      <c r="A177" s="1" t="str">
        <f>Main_Data!A177</f>
        <v>UK</v>
      </c>
      <c r="B177" s="1" t="str">
        <f>VLOOKUP(A177,Main_Data!A:B,2,FALSE)</f>
        <v>Europe</v>
      </c>
      <c r="C177" s="1">
        <f>VLOOKUP(A177,Main_Data!A176:L676,7,FALSE)</f>
        <v>891304499</v>
      </c>
      <c r="D177" s="1">
        <f>VLOOKUP(A177,Main_Data!A176:L676,11,FALSE)</f>
        <v>61</v>
      </c>
    </row>
    <row r="178" spans="1:4" x14ac:dyDescent="0.25">
      <c r="A178" s="1" t="str">
        <f>Main_Data!A178</f>
        <v>Canada</v>
      </c>
      <c r="B178" s="1" t="str">
        <f>VLOOKUP(A178,Main_Data!A:B,2,FALSE)</f>
        <v>North America</v>
      </c>
      <c r="C178" s="1">
        <f>VLOOKUP(A178,Main_Data!A177:L677,7,FALSE)</f>
        <v>832785898</v>
      </c>
      <c r="D178" s="1">
        <f>VLOOKUP(A178,Main_Data!A177:L677,11,FALSE)</f>
        <v>64</v>
      </c>
    </row>
    <row r="179" spans="1:4" x14ac:dyDescent="0.25">
      <c r="A179" s="1" t="str">
        <f>Main_Data!A179</f>
        <v>Australia</v>
      </c>
      <c r="B179" s="1" t="str">
        <f>VLOOKUP(A179,Main_Data!A:B,2,FALSE)</f>
        <v>Oceania</v>
      </c>
      <c r="C179" s="1">
        <f>VLOOKUP(A179,Main_Data!A178:L678,7,FALSE)</f>
        <v>1182968414</v>
      </c>
      <c r="D179" s="1">
        <f>VLOOKUP(A179,Main_Data!A178:L678,11,FALSE)</f>
        <v>58</v>
      </c>
    </row>
    <row r="180" spans="1:4" x14ac:dyDescent="0.25">
      <c r="A180" s="1" t="str">
        <f>Main_Data!A180</f>
        <v>Japan</v>
      </c>
      <c r="B180" s="1" t="str">
        <f>VLOOKUP(A180,Main_Data!A:B,2,FALSE)</f>
        <v>East Asia</v>
      </c>
      <c r="C180" s="1">
        <f>VLOOKUP(A180,Main_Data!A179:L679,7,FALSE)</f>
        <v>1357629067</v>
      </c>
      <c r="D180" s="1">
        <f>VLOOKUP(A180,Main_Data!A179:L679,11,FALSE)</f>
        <v>54</v>
      </c>
    </row>
    <row r="181" spans="1:4" x14ac:dyDescent="0.25">
      <c r="A181" s="1" t="str">
        <f>Main_Data!A181</f>
        <v>South Africa</v>
      </c>
      <c r="B181" s="1" t="str">
        <f>VLOOKUP(A181,Main_Data!A:B,2,FALSE)</f>
        <v>Africa</v>
      </c>
      <c r="C181" s="1">
        <f>VLOOKUP(A181,Main_Data!A180:L680,7,FALSE)</f>
        <v>1128296545</v>
      </c>
      <c r="D181" s="1">
        <f>VLOOKUP(A181,Main_Data!A180:L680,11,FALSE)</f>
        <v>35</v>
      </c>
    </row>
    <row r="182" spans="1:4" x14ac:dyDescent="0.25">
      <c r="A182" s="1" t="str">
        <f>Main_Data!A182</f>
        <v>India</v>
      </c>
      <c r="B182" s="1" t="str">
        <f>VLOOKUP(A182,Main_Data!A:B,2,FALSE)</f>
        <v>South Asia</v>
      </c>
      <c r="C182" s="1">
        <f>VLOOKUP(A182,Main_Data!A181:L681,7,FALSE)</f>
        <v>1040378217</v>
      </c>
      <c r="D182" s="1">
        <f>VLOOKUP(A182,Main_Data!A181:L681,11,FALSE)</f>
        <v>37</v>
      </c>
    </row>
    <row r="183" spans="1:4" x14ac:dyDescent="0.25">
      <c r="A183" s="1" t="str">
        <f>Main_Data!A183</f>
        <v>USA</v>
      </c>
      <c r="B183" s="1" t="str">
        <f>VLOOKUP(A183,Main_Data!A:B,2,FALSE)</f>
        <v>North America</v>
      </c>
      <c r="C183" s="1">
        <f>VLOOKUP(A183,Main_Data!A182:L682,7,FALSE)</f>
        <v>1209766516</v>
      </c>
      <c r="D183" s="1">
        <f>VLOOKUP(A183,Main_Data!A182:L682,11,FALSE)</f>
        <v>89</v>
      </c>
    </row>
    <row r="184" spans="1:4" x14ac:dyDescent="0.25">
      <c r="A184" s="1" t="str">
        <f>Main_Data!A184</f>
        <v>Germany</v>
      </c>
      <c r="B184" s="1" t="str">
        <f>VLOOKUP(A184,Main_Data!A:B,2,FALSE)</f>
        <v>Europe</v>
      </c>
      <c r="C184" s="1">
        <f>VLOOKUP(A184,Main_Data!A183:L683,7,FALSE)</f>
        <v>700117256</v>
      </c>
      <c r="D184" s="1">
        <f>VLOOKUP(A184,Main_Data!A183:L683,11,FALSE)</f>
        <v>68</v>
      </c>
    </row>
    <row r="185" spans="1:4" x14ac:dyDescent="0.25">
      <c r="A185" s="1" t="str">
        <f>Main_Data!A185</f>
        <v>Brazil</v>
      </c>
      <c r="B185" s="1" t="str">
        <f>VLOOKUP(A185,Main_Data!A:B,2,FALSE)</f>
        <v>South America</v>
      </c>
      <c r="C185" s="1">
        <f>VLOOKUP(A185,Main_Data!A184:L684,7,FALSE)</f>
        <v>375225188</v>
      </c>
      <c r="D185" s="1">
        <f>VLOOKUP(A185,Main_Data!A184:L684,11,FALSE)</f>
        <v>75</v>
      </c>
    </row>
    <row r="186" spans="1:4" x14ac:dyDescent="0.25">
      <c r="A186" s="1" t="str">
        <f>Main_Data!A186</f>
        <v>China</v>
      </c>
      <c r="B186" s="1" t="str">
        <f>VLOOKUP(A186,Main_Data!A:B,2,FALSE)</f>
        <v>East Asia</v>
      </c>
      <c r="C186" s="1">
        <f>VLOOKUP(A186,Main_Data!A185:L685,7,FALSE)</f>
        <v>678719207</v>
      </c>
      <c r="D186" s="1">
        <f>VLOOKUP(A186,Main_Data!A185:L685,11,FALSE)</f>
        <v>83</v>
      </c>
    </row>
    <row r="187" spans="1:4" x14ac:dyDescent="0.25">
      <c r="A187" s="1" t="str">
        <f>Main_Data!A187</f>
        <v>UK</v>
      </c>
      <c r="B187" s="1" t="str">
        <f>VLOOKUP(A187,Main_Data!A:B,2,FALSE)</f>
        <v>Europe</v>
      </c>
      <c r="C187" s="1">
        <f>VLOOKUP(A187,Main_Data!A186:L686,7,FALSE)</f>
        <v>1244251061</v>
      </c>
      <c r="D187" s="1">
        <f>VLOOKUP(A187,Main_Data!A186:L686,11,FALSE)</f>
        <v>83</v>
      </c>
    </row>
    <row r="188" spans="1:4" x14ac:dyDescent="0.25">
      <c r="A188" s="1" t="str">
        <f>Main_Data!A188</f>
        <v>Canada</v>
      </c>
      <c r="B188" s="1" t="str">
        <f>VLOOKUP(A188,Main_Data!A:B,2,FALSE)</f>
        <v>North America</v>
      </c>
      <c r="C188" s="1">
        <f>VLOOKUP(A188,Main_Data!A187:L687,7,FALSE)</f>
        <v>1058080092</v>
      </c>
      <c r="D188" s="1">
        <f>VLOOKUP(A188,Main_Data!A187:L687,11,FALSE)</f>
        <v>53</v>
      </c>
    </row>
    <row r="189" spans="1:4" x14ac:dyDescent="0.25">
      <c r="A189" s="1" t="str">
        <f>Main_Data!A189</f>
        <v>Australia</v>
      </c>
      <c r="B189" s="1" t="str">
        <f>VLOOKUP(A189,Main_Data!A:B,2,FALSE)</f>
        <v>Oceania</v>
      </c>
      <c r="C189" s="1">
        <f>VLOOKUP(A189,Main_Data!A188:L688,7,FALSE)</f>
        <v>157876896</v>
      </c>
      <c r="D189" s="1">
        <f>VLOOKUP(A189,Main_Data!A188:L688,11,FALSE)</f>
        <v>67</v>
      </c>
    </row>
    <row r="190" spans="1:4" x14ac:dyDescent="0.25">
      <c r="A190" s="1" t="str">
        <f>Main_Data!A190</f>
        <v>Japan</v>
      </c>
      <c r="B190" s="1" t="str">
        <f>VLOOKUP(A190,Main_Data!A:B,2,FALSE)</f>
        <v>East Asia</v>
      </c>
      <c r="C190" s="1">
        <f>VLOOKUP(A190,Main_Data!A189:L689,7,FALSE)</f>
        <v>1008291475</v>
      </c>
      <c r="D190" s="1">
        <f>VLOOKUP(A190,Main_Data!A189:L689,11,FALSE)</f>
        <v>37</v>
      </c>
    </row>
    <row r="191" spans="1:4" x14ac:dyDescent="0.25">
      <c r="A191" s="1" t="str">
        <f>Main_Data!A191</f>
        <v>South Africa</v>
      </c>
      <c r="B191" s="1" t="str">
        <f>VLOOKUP(A191,Main_Data!A:B,2,FALSE)</f>
        <v>Africa</v>
      </c>
      <c r="C191" s="1">
        <f>VLOOKUP(A191,Main_Data!A190:L690,7,FALSE)</f>
        <v>289188078</v>
      </c>
      <c r="D191" s="1">
        <f>VLOOKUP(A191,Main_Data!A190:L690,11,FALSE)</f>
        <v>43</v>
      </c>
    </row>
    <row r="192" spans="1:4" x14ac:dyDescent="0.25">
      <c r="A192" s="1" t="str">
        <f>Main_Data!A192</f>
        <v>India</v>
      </c>
      <c r="B192" s="1" t="str">
        <f>VLOOKUP(A192,Main_Data!A:B,2,FALSE)</f>
        <v>South Asia</v>
      </c>
      <c r="C192" s="1">
        <f>VLOOKUP(A192,Main_Data!A191:L691,7,FALSE)</f>
        <v>494801498</v>
      </c>
      <c r="D192" s="1">
        <f>VLOOKUP(A192,Main_Data!A191:L691,11,FALSE)</f>
        <v>39</v>
      </c>
    </row>
    <row r="193" spans="1:4" x14ac:dyDescent="0.25">
      <c r="A193" s="1" t="str">
        <f>Main_Data!A193</f>
        <v>USA</v>
      </c>
      <c r="B193" s="1" t="str">
        <f>VLOOKUP(A193,Main_Data!A:B,2,FALSE)</f>
        <v>North America</v>
      </c>
      <c r="C193" s="1">
        <f>VLOOKUP(A193,Main_Data!A192:L692,7,FALSE)</f>
        <v>1335714048</v>
      </c>
      <c r="D193" s="1">
        <f>VLOOKUP(A193,Main_Data!A192:L692,11,FALSE)</f>
        <v>37</v>
      </c>
    </row>
    <row r="194" spans="1:4" x14ac:dyDescent="0.25">
      <c r="A194" s="1" t="str">
        <f>Main_Data!A194</f>
        <v>Germany</v>
      </c>
      <c r="B194" s="1" t="str">
        <f>VLOOKUP(A194,Main_Data!A:B,2,FALSE)</f>
        <v>Europe</v>
      </c>
      <c r="C194" s="1">
        <f>VLOOKUP(A194,Main_Data!A193:L693,7,FALSE)</f>
        <v>428458635</v>
      </c>
      <c r="D194" s="1">
        <f>VLOOKUP(A194,Main_Data!A193:L693,11,FALSE)</f>
        <v>61</v>
      </c>
    </row>
    <row r="195" spans="1:4" x14ac:dyDescent="0.25">
      <c r="A195" s="1" t="str">
        <f>Main_Data!A195</f>
        <v>Brazil</v>
      </c>
      <c r="B195" s="1" t="str">
        <f>VLOOKUP(A195,Main_Data!A:B,2,FALSE)</f>
        <v>South America</v>
      </c>
      <c r="C195" s="1">
        <f>VLOOKUP(A195,Main_Data!A194:L694,7,FALSE)</f>
        <v>103091358</v>
      </c>
      <c r="D195" s="1">
        <f>VLOOKUP(A195,Main_Data!A194:L694,11,FALSE)</f>
        <v>68</v>
      </c>
    </row>
    <row r="196" spans="1:4" x14ac:dyDescent="0.25">
      <c r="A196" s="1" t="str">
        <f>Main_Data!A196</f>
        <v>China</v>
      </c>
      <c r="B196" s="1" t="str">
        <f>VLOOKUP(A196,Main_Data!A:B,2,FALSE)</f>
        <v>East Asia</v>
      </c>
      <c r="C196" s="1">
        <f>VLOOKUP(A196,Main_Data!A195:L695,7,FALSE)</f>
        <v>411470199</v>
      </c>
      <c r="D196" s="1">
        <f>VLOOKUP(A196,Main_Data!A195:L695,11,FALSE)</f>
        <v>64</v>
      </c>
    </row>
    <row r="197" spans="1:4" x14ac:dyDescent="0.25">
      <c r="A197" s="1" t="str">
        <f>Main_Data!A197</f>
        <v>UK</v>
      </c>
      <c r="B197" s="1" t="str">
        <f>VLOOKUP(A197,Main_Data!A:B,2,FALSE)</f>
        <v>Europe</v>
      </c>
      <c r="C197" s="1">
        <f>VLOOKUP(A197,Main_Data!A196:L696,7,FALSE)</f>
        <v>391131065</v>
      </c>
      <c r="D197" s="1">
        <f>VLOOKUP(A197,Main_Data!A196:L696,11,FALSE)</f>
        <v>84</v>
      </c>
    </row>
    <row r="198" spans="1:4" x14ac:dyDescent="0.25">
      <c r="A198" s="1" t="str">
        <f>Main_Data!A198</f>
        <v>Canada</v>
      </c>
      <c r="B198" s="1" t="str">
        <f>VLOOKUP(A198,Main_Data!A:B,2,FALSE)</f>
        <v>North America</v>
      </c>
      <c r="C198" s="1">
        <f>VLOOKUP(A198,Main_Data!A197:L697,7,FALSE)</f>
        <v>331730279</v>
      </c>
      <c r="D198" s="1">
        <f>VLOOKUP(A198,Main_Data!A197:L697,11,FALSE)</f>
        <v>83</v>
      </c>
    </row>
    <row r="199" spans="1:4" x14ac:dyDescent="0.25">
      <c r="A199" s="1" t="str">
        <f>Main_Data!A199</f>
        <v>Australia</v>
      </c>
      <c r="B199" s="1" t="str">
        <f>VLOOKUP(A199,Main_Data!A:B,2,FALSE)</f>
        <v>Oceania</v>
      </c>
      <c r="C199" s="1">
        <f>VLOOKUP(A199,Main_Data!A198:L698,7,FALSE)</f>
        <v>981118344</v>
      </c>
      <c r="D199" s="1">
        <f>VLOOKUP(A199,Main_Data!A198:L698,11,FALSE)</f>
        <v>79</v>
      </c>
    </row>
    <row r="200" spans="1:4" x14ac:dyDescent="0.25">
      <c r="A200" s="1" t="str">
        <f>Main_Data!A200</f>
        <v>Japan</v>
      </c>
      <c r="B200" s="1" t="str">
        <f>VLOOKUP(A200,Main_Data!A:B,2,FALSE)</f>
        <v>East Asia</v>
      </c>
      <c r="C200" s="1">
        <f>VLOOKUP(A200,Main_Data!A199:L699,7,FALSE)</f>
        <v>1143301030</v>
      </c>
      <c r="D200" s="1">
        <f>VLOOKUP(A200,Main_Data!A199:L699,11,FALSE)</f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289F9-546F-4283-B717-4EF3AADFA6E5}">
  <dimension ref="A1:F14"/>
  <sheetViews>
    <sheetView workbookViewId="0">
      <selection activeCell="D18" sqref="D18"/>
    </sheetView>
  </sheetViews>
  <sheetFormatPr defaultRowHeight="15" x14ac:dyDescent="0.25"/>
  <cols>
    <col min="1" max="1" width="17" bestFit="1" customWidth="1"/>
    <col min="2" max="2" width="14" customWidth="1"/>
    <col min="3" max="3" width="16.28515625" customWidth="1"/>
    <col min="4" max="4" width="15.28515625" customWidth="1"/>
    <col min="5" max="5" width="14.85546875" customWidth="1"/>
    <col min="6" max="6" width="12.28515625" customWidth="1"/>
  </cols>
  <sheetData>
    <row r="1" spans="1:6" ht="15.75" x14ac:dyDescent="0.25">
      <c r="A1" s="2" t="s">
        <v>0</v>
      </c>
      <c r="B1" s="1" t="s">
        <v>12</v>
      </c>
      <c r="C1" s="1" t="s">
        <v>15</v>
      </c>
      <c r="D1" s="1" t="s">
        <v>17</v>
      </c>
      <c r="E1" s="1" t="s">
        <v>19</v>
      </c>
      <c r="F1" s="1" t="s">
        <v>21</v>
      </c>
    </row>
    <row r="2" spans="1:6" ht="15.75" x14ac:dyDescent="0.25">
      <c r="A2" s="2" t="s">
        <v>3</v>
      </c>
      <c r="B2" s="1">
        <v>35770.980000000003</v>
      </c>
      <c r="C2" s="1">
        <v>37589.82</v>
      </c>
      <c r="D2" s="1">
        <v>39469.599999999999</v>
      </c>
      <c r="E2" s="1">
        <v>34413.360000000001</v>
      </c>
      <c r="F2" s="1">
        <v>37636.9</v>
      </c>
    </row>
    <row r="3" spans="1:6" ht="15.75" x14ac:dyDescent="0.25">
      <c r="A3" s="2" t="s">
        <v>5</v>
      </c>
      <c r="B3" s="1">
        <v>71.7</v>
      </c>
      <c r="C3" s="1">
        <v>70.14</v>
      </c>
      <c r="D3" s="1">
        <v>71.959999999999994</v>
      </c>
      <c r="E3" s="1">
        <v>73.58</v>
      </c>
      <c r="F3" s="1">
        <v>72.22</v>
      </c>
    </row>
    <row r="4" spans="1:6" ht="15.75" x14ac:dyDescent="0.25">
      <c r="A4" s="2" t="s">
        <v>4</v>
      </c>
      <c r="B4" s="1">
        <v>8.33</v>
      </c>
      <c r="C4" s="1">
        <v>10.532</v>
      </c>
      <c r="D4" s="1">
        <v>9.0500000000000007</v>
      </c>
      <c r="E4" s="1">
        <v>9.4320000000000004</v>
      </c>
      <c r="F4" s="1">
        <v>10.506</v>
      </c>
    </row>
    <row r="9" spans="1:6" ht="15.75" x14ac:dyDescent="0.25">
      <c r="A9" s="2" t="s">
        <v>0</v>
      </c>
      <c r="B9" s="2" t="s">
        <v>46</v>
      </c>
      <c r="C9" s="2" t="s">
        <v>47</v>
      </c>
      <c r="D9" s="2" t="s">
        <v>48</v>
      </c>
    </row>
    <row r="10" spans="1:6" x14ac:dyDescent="0.25">
      <c r="A10" s="1" t="s">
        <v>12</v>
      </c>
      <c r="B10" s="1">
        <f>HLOOKUP(A10,$A$1:$F$4,2,FALSE)</f>
        <v>35770.980000000003</v>
      </c>
      <c r="C10" s="1">
        <f>HLOOKUP(A10,$A$1:$F$4,3,FALSE)</f>
        <v>71.7</v>
      </c>
      <c r="D10" s="1">
        <f>HLOOKUP(A10,$A$1:$F$4,4,FALSE)</f>
        <v>8.33</v>
      </c>
    </row>
    <row r="11" spans="1:6" x14ac:dyDescent="0.25">
      <c r="A11" s="1" t="s">
        <v>15</v>
      </c>
      <c r="B11" s="1">
        <f t="shared" ref="B11:B14" si="0">HLOOKUP(A11,$A$1:$F$4,2,FALSE)</f>
        <v>37589.82</v>
      </c>
      <c r="C11" s="1">
        <f t="shared" ref="C11:C14" si="1">HLOOKUP(A11,$A$1:$F$4,3,FALSE)</f>
        <v>70.14</v>
      </c>
      <c r="D11" s="1">
        <f t="shared" ref="D11:D14" si="2">HLOOKUP(A11,$A$1:$F$4,4,FALSE)</f>
        <v>10.532</v>
      </c>
    </row>
    <row r="12" spans="1:6" x14ac:dyDescent="0.25">
      <c r="A12" s="1" t="s">
        <v>17</v>
      </c>
      <c r="B12" s="1">
        <f t="shared" si="0"/>
        <v>39469.599999999999</v>
      </c>
      <c r="C12" s="1">
        <f t="shared" si="1"/>
        <v>71.959999999999994</v>
      </c>
      <c r="D12" s="1">
        <f t="shared" si="2"/>
        <v>9.0500000000000007</v>
      </c>
    </row>
    <row r="13" spans="1:6" x14ac:dyDescent="0.25">
      <c r="A13" s="1" t="s">
        <v>19</v>
      </c>
      <c r="B13" s="1">
        <f t="shared" si="0"/>
        <v>34413.360000000001</v>
      </c>
      <c r="C13" s="1">
        <f t="shared" si="1"/>
        <v>73.58</v>
      </c>
      <c r="D13" s="1">
        <f t="shared" si="2"/>
        <v>9.4320000000000004</v>
      </c>
    </row>
    <row r="14" spans="1:6" x14ac:dyDescent="0.25">
      <c r="A14" s="1" t="s">
        <v>21</v>
      </c>
      <c r="B14" s="1">
        <f t="shared" si="0"/>
        <v>37636.9</v>
      </c>
      <c r="C14" s="1">
        <f t="shared" si="1"/>
        <v>72.22</v>
      </c>
      <c r="D14" s="1">
        <f t="shared" si="2"/>
        <v>10.506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6A23F-D523-4FF4-8A13-021C2D677088}">
  <dimension ref="A1:L501"/>
  <sheetViews>
    <sheetView workbookViewId="0">
      <selection activeCell="G7" sqref="G7"/>
    </sheetView>
  </sheetViews>
  <sheetFormatPr defaultRowHeight="15" x14ac:dyDescent="0.25"/>
  <cols>
    <col min="1" max="1" width="11.7109375" bestFit="1" customWidth="1"/>
    <col min="2" max="2" width="14" bestFit="1" customWidth="1"/>
    <col min="3" max="3" width="5.28515625" bestFit="1" customWidth="1"/>
    <col min="4" max="4" width="17" bestFit="1" customWidth="1"/>
    <col min="5" max="5" width="15" bestFit="1" customWidth="1"/>
    <col min="6" max="6" width="16.7109375" bestFit="1" customWidth="1"/>
    <col min="7" max="7" width="11.85546875" bestFit="1" customWidth="1"/>
    <col min="8" max="8" width="18.28515625" bestFit="1" customWidth="1"/>
    <col min="9" max="9" width="22.140625" bestFit="1" customWidth="1"/>
    <col min="10" max="11" width="14.42578125" bestFit="1" customWidth="1"/>
    <col min="12" max="12" width="14" bestFit="1" customWidth="1"/>
  </cols>
  <sheetData>
    <row r="1" spans="1:12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1" t="s">
        <v>24</v>
      </c>
      <c r="B2" s="1" t="s">
        <v>16</v>
      </c>
      <c r="C2" s="1">
        <v>2022</v>
      </c>
      <c r="D2" s="1">
        <v>26756</v>
      </c>
      <c r="E2" s="1">
        <v>6.8</v>
      </c>
      <c r="F2" s="1">
        <v>71</v>
      </c>
      <c r="G2" s="1">
        <v>1499990158</v>
      </c>
      <c r="H2" s="1">
        <v>59</v>
      </c>
      <c r="I2" s="1">
        <v>18.5</v>
      </c>
      <c r="J2" s="1">
        <v>81</v>
      </c>
      <c r="K2" s="1">
        <v>33</v>
      </c>
      <c r="L2" s="1" t="s">
        <v>16</v>
      </c>
    </row>
    <row r="3" spans="1:12" x14ac:dyDescent="0.25">
      <c r="A3" s="1" t="s">
        <v>24</v>
      </c>
      <c r="B3" s="1" t="s">
        <v>16</v>
      </c>
      <c r="C3" s="1">
        <v>2022</v>
      </c>
      <c r="D3" s="1">
        <v>58981</v>
      </c>
      <c r="E3" s="1">
        <v>8.6999999999999993</v>
      </c>
      <c r="F3" s="1">
        <v>66</v>
      </c>
      <c r="G3" s="1">
        <v>1494679285</v>
      </c>
      <c r="H3" s="1">
        <v>54</v>
      </c>
      <c r="I3" s="1">
        <v>7.2</v>
      </c>
      <c r="J3" s="1">
        <v>93</v>
      </c>
      <c r="K3" s="1">
        <v>67</v>
      </c>
      <c r="L3" s="1" t="s">
        <v>16</v>
      </c>
    </row>
    <row r="4" spans="1:12" x14ac:dyDescent="0.25">
      <c r="A4" s="1" t="s">
        <v>21</v>
      </c>
      <c r="B4" s="1" t="s">
        <v>22</v>
      </c>
      <c r="C4" s="1">
        <v>2022</v>
      </c>
      <c r="D4" s="1">
        <v>48794</v>
      </c>
      <c r="E4" s="1">
        <v>6.4</v>
      </c>
      <c r="F4" s="1">
        <v>64</v>
      </c>
      <c r="G4" s="1">
        <v>1494088218</v>
      </c>
      <c r="H4" s="1">
        <v>53</v>
      </c>
      <c r="I4" s="1">
        <v>25</v>
      </c>
      <c r="J4" s="1">
        <v>72</v>
      </c>
      <c r="K4" s="1">
        <v>76</v>
      </c>
      <c r="L4" s="1" t="s">
        <v>14</v>
      </c>
    </row>
    <row r="5" spans="1:12" x14ac:dyDescent="0.25">
      <c r="A5" s="1" t="s">
        <v>15</v>
      </c>
      <c r="B5" s="1" t="s">
        <v>16</v>
      </c>
      <c r="C5" s="1">
        <v>2022</v>
      </c>
      <c r="D5" s="1">
        <v>63624</v>
      </c>
      <c r="E5" s="1">
        <v>6.7</v>
      </c>
      <c r="F5" s="1">
        <v>73</v>
      </c>
      <c r="G5" s="1">
        <v>1486862463</v>
      </c>
      <c r="H5" s="1">
        <v>70</v>
      </c>
      <c r="I5" s="1">
        <v>3.5</v>
      </c>
      <c r="J5" s="1">
        <v>98</v>
      </c>
      <c r="K5" s="1">
        <v>53</v>
      </c>
      <c r="L5" s="1" t="s">
        <v>16</v>
      </c>
    </row>
    <row r="6" spans="1:12" x14ac:dyDescent="0.25">
      <c r="A6" s="1" t="s">
        <v>25</v>
      </c>
      <c r="B6" s="1" t="s">
        <v>26</v>
      </c>
      <c r="C6" s="1">
        <v>2022</v>
      </c>
      <c r="D6" s="1">
        <v>61238</v>
      </c>
      <c r="E6" s="1">
        <v>16.2</v>
      </c>
      <c r="F6" s="1">
        <v>67</v>
      </c>
      <c r="G6" s="1">
        <v>1484327543</v>
      </c>
      <c r="H6" s="1">
        <v>90</v>
      </c>
      <c r="I6" s="1">
        <v>20.6</v>
      </c>
      <c r="J6" s="1">
        <v>89</v>
      </c>
      <c r="K6" s="1">
        <v>33</v>
      </c>
      <c r="L6" s="1" t="s">
        <v>26</v>
      </c>
    </row>
    <row r="7" spans="1:12" x14ac:dyDescent="0.25">
      <c r="A7" s="1" t="s">
        <v>21</v>
      </c>
      <c r="B7" s="1" t="s">
        <v>22</v>
      </c>
      <c r="C7" s="1">
        <v>2022</v>
      </c>
      <c r="D7" s="1">
        <v>2082</v>
      </c>
      <c r="E7" s="1">
        <v>11.6</v>
      </c>
      <c r="F7" s="1">
        <v>71</v>
      </c>
      <c r="G7" s="1">
        <v>1481031812</v>
      </c>
      <c r="H7" s="1">
        <v>91</v>
      </c>
      <c r="I7" s="1">
        <v>18.399999999999999</v>
      </c>
      <c r="J7" s="1">
        <v>90</v>
      </c>
      <c r="K7" s="1">
        <v>82</v>
      </c>
      <c r="L7" s="1" t="s">
        <v>14</v>
      </c>
    </row>
    <row r="8" spans="1:12" x14ac:dyDescent="0.25">
      <c r="A8" s="1" t="s">
        <v>21</v>
      </c>
      <c r="B8" s="1" t="s">
        <v>22</v>
      </c>
      <c r="C8" s="1">
        <v>2022</v>
      </c>
      <c r="D8" s="1">
        <v>43771</v>
      </c>
      <c r="E8" s="1">
        <v>4.3</v>
      </c>
      <c r="F8" s="1">
        <v>71</v>
      </c>
      <c r="G8" s="1">
        <v>1475110392</v>
      </c>
      <c r="H8" s="1">
        <v>58</v>
      </c>
      <c r="I8" s="1">
        <v>12.8</v>
      </c>
      <c r="J8" s="1">
        <v>70</v>
      </c>
      <c r="K8" s="1">
        <v>59</v>
      </c>
      <c r="L8" s="1" t="s">
        <v>14</v>
      </c>
    </row>
    <row r="9" spans="1:12" x14ac:dyDescent="0.25">
      <c r="A9" s="1" t="s">
        <v>12</v>
      </c>
      <c r="B9" s="1" t="s">
        <v>13</v>
      </c>
      <c r="C9" s="1">
        <v>2022</v>
      </c>
      <c r="D9" s="1">
        <v>6757</v>
      </c>
      <c r="E9" s="1">
        <v>10</v>
      </c>
      <c r="F9" s="1">
        <v>72</v>
      </c>
      <c r="G9" s="1">
        <v>1468227841</v>
      </c>
      <c r="H9" s="1">
        <v>91</v>
      </c>
      <c r="I9" s="1">
        <v>17.600000000000001</v>
      </c>
      <c r="J9" s="1">
        <v>80</v>
      </c>
      <c r="K9" s="1">
        <v>63</v>
      </c>
      <c r="L9" s="1" t="s">
        <v>14</v>
      </c>
    </row>
    <row r="10" spans="1:12" x14ac:dyDescent="0.25">
      <c r="A10" s="1" t="s">
        <v>21</v>
      </c>
      <c r="B10" s="1" t="s">
        <v>22</v>
      </c>
      <c r="C10" s="1">
        <v>2022</v>
      </c>
      <c r="D10" s="1">
        <v>22458</v>
      </c>
      <c r="E10" s="1">
        <v>11.1</v>
      </c>
      <c r="F10" s="1">
        <v>76</v>
      </c>
      <c r="G10" s="1">
        <v>1468157032</v>
      </c>
      <c r="H10" s="1">
        <v>56</v>
      </c>
      <c r="I10" s="1">
        <v>24.5</v>
      </c>
      <c r="J10" s="1">
        <v>78</v>
      </c>
      <c r="K10" s="1">
        <v>44</v>
      </c>
      <c r="L10" s="1" t="s">
        <v>14</v>
      </c>
    </row>
    <row r="11" spans="1:12" x14ac:dyDescent="0.25">
      <c r="A11" s="1" t="s">
        <v>17</v>
      </c>
      <c r="B11" s="1" t="s">
        <v>18</v>
      </c>
      <c r="C11" s="1">
        <v>2022</v>
      </c>
      <c r="D11" s="1">
        <v>54167</v>
      </c>
      <c r="E11" s="1">
        <v>14.3</v>
      </c>
      <c r="F11" s="1">
        <v>64</v>
      </c>
      <c r="G11" s="1">
        <v>1443738440</v>
      </c>
      <c r="H11" s="1">
        <v>50</v>
      </c>
      <c r="I11" s="1">
        <v>15.4</v>
      </c>
      <c r="J11" s="1">
        <v>88</v>
      </c>
      <c r="K11" s="1">
        <v>85</v>
      </c>
      <c r="L11" s="1" t="s">
        <v>18</v>
      </c>
    </row>
    <row r="12" spans="1:12" x14ac:dyDescent="0.25">
      <c r="A12" s="1" t="s">
        <v>19</v>
      </c>
      <c r="B12" s="1" t="s">
        <v>20</v>
      </c>
      <c r="C12" s="1">
        <v>2022</v>
      </c>
      <c r="D12" s="1">
        <v>24488</v>
      </c>
      <c r="E12" s="1">
        <v>3.8</v>
      </c>
      <c r="F12" s="1">
        <v>64</v>
      </c>
      <c r="G12" s="1">
        <v>1426244731</v>
      </c>
      <c r="H12" s="1">
        <v>91</v>
      </c>
      <c r="I12" s="1">
        <v>3.5</v>
      </c>
      <c r="J12" s="1">
        <v>93</v>
      </c>
      <c r="K12" s="1">
        <v>43</v>
      </c>
      <c r="L12" s="1" t="s">
        <v>20</v>
      </c>
    </row>
    <row r="13" spans="1:12" x14ac:dyDescent="0.25">
      <c r="A13" s="1" t="s">
        <v>23</v>
      </c>
      <c r="B13" s="1" t="s">
        <v>18</v>
      </c>
      <c r="C13" s="1">
        <v>2022</v>
      </c>
      <c r="D13" s="1">
        <v>43245</v>
      </c>
      <c r="E13" s="1">
        <v>11.3</v>
      </c>
      <c r="F13" s="1">
        <v>61</v>
      </c>
      <c r="G13" s="1">
        <v>1412620642</v>
      </c>
      <c r="H13" s="1">
        <v>51</v>
      </c>
      <c r="I13" s="1">
        <v>24.3</v>
      </c>
      <c r="J13" s="1">
        <v>97</v>
      </c>
      <c r="K13" s="1">
        <v>49</v>
      </c>
      <c r="L13" s="1" t="s">
        <v>18</v>
      </c>
    </row>
    <row r="14" spans="1:12" x14ac:dyDescent="0.25">
      <c r="A14" s="1" t="s">
        <v>12</v>
      </c>
      <c r="B14" s="1" t="s">
        <v>13</v>
      </c>
      <c r="C14" s="1">
        <v>2022</v>
      </c>
      <c r="D14" s="1">
        <v>11255</v>
      </c>
      <c r="E14" s="1">
        <v>13.7</v>
      </c>
      <c r="F14" s="1">
        <v>64</v>
      </c>
      <c r="G14" s="1">
        <v>1404371911</v>
      </c>
      <c r="H14" s="1">
        <v>64</v>
      </c>
      <c r="I14" s="1">
        <v>5.7</v>
      </c>
      <c r="J14" s="1">
        <v>80</v>
      </c>
      <c r="K14" s="1">
        <v>82</v>
      </c>
      <c r="L14" s="1" t="s">
        <v>14</v>
      </c>
    </row>
    <row r="15" spans="1:12" x14ac:dyDescent="0.25">
      <c r="A15" s="1" t="s">
        <v>28</v>
      </c>
      <c r="B15" s="1" t="s">
        <v>29</v>
      </c>
      <c r="C15" s="1">
        <v>2022</v>
      </c>
      <c r="D15" s="1">
        <v>17332</v>
      </c>
      <c r="E15" s="1">
        <v>16.399999999999999</v>
      </c>
      <c r="F15" s="1">
        <v>81</v>
      </c>
      <c r="G15" s="1">
        <v>1402500309</v>
      </c>
      <c r="H15" s="1">
        <v>79</v>
      </c>
      <c r="I15" s="1">
        <v>12.7</v>
      </c>
      <c r="J15" s="1">
        <v>74</v>
      </c>
      <c r="K15" s="1">
        <v>59</v>
      </c>
      <c r="L15" s="1" t="s">
        <v>29</v>
      </c>
    </row>
    <row r="16" spans="1:12" x14ac:dyDescent="0.25">
      <c r="A16" s="1" t="s">
        <v>28</v>
      </c>
      <c r="B16" s="1" t="s">
        <v>29</v>
      </c>
      <c r="C16" s="1">
        <v>2022</v>
      </c>
      <c r="D16" s="1">
        <v>25722</v>
      </c>
      <c r="E16" s="1">
        <v>5.9</v>
      </c>
      <c r="F16" s="1">
        <v>82</v>
      </c>
      <c r="G16" s="1">
        <v>1399135794</v>
      </c>
      <c r="H16" s="1">
        <v>74</v>
      </c>
      <c r="I16" s="1">
        <v>7</v>
      </c>
      <c r="J16" s="1">
        <v>94</v>
      </c>
      <c r="K16" s="1">
        <v>31</v>
      </c>
      <c r="L16" s="1" t="s">
        <v>29</v>
      </c>
    </row>
    <row r="17" spans="1:12" x14ac:dyDescent="0.25">
      <c r="A17" s="1" t="s">
        <v>19</v>
      </c>
      <c r="B17" s="1" t="s">
        <v>20</v>
      </c>
      <c r="C17" s="1">
        <v>2022</v>
      </c>
      <c r="D17" s="1">
        <v>69420</v>
      </c>
      <c r="E17" s="1">
        <v>15</v>
      </c>
      <c r="F17" s="1">
        <v>82</v>
      </c>
      <c r="G17" s="1">
        <v>1398349896</v>
      </c>
      <c r="H17" s="1">
        <v>54</v>
      </c>
      <c r="I17" s="1">
        <v>14.1</v>
      </c>
      <c r="J17" s="1">
        <v>97</v>
      </c>
      <c r="K17" s="1">
        <v>83</v>
      </c>
      <c r="L17" s="1" t="s">
        <v>20</v>
      </c>
    </row>
    <row r="18" spans="1:12" x14ac:dyDescent="0.25">
      <c r="A18" s="1" t="s">
        <v>19</v>
      </c>
      <c r="B18" s="1" t="s">
        <v>20</v>
      </c>
      <c r="C18" s="1">
        <v>2022</v>
      </c>
      <c r="D18" s="1">
        <v>42941</v>
      </c>
      <c r="E18" s="1">
        <v>9.8000000000000007</v>
      </c>
      <c r="F18" s="1">
        <v>82</v>
      </c>
      <c r="G18" s="1">
        <v>1394902341</v>
      </c>
      <c r="H18" s="1">
        <v>86</v>
      </c>
      <c r="I18" s="1">
        <v>23.2</v>
      </c>
      <c r="J18" s="1">
        <v>99</v>
      </c>
      <c r="K18" s="1">
        <v>76</v>
      </c>
      <c r="L18" s="1" t="s">
        <v>20</v>
      </c>
    </row>
    <row r="19" spans="1:12" x14ac:dyDescent="0.25">
      <c r="A19" s="1" t="s">
        <v>23</v>
      </c>
      <c r="B19" s="1" t="s">
        <v>18</v>
      </c>
      <c r="C19" s="1">
        <v>2022</v>
      </c>
      <c r="D19" s="1">
        <v>31852</v>
      </c>
      <c r="E19" s="1">
        <v>6.7</v>
      </c>
      <c r="F19" s="1">
        <v>63</v>
      </c>
      <c r="G19" s="1">
        <v>1329300454</v>
      </c>
      <c r="H19" s="1">
        <v>59</v>
      </c>
      <c r="I19" s="1">
        <v>17.7</v>
      </c>
      <c r="J19" s="1">
        <v>93</v>
      </c>
      <c r="K19" s="1">
        <v>78</v>
      </c>
      <c r="L19" s="1" t="s">
        <v>18</v>
      </c>
    </row>
    <row r="20" spans="1:12" x14ac:dyDescent="0.25">
      <c r="A20" s="1" t="s">
        <v>21</v>
      </c>
      <c r="B20" s="1" t="s">
        <v>22</v>
      </c>
      <c r="C20" s="1">
        <v>2022</v>
      </c>
      <c r="D20" s="1">
        <v>39009</v>
      </c>
      <c r="E20" s="1">
        <v>7.8</v>
      </c>
      <c r="F20" s="1">
        <v>77</v>
      </c>
      <c r="G20" s="1">
        <v>1305127091</v>
      </c>
      <c r="H20" s="1">
        <v>59</v>
      </c>
      <c r="I20" s="1">
        <v>20.2</v>
      </c>
      <c r="J20" s="1">
        <v>89</v>
      </c>
      <c r="K20" s="1">
        <v>74</v>
      </c>
      <c r="L20" s="1" t="s">
        <v>14</v>
      </c>
    </row>
    <row r="21" spans="1:12" x14ac:dyDescent="0.25">
      <c r="A21" s="1" t="s">
        <v>21</v>
      </c>
      <c r="B21" s="1" t="s">
        <v>22</v>
      </c>
      <c r="C21" s="1">
        <v>2022</v>
      </c>
      <c r="D21" s="1">
        <v>51105</v>
      </c>
      <c r="E21" s="1">
        <v>10.7</v>
      </c>
      <c r="F21" s="1">
        <v>62</v>
      </c>
      <c r="G21" s="1">
        <v>1302533436</v>
      </c>
      <c r="H21" s="1">
        <v>67</v>
      </c>
      <c r="I21" s="1">
        <v>5.3</v>
      </c>
      <c r="J21" s="1">
        <v>70</v>
      </c>
      <c r="K21" s="1">
        <v>63</v>
      </c>
      <c r="L21" s="1" t="s">
        <v>14</v>
      </c>
    </row>
    <row r="22" spans="1:12" x14ac:dyDescent="0.25">
      <c r="A22" s="1" t="s">
        <v>28</v>
      </c>
      <c r="B22" s="1" t="s">
        <v>29</v>
      </c>
      <c r="C22" s="1">
        <v>2022</v>
      </c>
      <c r="D22" s="1">
        <v>28031</v>
      </c>
      <c r="E22" s="1">
        <v>8.6</v>
      </c>
      <c r="F22" s="1">
        <v>68</v>
      </c>
      <c r="G22" s="1">
        <v>1299472365</v>
      </c>
      <c r="H22" s="1">
        <v>64</v>
      </c>
      <c r="I22" s="1">
        <v>9</v>
      </c>
      <c r="J22" s="1">
        <v>95</v>
      </c>
      <c r="K22" s="1">
        <v>75</v>
      </c>
      <c r="L22" s="1" t="s">
        <v>29</v>
      </c>
    </row>
    <row r="23" spans="1:12" x14ac:dyDescent="0.25">
      <c r="A23" s="1" t="s">
        <v>15</v>
      </c>
      <c r="B23" s="1" t="s">
        <v>16</v>
      </c>
      <c r="C23" s="1">
        <v>2022</v>
      </c>
      <c r="D23" s="1">
        <v>23013</v>
      </c>
      <c r="E23" s="1">
        <v>16.2</v>
      </c>
      <c r="F23" s="1">
        <v>75</v>
      </c>
      <c r="G23" s="1">
        <v>1288390039</v>
      </c>
      <c r="H23" s="1">
        <v>76</v>
      </c>
      <c r="I23" s="1">
        <v>22.9</v>
      </c>
      <c r="J23" s="1">
        <v>76</v>
      </c>
      <c r="K23" s="1">
        <v>89</v>
      </c>
      <c r="L23" s="1" t="s">
        <v>16</v>
      </c>
    </row>
    <row r="24" spans="1:12" x14ac:dyDescent="0.25">
      <c r="A24" s="1" t="s">
        <v>23</v>
      </c>
      <c r="B24" s="1" t="s">
        <v>18</v>
      </c>
      <c r="C24" s="1">
        <v>2022</v>
      </c>
      <c r="D24" s="1">
        <v>67591</v>
      </c>
      <c r="E24" s="1">
        <v>10</v>
      </c>
      <c r="F24" s="1">
        <v>72</v>
      </c>
      <c r="G24" s="1">
        <v>1284507238</v>
      </c>
      <c r="H24" s="1">
        <v>63</v>
      </c>
      <c r="I24" s="1">
        <v>7.4</v>
      </c>
      <c r="J24" s="1">
        <v>79</v>
      </c>
      <c r="K24" s="1">
        <v>68</v>
      </c>
      <c r="L24" s="1" t="s">
        <v>18</v>
      </c>
    </row>
    <row r="25" spans="1:12" x14ac:dyDescent="0.25">
      <c r="A25" s="1" t="s">
        <v>17</v>
      </c>
      <c r="B25" s="1" t="s">
        <v>18</v>
      </c>
      <c r="C25" s="1">
        <v>2022</v>
      </c>
      <c r="D25" s="1">
        <v>37347</v>
      </c>
      <c r="E25" s="1">
        <v>12.4</v>
      </c>
      <c r="F25" s="1">
        <v>60</v>
      </c>
      <c r="G25" s="1">
        <v>1277376759</v>
      </c>
      <c r="H25" s="1">
        <v>90</v>
      </c>
      <c r="I25" s="1">
        <v>23.9</v>
      </c>
      <c r="J25" s="1">
        <v>90</v>
      </c>
      <c r="K25" s="1">
        <v>90</v>
      </c>
      <c r="L25" s="1" t="s">
        <v>18</v>
      </c>
    </row>
    <row r="26" spans="1:12" x14ac:dyDescent="0.25">
      <c r="A26" s="1" t="s">
        <v>23</v>
      </c>
      <c r="B26" s="1" t="s">
        <v>18</v>
      </c>
      <c r="C26" s="1">
        <v>2022</v>
      </c>
      <c r="D26" s="1">
        <v>60039</v>
      </c>
      <c r="E26" s="1">
        <v>13.8</v>
      </c>
      <c r="F26" s="1">
        <v>76</v>
      </c>
      <c r="G26" s="1">
        <v>1244251061</v>
      </c>
      <c r="H26" s="1">
        <v>82</v>
      </c>
      <c r="I26" s="1">
        <v>15.4</v>
      </c>
      <c r="J26" s="1">
        <v>80</v>
      </c>
      <c r="K26" s="1">
        <v>83</v>
      </c>
      <c r="L26" s="1" t="s">
        <v>18</v>
      </c>
    </row>
    <row r="27" spans="1:12" x14ac:dyDescent="0.25">
      <c r="A27" s="1" t="s">
        <v>12</v>
      </c>
      <c r="B27" s="1" t="s">
        <v>13</v>
      </c>
      <c r="C27" s="1">
        <v>2022</v>
      </c>
      <c r="D27" s="1">
        <v>8464</v>
      </c>
      <c r="E27" s="1">
        <v>10.1</v>
      </c>
      <c r="F27" s="1">
        <v>67</v>
      </c>
      <c r="G27" s="1">
        <v>1235541893</v>
      </c>
      <c r="H27" s="1">
        <v>91</v>
      </c>
      <c r="I27" s="1">
        <v>8.6</v>
      </c>
      <c r="J27" s="1">
        <v>79</v>
      </c>
      <c r="K27" s="1">
        <v>54</v>
      </c>
      <c r="L27" s="1" t="s">
        <v>14</v>
      </c>
    </row>
    <row r="28" spans="1:12" x14ac:dyDescent="0.25">
      <c r="A28" s="1" t="s">
        <v>24</v>
      </c>
      <c r="B28" s="1" t="s">
        <v>16</v>
      </c>
      <c r="C28" s="1">
        <v>2022</v>
      </c>
      <c r="D28" s="1">
        <v>8301</v>
      </c>
      <c r="E28" s="1">
        <v>3.6</v>
      </c>
      <c r="F28" s="1">
        <v>71</v>
      </c>
      <c r="G28" s="1">
        <v>1222005245</v>
      </c>
      <c r="H28" s="1">
        <v>66</v>
      </c>
      <c r="I28" s="1">
        <v>14</v>
      </c>
      <c r="J28" s="1">
        <v>73</v>
      </c>
      <c r="K28" s="1">
        <v>36</v>
      </c>
      <c r="L28" s="1" t="s">
        <v>16</v>
      </c>
    </row>
    <row r="29" spans="1:12" x14ac:dyDescent="0.25">
      <c r="A29" s="1" t="s">
        <v>17</v>
      </c>
      <c r="B29" s="1" t="s">
        <v>18</v>
      </c>
      <c r="C29" s="1">
        <v>2022</v>
      </c>
      <c r="D29" s="1">
        <v>52212</v>
      </c>
      <c r="E29" s="1">
        <v>12.6</v>
      </c>
      <c r="F29" s="1">
        <v>77</v>
      </c>
      <c r="G29" s="1">
        <v>1214679924</v>
      </c>
      <c r="H29" s="1">
        <v>55</v>
      </c>
      <c r="I29" s="1">
        <v>10.6</v>
      </c>
      <c r="J29" s="1">
        <v>98</v>
      </c>
      <c r="K29" s="1">
        <v>47</v>
      </c>
      <c r="L29" s="1" t="s">
        <v>18</v>
      </c>
    </row>
    <row r="30" spans="1:12" x14ac:dyDescent="0.25">
      <c r="A30" s="1" t="s">
        <v>12</v>
      </c>
      <c r="B30" s="1" t="s">
        <v>13</v>
      </c>
      <c r="C30" s="1">
        <v>2022</v>
      </c>
      <c r="D30" s="1">
        <v>48945</v>
      </c>
      <c r="E30" s="1">
        <v>4.3</v>
      </c>
      <c r="F30" s="1">
        <v>72</v>
      </c>
      <c r="G30" s="1">
        <v>1208978621</v>
      </c>
      <c r="H30" s="1">
        <v>88</v>
      </c>
      <c r="I30" s="1">
        <v>6.4</v>
      </c>
      <c r="J30" s="1">
        <v>100</v>
      </c>
      <c r="K30" s="1">
        <v>47</v>
      </c>
      <c r="L30" s="1" t="s">
        <v>14</v>
      </c>
    </row>
    <row r="31" spans="1:12" x14ac:dyDescent="0.25">
      <c r="A31" s="1" t="s">
        <v>17</v>
      </c>
      <c r="B31" s="1" t="s">
        <v>18</v>
      </c>
      <c r="C31" s="1">
        <v>2022</v>
      </c>
      <c r="D31" s="1">
        <v>55688</v>
      </c>
      <c r="E31" s="1">
        <v>15.6</v>
      </c>
      <c r="F31" s="1">
        <v>65</v>
      </c>
      <c r="G31" s="1">
        <v>1183515905</v>
      </c>
      <c r="H31" s="1">
        <v>69</v>
      </c>
      <c r="I31" s="1">
        <v>8.6999999999999993</v>
      </c>
      <c r="J31" s="1">
        <v>96</v>
      </c>
      <c r="K31" s="1">
        <v>79</v>
      </c>
      <c r="L31" s="1" t="s">
        <v>18</v>
      </c>
    </row>
    <row r="32" spans="1:12" x14ac:dyDescent="0.25">
      <c r="A32" s="1" t="s">
        <v>25</v>
      </c>
      <c r="B32" s="1" t="s">
        <v>26</v>
      </c>
      <c r="C32" s="1">
        <v>2022</v>
      </c>
      <c r="D32" s="1">
        <v>18981</v>
      </c>
      <c r="E32" s="1">
        <v>8.1</v>
      </c>
      <c r="F32" s="1">
        <v>78</v>
      </c>
      <c r="G32" s="1">
        <v>1182968414</v>
      </c>
      <c r="H32" s="1">
        <v>71</v>
      </c>
      <c r="I32" s="1">
        <v>17.8</v>
      </c>
      <c r="J32" s="1">
        <v>95</v>
      </c>
      <c r="K32" s="1">
        <v>58</v>
      </c>
      <c r="L32" s="1" t="s">
        <v>26</v>
      </c>
    </row>
    <row r="33" spans="1:12" x14ac:dyDescent="0.25">
      <c r="A33" s="1" t="s">
        <v>25</v>
      </c>
      <c r="B33" s="1" t="s">
        <v>26</v>
      </c>
      <c r="C33" s="1">
        <v>2022</v>
      </c>
      <c r="D33" s="1">
        <v>7299</v>
      </c>
      <c r="E33" s="1">
        <v>16.3</v>
      </c>
      <c r="F33" s="1">
        <v>65</v>
      </c>
      <c r="G33" s="1">
        <v>1171399308</v>
      </c>
      <c r="H33" s="1">
        <v>81</v>
      </c>
      <c r="I33" s="1">
        <v>15.2</v>
      </c>
      <c r="J33" s="1">
        <v>84</v>
      </c>
      <c r="K33" s="1">
        <v>53</v>
      </c>
      <c r="L33" s="1" t="s">
        <v>26</v>
      </c>
    </row>
    <row r="34" spans="1:12" x14ac:dyDescent="0.25">
      <c r="A34" s="1" t="s">
        <v>23</v>
      </c>
      <c r="B34" s="1" t="s">
        <v>18</v>
      </c>
      <c r="C34" s="1">
        <v>2022</v>
      </c>
      <c r="D34" s="1">
        <v>61512</v>
      </c>
      <c r="E34" s="1">
        <v>16.8</v>
      </c>
      <c r="F34" s="1">
        <v>61</v>
      </c>
      <c r="G34" s="1">
        <v>1155578411</v>
      </c>
      <c r="H34" s="1">
        <v>66</v>
      </c>
      <c r="I34" s="1">
        <v>5.7</v>
      </c>
      <c r="J34" s="1">
        <v>72</v>
      </c>
      <c r="K34" s="1">
        <v>41</v>
      </c>
      <c r="L34" s="1" t="s">
        <v>18</v>
      </c>
    </row>
    <row r="35" spans="1:12" x14ac:dyDescent="0.25">
      <c r="A35" s="1" t="s">
        <v>12</v>
      </c>
      <c r="B35" s="1" t="s">
        <v>13</v>
      </c>
      <c r="C35" s="1">
        <v>2022</v>
      </c>
      <c r="D35" s="1">
        <v>10207</v>
      </c>
      <c r="E35" s="1">
        <v>12.4</v>
      </c>
      <c r="F35" s="1">
        <v>63</v>
      </c>
      <c r="G35" s="1">
        <v>1154961859</v>
      </c>
      <c r="H35" s="1">
        <v>85</v>
      </c>
      <c r="I35" s="1">
        <v>13.8</v>
      </c>
      <c r="J35" s="1">
        <v>76</v>
      </c>
      <c r="K35" s="1">
        <v>44</v>
      </c>
      <c r="L35" s="1" t="s">
        <v>14</v>
      </c>
    </row>
    <row r="36" spans="1:12" x14ac:dyDescent="0.25">
      <c r="A36" s="1" t="s">
        <v>19</v>
      </c>
      <c r="B36" s="1" t="s">
        <v>20</v>
      </c>
      <c r="C36" s="1">
        <v>2022</v>
      </c>
      <c r="D36" s="1">
        <v>5813</v>
      </c>
      <c r="E36" s="1">
        <v>8.6999999999999993</v>
      </c>
      <c r="F36" s="1">
        <v>79</v>
      </c>
      <c r="G36" s="1">
        <v>1139531638</v>
      </c>
      <c r="H36" s="1">
        <v>64</v>
      </c>
      <c r="I36" s="1">
        <v>14.2</v>
      </c>
      <c r="J36" s="1">
        <v>92</v>
      </c>
      <c r="K36" s="1">
        <v>74</v>
      </c>
      <c r="L36" s="1" t="s">
        <v>20</v>
      </c>
    </row>
    <row r="37" spans="1:12" x14ac:dyDescent="0.25">
      <c r="A37" s="1" t="s">
        <v>27</v>
      </c>
      <c r="B37" s="1" t="s">
        <v>22</v>
      </c>
      <c r="C37" s="1">
        <v>2022</v>
      </c>
      <c r="D37" s="1">
        <v>55077</v>
      </c>
      <c r="E37" s="1">
        <v>4</v>
      </c>
      <c r="F37" s="1">
        <v>69</v>
      </c>
      <c r="G37" s="1">
        <v>1138020658</v>
      </c>
      <c r="H37" s="1">
        <v>95</v>
      </c>
      <c r="I37" s="1">
        <v>15.4</v>
      </c>
      <c r="J37" s="1">
        <v>79</v>
      </c>
      <c r="K37" s="1">
        <v>54</v>
      </c>
      <c r="L37" s="1" t="s">
        <v>14</v>
      </c>
    </row>
    <row r="38" spans="1:12" x14ac:dyDescent="0.25">
      <c r="A38" s="1" t="s">
        <v>19</v>
      </c>
      <c r="B38" s="1" t="s">
        <v>20</v>
      </c>
      <c r="C38" s="1">
        <v>2022</v>
      </c>
      <c r="D38" s="1">
        <v>17522</v>
      </c>
      <c r="E38" s="1">
        <v>9.3000000000000007</v>
      </c>
      <c r="F38" s="1">
        <v>76</v>
      </c>
      <c r="G38" s="1">
        <v>1130161606</v>
      </c>
      <c r="H38" s="1">
        <v>89</v>
      </c>
      <c r="I38" s="1">
        <v>10.3</v>
      </c>
      <c r="J38" s="1">
        <v>76</v>
      </c>
      <c r="K38" s="1">
        <v>68</v>
      </c>
      <c r="L38" s="1" t="s">
        <v>20</v>
      </c>
    </row>
    <row r="39" spans="1:12" x14ac:dyDescent="0.25">
      <c r="A39" s="1" t="s">
        <v>19</v>
      </c>
      <c r="B39" s="1" t="s">
        <v>20</v>
      </c>
      <c r="C39" s="1">
        <v>2022</v>
      </c>
      <c r="D39" s="1">
        <v>3592</v>
      </c>
      <c r="E39" s="1">
        <v>13.4</v>
      </c>
      <c r="F39" s="1">
        <v>79</v>
      </c>
      <c r="G39" s="1">
        <v>1097647114</v>
      </c>
      <c r="H39" s="1">
        <v>67</v>
      </c>
      <c r="I39" s="1">
        <v>13.8</v>
      </c>
      <c r="J39" s="1">
        <v>85</v>
      </c>
      <c r="K39" s="1">
        <v>41</v>
      </c>
      <c r="L39" s="1" t="s">
        <v>20</v>
      </c>
    </row>
    <row r="40" spans="1:12" x14ac:dyDescent="0.25">
      <c r="A40" s="1" t="s">
        <v>25</v>
      </c>
      <c r="B40" s="1" t="s">
        <v>26</v>
      </c>
      <c r="C40" s="1">
        <v>2022</v>
      </c>
      <c r="D40" s="1">
        <v>45061</v>
      </c>
      <c r="E40" s="1">
        <v>6</v>
      </c>
      <c r="F40" s="1">
        <v>68</v>
      </c>
      <c r="G40" s="1">
        <v>1087600014</v>
      </c>
      <c r="H40" s="1">
        <v>95</v>
      </c>
      <c r="I40" s="1">
        <v>15.1</v>
      </c>
      <c r="J40" s="1">
        <v>100</v>
      </c>
      <c r="K40" s="1">
        <v>66</v>
      </c>
      <c r="L40" s="1" t="s">
        <v>26</v>
      </c>
    </row>
    <row r="41" spans="1:12" x14ac:dyDescent="0.25">
      <c r="A41" s="1" t="s">
        <v>24</v>
      </c>
      <c r="B41" s="1" t="s">
        <v>16</v>
      </c>
      <c r="C41" s="1">
        <v>2022</v>
      </c>
      <c r="D41" s="1">
        <v>47653</v>
      </c>
      <c r="E41" s="1">
        <v>10</v>
      </c>
      <c r="F41" s="1">
        <v>77</v>
      </c>
      <c r="G41" s="1">
        <v>1080423577</v>
      </c>
      <c r="H41" s="1">
        <v>89</v>
      </c>
      <c r="I41" s="1">
        <v>24</v>
      </c>
      <c r="J41" s="1">
        <v>94</v>
      </c>
      <c r="K41" s="1">
        <v>50</v>
      </c>
      <c r="L41" s="1" t="s">
        <v>16</v>
      </c>
    </row>
    <row r="42" spans="1:12" x14ac:dyDescent="0.25">
      <c r="A42" s="1" t="s">
        <v>23</v>
      </c>
      <c r="B42" s="1" t="s">
        <v>18</v>
      </c>
      <c r="C42" s="1">
        <v>2022</v>
      </c>
      <c r="D42" s="1">
        <v>21975</v>
      </c>
      <c r="E42" s="1">
        <v>13</v>
      </c>
      <c r="F42" s="1">
        <v>66</v>
      </c>
      <c r="G42" s="1">
        <v>1077294623</v>
      </c>
      <c r="H42" s="1">
        <v>64</v>
      </c>
      <c r="I42" s="1">
        <v>9.6</v>
      </c>
      <c r="J42" s="1">
        <v>86</v>
      </c>
      <c r="K42" s="1">
        <v>61</v>
      </c>
      <c r="L42" s="1" t="s">
        <v>18</v>
      </c>
    </row>
    <row r="43" spans="1:12" x14ac:dyDescent="0.25">
      <c r="A43" s="1" t="s">
        <v>21</v>
      </c>
      <c r="B43" s="1" t="s">
        <v>22</v>
      </c>
      <c r="C43" s="1">
        <v>2022</v>
      </c>
      <c r="D43" s="1">
        <v>56100</v>
      </c>
      <c r="E43" s="1">
        <v>12</v>
      </c>
      <c r="F43" s="1">
        <v>61</v>
      </c>
      <c r="G43" s="1">
        <v>1074972358</v>
      </c>
      <c r="H43" s="1">
        <v>64</v>
      </c>
      <c r="I43" s="1">
        <v>15.5</v>
      </c>
      <c r="J43" s="1">
        <v>71</v>
      </c>
      <c r="K43" s="1">
        <v>40</v>
      </c>
      <c r="L43" s="1" t="s">
        <v>14</v>
      </c>
    </row>
    <row r="44" spans="1:12" x14ac:dyDescent="0.25">
      <c r="A44" s="1" t="s">
        <v>17</v>
      </c>
      <c r="B44" s="1" t="s">
        <v>18</v>
      </c>
      <c r="C44" s="1">
        <v>2022</v>
      </c>
      <c r="D44" s="1">
        <v>40567</v>
      </c>
      <c r="E44" s="1">
        <v>13</v>
      </c>
      <c r="F44" s="1">
        <v>60</v>
      </c>
      <c r="G44" s="1">
        <v>1073893367</v>
      </c>
      <c r="H44" s="1">
        <v>62</v>
      </c>
      <c r="I44" s="1">
        <v>13.7</v>
      </c>
      <c r="J44" s="1">
        <v>89</v>
      </c>
      <c r="K44" s="1">
        <v>40</v>
      </c>
      <c r="L44" s="1" t="s">
        <v>18</v>
      </c>
    </row>
    <row r="45" spans="1:12" x14ac:dyDescent="0.25">
      <c r="A45" s="1" t="s">
        <v>25</v>
      </c>
      <c r="B45" s="1" t="s">
        <v>26</v>
      </c>
      <c r="C45" s="1">
        <v>2022</v>
      </c>
      <c r="D45" s="1">
        <v>45330</v>
      </c>
      <c r="E45" s="1">
        <v>7.9</v>
      </c>
      <c r="F45" s="1">
        <v>80</v>
      </c>
      <c r="G45" s="1">
        <v>1071613692</v>
      </c>
      <c r="H45" s="1">
        <v>91</v>
      </c>
      <c r="I45" s="1">
        <v>24.3</v>
      </c>
      <c r="J45" s="1">
        <v>91</v>
      </c>
      <c r="K45" s="1">
        <v>82</v>
      </c>
      <c r="L45" s="1" t="s">
        <v>26</v>
      </c>
    </row>
    <row r="46" spans="1:12" x14ac:dyDescent="0.25">
      <c r="A46" s="1" t="s">
        <v>24</v>
      </c>
      <c r="B46" s="1" t="s">
        <v>16</v>
      </c>
      <c r="C46" s="1">
        <v>2022</v>
      </c>
      <c r="D46" s="1">
        <v>45776</v>
      </c>
      <c r="E46" s="1">
        <v>15.7</v>
      </c>
      <c r="F46" s="1">
        <v>77</v>
      </c>
      <c r="G46" s="1">
        <v>1066928404</v>
      </c>
      <c r="H46" s="1">
        <v>55</v>
      </c>
      <c r="I46" s="1">
        <v>18.7</v>
      </c>
      <c r="J46" s="1">
        <v>93</v>
      </c>
      <c r="K46" s="1">
        <v>53</v>
      </c>
      <c r="L46" s="1" t="s">
        <v>16</v>
      </c>
    </row>
    <row r="47" spans="1:12" x14ac:dyDescent="0.25">
      <c r="A47" s="1" t="s">
        <v>19</v>
      </c>
      <c r="B47" s="1" t="s">
        <v>20</v>
      </c>
      <c r="C47" s="1">
        <v>2022</v>
      </c>
      <c r="D47" s="1">
        <v>20608</v>
      </c>
      <c r="E47" s="1">
        <v>5.6</v>
      </c>
      <c r="F47" s="1">
        <v>77</v>
      </c>
      <c r="G47" s="1">
        <v>1036525703</v>
      </c>
      <c r="H47" s="1">
        <v>83</v>
      </c>
      <c r="I47" s="1">
        <v>24.6</v>
      </c>
      <c r="J47" s="1">
        <v>88</v>
      </c>
      <c r="K47" s="1">
        <v>68</v>
      </c>
      <c r="L47" s="1" t="s">
        <v>20</v>
      </c>
    </row>
    <row r="48" spans="1:12" x14ac:dyDescent="0.25">
      <c r="A48" s="1" t="s">
        <v>12</v>
      </c>
      <c r="B48" s="1" t="s">
        <v>13</v>
      </c>
      <c r="C48" s="1">
        <v>2022</v>
      </c>
      <c r="D48" s="1">
        <v>14668</v>
      </c>
      <c r="E48" s="1">
        <v>7.5</v>
      </c>
      <c r="F48" s="1">
        <v>82</v>
      </c>
      <c r="G48" s="1">
        <v>1036423983</v>
      </c>
      <c r="H48" s="1">
        <v>52</v>
      </c>
      <c r="I48" s="1">
        <v>17.3</v>
      </c>
      <c r="J48" s="1">
        <v>78</v>
      </c>
      <c r="K48" s="1">
        <v>52</v>
      </c>
      <c r="L48" s="1" t="s">
        <v>14</v>
      </c>
    </row>
    <row r="49" spans="1:12" x14ac:dyDescent="0.25">
      <c r="A49" s="1" t="s">
        <v>25</v>
      </c>
      <c r="B49" s="1" t="s">
        <v>26</v>
      </c>
      <c r="C49" s="1">
        <v>2022</v>
      </c>
      <c r="D49" s="1">
        <v>40675</v>
      </c>
      <c r="E49" s="1">
        <v>14.8</v>
      </c>
      <c r="F49" s="1">
        <v>84</v>
      </c>
      <c r="G49" s="1">
        <v>1028631086</v>
      </c>
      <c r="H49" s="1">
        <v>58</v>
      </c>
      <c r="I49" s="1">
        <v>16.2</v>
      </c>
      <c r="J49" s="1">
        <v>90</v>
      </c>
      <c r="K49" s="1">
        <v>87</v>
      </c>
      <c r="L49" s="1" t="s">
        <v>26</v>
      </c>
    </row>
    <row r="50" spans="1:12" x14ac:dyDescent="0.25">
      <c r="A50" s="1" t="s">
        <v>17</v>
      </c>
      <c r="B50" s="1" t="s">
        <v>18</v>
      </c>
      <c r="C50" s="1">
        <v>2022</v>
      </c>
      <c r="D50" s="1">
        <v>32915</v>
      </c>
      <c r="E50" s="1">
        <v>7.3</v>
      </c>
      <c r="F50" s="1">
        <v>81</v>
      </c>
      <c r="G50" s="1">
        <v>1024677989</v>
      </c>
      <c r="H50" s="1">
        <v>84</v>
      </c>
      <c r="I50" s="1">
        <v>22</v>
      </c>
      <c r="J50" s="1">
        <v>86</v>
      </c>
      <c r="K50" s="1">
        <v>88</v>
      </c>
      <c r="L50" s="1" t="s">
        <v>18</v>
      </c>
    </row>
    <row r="51" spans="1:12" x14ac:dyDescent="0.25">
      <c r="A51" s="1" t="s">
        <v>12</v>
      </c>
      <c r="B51" s="1" t="s">
        <v>13</v>
      </c>
      <c r="C51" s="1">
        <v>2022</v>
      </c>
      <c r="D51" s="1">
        <v>11914</v>
      </c>
      <c r="E51" s="1">
        <v>17</v>
      </c>
      <c r="F51" s="1">
        <v>69</v>
      </c>
      <c r="G51" s="1">
        <v>1020220619</v>
      </c>
      <c r="H51" s="1">
        <v>74</v>
      </c>
      <c r="I51" s="1">
        <v>12.7</v>
      </c>
      <c r="J51" s="1">
        <v>94</v>
      </c>
      <c r="K51" s="1">
        <v>64</v>
      </c>
      <c r="L51" s="1" t="s">
        <v>14</v>
      </c>
    </row>
    <row r="52" spans="1:12" x14ac:dyDescent="0.25">
      <c r="A52" s="1" t="s">
        <v>27</v>
      </c>
      <c r="B52" s="1" t="s">
        <v>22</v>
      </c>
      <c r="C52" s="1">
        <v>2022</v>
      </c>
      <c r="D52" s="1">
        <v>15705</v>
      </c>
      <c r="E52" s="1">
        <v>7.9</v>
      </c>
      <c r="F52" s="1">
        <v>61</v>
      </c>
      <c r="G52" s="1">
        <v>1008291475</v>
      </c>
      <c r="H52" s="1">
        <v>85</v>
      </c>
      <c r="I52" s="1">
        <v>13.9</v>
      </c>
      <c r="J52" s="1">
        <v>70</v>
      </c>
      <c r="K52" s="1">
        <v>37</v>
      </c>
      <c r="L52" s="1" t="s">
        <v>14</v>
      </c>
    </row>
    <row r="53" spans="1:12" x14ac:dyDescent="0.25">
      <c r="A53" s="1" t="s">
        <v>28</v>
      </c>
      <c r="B53" s="1" t="s">
        <v>29</v>
      </c>
      <c r="C53" s="1">
        <v>2022</v>
      </c>
      <c r="D53" s="1">
        <v>22421</v>
      </c>
      <c r="E53" s="1">
        <v>9.6</v>
      </c>
      <c r="F53" s="1">
        <v>71</v>
      </c>
      <c r="G53" s="1">
        <v>1003413259</v>
      </c>
      <c r="H53" s="1">
        <v>75</v>
      </c>
      <c r="I53" s="1">
        <v>15.9</v>
      </c>
      <c r="J53" s="1">
        <v>97</v>
      </c>
      <c r="K53" s="1">
        <v>53</v>
      </c>
      <c r="L53" s="1" t="s">
        <v>29</v>
      </c>
    </row>
    <row r="54" spans="1:12" x14ac:dyDescent="0.25">
      <c r="A54" s="1" t="s">
        <v>12</v>
      </c>
      <c r="B54" s="1" t="s">
        <v>13</v>
      </c>
      <c r="C54" s="1">
        <v>2022</v>
      </c>
      <c r="D54" s="1">
        <v>65719</v>
      </c>
      <c r="E54" s="1">
        <v>15.9</v>
      </c>
      <c r="F54" s="1">
        <v>80</v>
      </c>
      <c r="G54" s="1">
        <v>998891419</v>
      </c>
      <c r="H54" s="1">
        <v>51</v>
      </c>
      <c r="I54" s="1">
        <v>20.2</v>
      </c>
      <c r="J54" s="1">
        <v>91</v>
      </c>
      <c r="K54" s="1">
        <v>32</v>
      </c>
      <c r="L54" s="1" t="s">
        <v>14</v>
      </c>
    </row>
    <row r="55" spans="1:12" x14ac:dyDescent="0.25">
      <c r="A55" s="1" t="s">
        <v>23</v>
      </c>
      <c r="B55" s="1" t="s">
        <v>18</v>
      </c>
      <c r="C55" s="1">
        <v>2022</v>
      </c>
      <c r="D55" s="1">
        <v>65671</v>
      </c>
      <c r="E55" s="1">
        <v>4.2</v>
      </c>
      <c r="F55" s="1">
        <v>81</v>
      </c>
      <c r="G55" s="1">
        <v>997000219</v>
      </c>
      <c r="H55" s="1">
        <v>55</v>
      </c>
      <c r="I55" s="1">
        <v>11.8</v>
      </c>
      <c r="J55" s="1">
        <v>88</v>
      </c>
      <c r="K55" s="1">
        <v>83</v>
      </c>
      <c r="L55" s="1" t="s">
        <v>18</v>
      </c>
    </row>
    <row r="56" spans="1:12" x14ac:dyDescent="0.25">
      <c r="A56" s="1" t="s">
        <v>27</v>
      </c>
      <c r="B56" s="1" t="s">
        <v>22</v>
      </c>
      <c r="C56" s="1">
        <v>2022</v>
      </c>
      <c r="D56" s="1">
        <v>42457</v>
      </c>
      <c r="E56" s="1">
        <v>6.7</v>
      </c>
      <c r="F56" s="1">
        <v>64</v>
      </c>
      <c r="G56" s="1">
        <v>995432119</v>
      </c>
      <c r="H56" s="1">
        <v>89</v>
      </c>
      <c r="I56" s="1">
        <v>22.9</v>
      </c>
      <c r="J56" s="1">
        <v>73</v>
      </c>
      <c r="K56" s="1">
        <v>58</v>
      </c>
      <c r="L56" s="1" t="s">
        <v>14</v>
      </c>
    </row>
    <row r="57" spans="1:12" x14ac:dyDescent="0.25">
      <c r="A57" s="1" t="s">
        <v>25</v>
      </c>
      <c r="B57" s="1" t="s">
        <v>26</v>
      </c>
      <c r="C57" s="1">
        <v>2022</v>
      </c>
      <c r="D57" s="1">
        <v>27083</v>
      </c>
      <c r="E57" s="1">
        <v>5.4</v>
      </c>
      <c r="F57" s="1">
        <v>68</v>
      </c>
      <c r="G57" s="1">
        <v>991560709</v>
      </c>
      <c r="H57" s="1">
        <v>94</v>
      </c>
      <c r="I57" s="1">
        <v>24.5</v>
      </c>
      <c r="J57" s="1">
        <v>78</v>
      </c>
      <c r="K57" s="1">
        <v>66</v>
      </c>
      <c r="L57" s="1" t="s">
        <v>26</v>
      </c>
    </row>
    <row r="58" spans="1:12" x14ac:dyDescent="0.25">
      <c r="A58" s="1" t="s">
        <v>21</v>
      </c>
      <c r="B58" s="1" t="s">
        <v>22</v>
      </c>
      <c r="C58" s="1">
        <v>2022</v>
      </c>
      <c r="D58" s="1">
        <v>57942</v>
      </c>
      <c r="E58" s="1">
        <v>15.8</v>
      </c>
      <c r="F58" s="1">
        <v>74</v>
      </c>
      <c r="G58" s="1">
        <v>990445706</v>
      </c>
      <c r="H58" s="1">
        <v>80</v>
      </c>
      <c r="I58" s="1">
        <v>12.4</v>
      </c>
      <c r="J58" s="1">
        <v>99</v>
      </c>
      <c r="K58" s="1">
        <v>54</v>
      </c>
      <c r="L58" s="1" t="s">
        <v>14</v>
      </c>
    </row>
    <row r="59" spans="1:12" x14ac:dyDescent="0.25">
      <c r="A59" s="1" t="s">
        <v>28</v>
      </c>
      <c r="B59" s="1" t="s">
        <v>29</v>
      </c>
      <c r="C59" s="1">
        <v>2022</v>
      </c>
      <c r="D59" s="1">
        <v>27234</v>
      </c>
      <c r="E59" s="1">
        <v>8.3000000000000007</v>
      </c>
      <c r="F59" s="1">
        <v>84</v>
      </c>
      <c r="G59" s="1">
        <v>990411739</v>
      </c>
      <c r="H59" s="1">
        <v>91</v>
      </c>
      <c r="I59" s="1">
        <v>10.7</v>
      </c>
      <c r="J59" s="1">
        <v>80</v>
      </c>
      <c r="K59" s="1">
        <v>58</v>
      </c>
      <c r="L59" s="1" t="s">
        <v>29</v>
      </c>
    </row>
    <row r="60" spans="1:12" x14ac:dyDescent="0.25">
      <c r="A60" s="1" t="s">
        <v>17</v>
      </c>
      <c r="B60" s="1" t="s">
        <v>18</v>
      </c>
      <c r="C60" s="1">
        <v>2022</v>
      </c>
      <c r="D60" s="1">
        <v>49125</v>
      </c>
      <c r="E60" s="1">
        <v>8.8000000000000007</v>
      </c>
      <c r="F60" s="1">
        <v>67</v>
      </c>
      <c r="G60" s="1">
        <v>989617288</v>
      </c>
      <c r="H60" s="1">
        <v>51</v>
      </c>
      <c r="I60" s="1">
        <v>4.0999999999999996</v>
      </c>
      <c r="J60" s="1">
        <v>78</v>
      </c>
      <c r="K60" s="1">
        <v>86</v>
      </c>
      <c r="L60" s="1" t="s">
        <v>18</v>
      </c>
    </row>
    <row r="61" spans="1:12" x14ac:dyDescent="0.25">
      <c r="A61" s="1" t="s">
        <v>12</v>
      </c>
      <c r="B61" s="1" t="s">
        <v>13</v>
      </c>
      <c r="C61" s="1">
        <v>2022</v>
      </c>
      <c r="D61" s="1">
        <v>2957</v>
      </c>
      <c r="E61" s="1">
        <v>13.4</v>
      </c>
      <c r="F61" s="1">
        <v>81</v>
      </c>
      <c r="G61" s="1">
        <v>988659312</v>
      </c>
      <c r="H61" s="1">
        <v>78</v>
      </c>
      <c r="I61" s="1">
        <v>19</v>
      </c>
      <c r="J61" s="1">
        <v>82</v>
      </c>
      <c r="K61" s="1">
        <v>56</v>
      </c>
      <c r="L61" s="1" t="s">
        <v>14</v>
      </c>
    </row>
    <row r="62" spans="1:12" x14ac:dyDescent="0.25">
      <c r="A62" s="1" t="s">
        <v>24</v>
      </c>
      <c r="B62" s="1" t="s">
        <v>16</v>
      </c>
      <c r="C62" s="1">
        <v>2022</v>
      </c>
      <c r="D62" s="1">
        <v>43484</v>
      </c>
      <c r="E62" s="1">
        <v>4.0999999999999996</v>
      </c>
      <c r="F62" s="1">
        <v>84</v>
      </c>
      <c r="G62" s="1">
        <v>987668740</v>
      </c>
      <c r="H62" s="1">
        <v>89</v>
      </c>
      <c r="I62" s="1">
        <v>12</v>
      </c>
      <c r="J62" s="1">
        <v>84</v>
      </c>
      <c r="K62" s="1">
        <v>63</v>
      </c>
      <c r="L62" s="1" t="s">
        <v>16</v>
      </c>
    </row>
    <row r="63" spans="1:12" x14ac:dyDescent="0.25">
      <c r="A63" s="1" t="s">
        <v>17</v>
      </c>
      <c r="B63" s="1" t="s">
        <v>18</v>
      </c>
      <c r="C63" s="1">
        <v>2022</v>
      </c>
      <c r="D63" s="1">
        <v>43885</v>
      </c>
      <c r="E63" s="1">
        <v>7.9</v>
      </c>
      <c r="F63" s="1">
        <v>74</v>
      </c>
      <c r="G63" s="1">
        <v>983771547</v>
      </c>
      <c r="H63" s="1">
        <v>95</v>
      </c>
      <c r="I63" s="1">
        <v>4.9000000000000004</v>
      </c>
      <c r="J63" s="1">
        <v>98</v>
      </c>
      <c r="K63" s="1">
        <v>82</v>
      </c>
      <c r="L63" s="1" t="s">
        <v>18</v>
      </c>
    </row>
    <row r="64" spans="1:12" x14ac:dyDescent="0.25">
      <c r="A64" s="1" t="s">
        <v>24</v>
      </c>
      <c r="B64" s="1" t="s">
        <v>16</v>
      </c>
      <c r="C64" s="1">
        <v>2022</v>
      </c>
      <c r="D64" s="1">
        <v>6329</v>
      </c>
      <c r="E64" s="1">
        <v>3.9</v>
      </c>
      <c r="F64" s="1">
        <v>69</v>
      </c>
      <c r="G64" s="1">
        <v>973035484</v>
      </c>
      <c r="H64" s="1">
        <v>82</v>
      </c>
      <c r="I64" s="1">
        <v>12.3</v>
      </c>
      <c r="J64" s="1">
        <v>71</v>
      </c>
      <c r="K64" s="1">
        <v>48</v>
      </c>
      <c r="L64" s="1" t="s">
        <v>16</v>
      </c>
    </row>
    <row r="65" spans="1:12" x14ac:dyDescent="0.25">
      <c r="A65" s="1" t="s">
        <v>15</v>
      </c>
      <c r="B65" s="1" t="s">
        <v>16</v>
      </c>
      <c r="C65" s="1">
        <v>2022</v>
      </c>
      <c r="D65" s="1">
        <v>43633</v>
      </c>
      <c r="E65" s="1">
        <v>9.6999999999999993</v>
      </c>
      <c r="F65" s="1">
        <v>71</v>
      </c>
      <c r="G65" s="1">
        <v>971847595</v>
      </c>
      <c r="H65" s="1">
        <v>64</v>
      </c>
      <c r="I65" s="1">
        <v>21.3</v>
      </c>
      <c r="J65" s="1">
        <v>78</v>
      </c>
      <c r="K65" s="1">
        <v>38</v>
      </c>
      <c r="L65" s="1" t="s">
        <v>16</v>
      </c>
    </row>
    <row r="66" spans="1:12" x14ac:dyDescent="0.25">
      <c r="A66" s="1" t="s">
        <v>25</v>
      </c>
      <c r="B66" s="1" t="s">
        <v>26</v>
      </c>
      <c r="C66" s="1">
        <v>2022</v>
      </c>
      <c r="D66" s="1">
        <v>66907</v>
      </c>
      <c r="E66" s="1">
        <v>10</v>
      </c>
      <c r="F66" s="1">
        <v>61</v>
      </c>
      <c r="G66" s="1">
        <v>971814165</v>
      </c>
      <c r="H66" s="1">
        <v>60</v>
      </c>
      <c r="I66" s="1">
        <v>10.7</v>
      </c>
      <c r="J66" s="1">
        <v>88</v>
      </c>
      <c r="K66" s="1">
        <v>46</v>
      </c>
      <c r="L66" s="1" t="s">
        <v>26</v>
      </c>
    </row>
    <row r="67" spans="1:12" x14ac:dyDescent="0.25">
      <c r="A67" s="1" t="s">
        <v>25</v>
      </c>
      <c r="B67" s="1" t="s">
        <v>26</v>
      </c>
      <c r="C67" s="1">
        <v>2022</v>
      </c>
      <c r="D67" s="1">
        <v>31443</v>
      </c>
      <c r="E67" s="1">
        <v>11.5</v>
      </c>
      <c r="F67" s="1">
        <v>62</v>
      </c>
      <c r="G67" s="1">
        <v>953750645</v>
      </c>
      <c r="H67" s="1">
        <v>64</v>
      </c>
      <c r="I67" s="1">
        <v>9.1999999999999993</v>
      </c>
      <c r="J67" s="1">
        <v>95</v>
      </c>
      <c r="K67" s="1">
        <v>37</v>
      </c>
      <c r="L67" s="1" t="s">
        <v>26</v>
      </c>
    </row>
    <row r="68" spans="1:12" x14ac:dyDescent="0.25">
      <c r="A68" s="1" t="s">
        <v>25</v>
      </c>
      <c r="B68" s="1" t="s">
        <v>26</v>
      </c>
      <c r="C68" s="1">
        <v>2022</v>
      </c>
      <c r="D68" s="1">
        <v>8851</v>
      </c>
      <c r="E68" s="1">
        <v>12</v>
      </c>
      <c r="F68" s="1">
        <v>78</v>
      </c>
      <c r="G68" s="1">
        <v>946720689</v>
      </c>
      <c r="H68" s="1">
        <v>92</v>
      </c>
      <c r="I68" s="1">
        <v>10.5</v>
      </c>
      <c r="J68" s="1">
        <v>91</v>
      </c>
      <c r="K68" s="1">
        <v>43</v>
      </c>
      <c r="L68" s="1" t="s">
        <v>26</v>
      </c>
    </row>
    <row r="69" spans="1:12" x14ac:dyDescent="0.25">
      <c r="A69" s="1" t="s">
        <v>24</v>
      </c>
      <c r="B69" s="1" t="s">
        <v>16</v>
      </c>
      <c r="C69" s="1">
        <v>2022</v>
      </c>
      <c r="D69" s="1">
        <v>16460</v>
      </c>
      <c r="E69" s="1">
        <v>11.6</v>
      </c>
      <c r="F69" s="1">
        <v>62</v>
      </c>
      <c r="G69" s="1">
        <v>944538253</v>
      </c>
      <c r="H69" s="1">
        <v>63</v>
      </c>
      <c r="I69" s="1">
        <v>10.6</v>
      </c>
      <c r="J69" s="1">
        <v>93</v>
      </c>
      <c r="K69" s="1">
        <v>56</v>
      </c>
      <c r="L69" s="1" t="s">
        <v>16</v>
      </c>
    </row>
    <row r="70" spans="1:12" x14ac:dyDescent="0.25">
      <c r="A70" s="1" t="s">
        <v>25</v>
      </c>
      <c r="B70" s="1" t="s">
        <v>26</v>
      </c>
      <c r="C70" s="1">
        <v>2022</v>
      </c>
      <c r="D70" s="1">
        <v>59263</v>
      </c>
      <c r="E70" s="1">
        <v>15.2</v>
      </c>
      <c r="F70" s="1">
        <v>64</v>
      </c>
      <c r="G70" s="1">
        <v>943214899</v>
      </c>
      <c r="H70" s="1">
        <v>74</v>
      </c>
      <c r="I70" s="1">
        <v>25</v>
      </c>
      <c r="J70" s="1">
        <v>70</v>
      </c>
      <c r="K70" s="1">
        <v>48</v>
      </c>
      <c r="L70" s="1" t="s">
        <v>26</v>
      </c>
    </row>
    <row r="71" spans="1:12" x14ac:dyDescent="0.25">
      <c r="A71" s="1" t="s">
        <v>27</v>
      </c>
      <c r="B71" s="1" t="s">
        <v>22</v>
      </c>
      <c r="C71" s="1">
        <v>2022</v>
      </c>
      <c r="D71" s="1">
        <v>63564</v>
      </c>
      <c r="E71" s="1">
        <v>7.5</v>
      </c>
      <c r="F71" s="1">
        <v>72</v>
      </c>
      <c r="G71" s="1">
        <v>939466196</v>
      </c>
      <c r="H71" s="1">
        <v>80</v>
      </c>
      <c r="I71" s="1">
        <v>14.8</v>
      </c>
      <c r="J71" s="1">
        <v>76</v>
      </c>
      <c r="K71" s="1">
        <v>66</v>
      </c>
      <c r="L71" s="1" t="s">
        <v>14</v>
      </c>
    </row>
    <row r="72" spans="1:12" x14ac:dyDescent="0.25">
      <c r="A72" s="1" t="s">
        <v>21</v>
      </c>
      <c r="B72" s="1" t="s">
        <v>22</v>
      </c>
      <c r="C72" s="1">
        <v>2022</v>
      </c>
      <c r="D72" s="1">
        <v>51451</v>
      </c>
      <c r="E72" s="1">
        <v>16.7</v>
      </c>
      <c r="F72" s="1">
        <v>60</v>
      </c>
      <c r="G72" s="1">
        <v>936673231</v>
      </c>
      <c r="H72" s="1">
        <v>67</v>
      </c>
      <c r="I72" s="1">
        <v>18</v>
      </c>
      <c r="J72" s="1">
        <v>73</v>
      </c>
      <c r="K72" s="1">
        <v>56</v>
      </c>
      <c r="L72" s="1" t="s">
        <v>14</v>
      </c>
    </row>
    <row r="73" spans="1:12" x14ac:dyDescent="0.25">
      <c r="A73" s="1" t="s">
        <v>25</v>
      </c>
      <c r="B73" s="1" t="s">
        <v>26</v>
      </c>
      <c r="C73" s="1">
        <v>2022</v>
      </c>
      <c r="D73" s="1">
        <v>8861</v>
      </c>
      <c r="E73" s="1">
        <v>15.2</v>
      </c>
      <c r="F73" s="1">
        <v>72</v>
      </c>
      <c r="G73" s="1">
        <v>936153328</v>
      </c>
      <c r="H73" s="1">
        <v>53</v>
      </c>
      <c r="I73" s="1">
        <v>7</v>
      </c>
      <c r="J73" s="1">
        <v>75</v>
      </c>
      <c r="K73" s="1">
        <v>62</v>
      </c>
      <c r="L73" s="1" t="s">
        <v>26</v>
      </c>
    </row>
    <row r="74" spans="1:12" x14ac:dyDescent="0.25">
      <c r="A74" s="1" t="s">
        <v>25</v>
      </c>
      <c r="B74" s="1" t="s">
        <v>26</v>
      </c>
      <c r="C74" s="1">
        <v>2022</v>
      </c>
      <c r="D74" s="1">
        <v>33340</v>
      </c>
      <c r="E74" s="1">
        <v>14.3</v>
      </c>
      <c r="F74" s="1">
        <v>71</v>
      </c>
      <c r="G74" s="1">
        <v>879517218</v>
      </c>
      <c r="H74" s="1">
        <v>72</v>
      </c>
      <c r="I74" s="1">
        <v>15</v>
      </c>
      <c r="J74" s="1">
        <v>85</v>
      </c>
      <c r="K74" s="1">
        <v>76</v>
      </c>
      <c r="L74" s="1" t="s">
        <v>26</v>
      </c>
    </row>
    <row r="75" spans="1:12" x14ac:dyDescent="0.25">
      <c r="A75" s="1" t="s">
        <v>23</v>
      </c>
      <c r="B75" s="1" t="s">
        <v>18</v>
      </c>
      <c r="C75" s="1">
        <v>2022</v>
      </c>
      <c r="D75" s="1">
        <v>6744</v>
      </c>
      <c r="E75" s="1">
        <v>16.100000000000001</v>
      </c>
      <c r="F75" s="1">
        <v>76</v>
      </c>
      <c r="G75" s="1">
        <v>874401344</v>
      </c>
      <c r="H75" s="1">
        <v>90</v>
      </c>
      <c r="I75" s="1">
        <v>11.8</v>
      </c>
      <c r="J75" s="1">
        <v>86</v>
      </c>
      <c r="K75" s="1">
        <v>72</v>
      </c>
      <c r="L75" s="1" t="s">
        <v>18</v>
      </c>
    </row>
    <row r="76" spans="1:12" x14ac:dyDescent="0.25">
      <c r="A76" s="1" t="s">
        <v>21</v>
      </c>
      <c r="B76" s="1" t="s">
        <v>22</v>
      </c>
      <c r="C76" s="1">
        <v>2022</v>
      </c>
      <c r="D76" s="1">
        <v>25337</v>
      </c>
      <c r="E76" s="1">
        <v>4.9000000000000004</v>
      </c>
      <c r="F76" s="1">
        <v>76</v>
      </c>
      <c r="G76" s="1">
        <v>856009677</v>
      </c>
      <c r="H76" s="1">
        <v>84</v>
      </c>
      <c r="I76" s="1">
        <v>12</v>
      </c>
      <c r="J76" s="1">
        <v>77</v>
      </c>
      <c r="K76" s="1">
        <v>33</v>
      </c>
      <c r="L76" s="1" t="s">
        <v>14</v>
      </c>
    </row>
    <row r="77" spans="1:12" x14ac:dyDescent="0.25">
      <c r="A77" s="1" t="s">
        <v>28</v>
      </c>
      <c r="B77" s="1" t="s">
        <v>29</v>
      </c>
      <c r="C77" s="1">
        <v>2022</v>
      </c>
      <c r="D77" s="1">
        <v>31685</v>
      </c>
      <c r="E77" s="1">
        <v>12.4</v>
      </c>
      <c r="F77" s="1">
        <v>65</v>
      </c>
      <c r="G77" s="1">
        <v>824090686</v>
      </c>
      <c r="H77" s="1">
        <v>67</v>
      </c>
      <c r="I77" s="1">
        <v>10.3</v>
      </c>
      <c r="J77" s="1">
        <v>91</v>
      </c>
      <c r="K77" s="1">
        <v>82</v>
      </c>
      <c r="L77" s="1" t="s">
        <v>29</v>
      </c>
    </row>
    <row r="78" spans="1:12" x14ac:dyDescent="0.25">
      <c r="A78" s="1" t="s">
        <v>19</v>
      </c>
      <c r="B78" s="1" t="s">
        <v>20</v>
      </c>
      <c r="C78" s="1">
        <v>2022</v>
      </c>
      <c r="D78" s="1">
        <v>4012</v>
      </c>
      <c r="E78" s="1">
        <v>7.6</v>
      </c>
      <c r="F78" s="1">
        <v>70</v>
      </c>
      <c r="G78" s="1">
        <v>823571094</v>
      </c>
      <c r="H78" s="1">
        <v>84</v>
      </c>
      <c r="I78" s="1">
        <v>16.899999999999999</v>
      </c>
      <c r="J78" s="1">
        <v>81</v>
      </c>
      <c r="K78" s="1">
        <v>75</v>
      </c>
      <c r="L78" s="1" t="s">
        <v>20</v>
      </c>
    </row>
    <row r="79" spans="1:12" x14ac:dyDescent="0.25">
      <c r="A79" s="1" t="s">
        <v>19</v>
      </c>
      <c r="B79" s="1" t="s">
        <v>20</v>
      </c>
      <c r="C79" s="1">
        <v>2022</v>
      </c>
      <c r="D79" s="1">
        <v>13668</v>
      </c>
      <c r="E79" s="1">
        <v>7.1</v>
      </c>
      <c r="F79" s="1">
        <v>72</v>
      </c>
      <c r="G79" s="1">
        <v>805387120</v>
      </c>
      <c r="H79" s="1">
        <v>66</v>
      </c>
      <c r="I79" s="1">
        <v>19.2</v>
      </c>
      <c r="J79" s="1">
        <v>90</v>
      </c>
      <c r="K79" s="1">
        <v>38</v>
      </c>
      <c r="L79" s="1" t="s">
        <v>20</v>
      </c>
    </row>
    <row r="80" spans="1:12" x14ac:dyDescent="0.25">
      <c r="A80" s="1" t="s">
        <v>28</v>
      </c>
      <c r="B80" s="1" t="s">
        <v>29</v>
      </c>
      <c r="C80" s="1">
        <v>2022</v>
      </c>
      <c r="D80" s="1">
        <v>12646</v>
      </c>
      <c r="E80" s="1">
        <v>8.1</v>
      </c>
      <c r="F80" s="1">
        <v>69</v>
      </c>
      <c r="G80" s="1">
        <v>791588961</v>
      </c>
      <c r="H80" s="1">
        <v>53</v>
      </c>
      <c r="I80" s="1">
        <v>8.1</v>
      </c>
      <c r="J80" s="1">
        <v>99</v>
      </c>
      <c r="K80" s="1">
        <v>75</v>
      </c>
      <c r="L80" s="1" t="s">
        <v>29</v>
      </c>
    </row>
    <row r="81" spans="1:12" x14ac:dyDescent="0.25">
      <c r="A81" s="1" t="s">
        <v>28</v>
      </c>
      <c r="B81" s="1" t="s">
        <v>29</v>
      </c>
      <c r="C81" s="1">
        <v>2022</v>
      </c>
      <c r="D81" s="1">
        <v>57878</v>
      </c>
      <c r="E81" s="1">
        <v>7.5</v>
      </c>
      <c r="F81" s="1">
        <v>85</v>
      </c>
      <c r="G81" s="1">
        <v>786621987</v>
      </c>
      <c r="H81" s="1">
        <v>59</v>
      </c>
      <c r="I81" s="1">
        <v>13</v>
      </c>
      <c r="J81" s="1">
        <v>84</v>
      </c>
      <c r="K81" s="1">
        <v>65</v>
      </c>
      <c r="L81" s="1" t="s">
        <v>29</v>
      </c>
    </row>
    <row r="82" spans="1:12" x14ac:dyDescent="0.25">
      <c r="A82" s="1" t="s">
        <v>15</v>
      </c>
      <c r="B82" s="1" t="s">
        <v>16</v>
      </c>
      <c r="C82" s="1">
        <v>2022</v>
      </c>
      <c r="D82" s="1">
        <v>8177</v>
      </c>
      <c r="E82" s="1">
        <v>10.1</v>
      </c>
      <c r="F82" s="1">
        <v>78</v>
      </c>
      <c r="G82" s="1">
        <v>764470568</v>
      </c>
      <c r="H82" s="1">
        <v>60</v>
      </c>
      <c r="I82" s="1">
        <v>21.9</v>
      </c>
      <c r="J82" s="1">
        <v>91</v>
      </c>
      <c r="K82" s="1">
        <v>59</v>
      </c>
      <c r="L82" s="1" t="s">
        <v>16</v>
      </c>
    </row>
    <row r="83" spans="1:12" x14ac:dyDescent="0.25">
      <c r="A83" s="1" t="s">
        <v>24</v>
      </c>
      <c r="B83" s="1" t="s">
        <v>16</v>
      </c>
      <c r="C83" s="1">
        <v>2022</v>
      </c>
      <c r="D83" s="1">
        <v>54392</v>
      </c>
      <c r="E83" s="1">
        <v>9.4</v>
      </c>
      <c r="F83" s="1">
        <v>63</v>
      </c>
      <c r="G83" s="1">
        <v>756127784</v>
      </c>
      <c r="H83" s="1">
        <v>57</v>
      </c>
      <c r="I83" s="1">
        <v>11.1</v>
      </c>
      <c r="J83" s="1">
        <v>91</v>
      </c>
      <c r="K83" s="1">
        <v>71</v>
      </c>
      <c r="L83" s="1" t="s">
        <v>16</v>
      </c>
    </row>
    <row r="84" spans="1:12" x14ac:dyDescent="0.25">
      <c r="A84" s="1" t="s">
        <v>27</v>
      </c>
      <c r="B84" s="1" t="s">
        <v>22</v>
      </c>
      <c r="C84" s="1">
        <v>2022</v>
      </c>
      <c r="D84" s="1">
        <v>61755</v>
      </c>
      <c r="E84" s="1">
        <v>6.9</v>
      </c>
      <c r="F84" s="1">
        <v>60</v>
      </c>
      <c r="G84" s="1">
        <v>736063375</v>
      </c>
      <c r="H84" s="1">
        <v>91</v>
      </c>
      <c r="I84" s="1">
        <v>2.6</v>
      </c>
      <c r="J84" s="1">
        <v>81</v>
      </c>
      <c r="K84" s="1">
        <v>71</v>
      </c>
      <c r="L84" s="1" t="s">
        <v>14</v>
      </c>
    </row>
    <row r="85" spans="1:12" x14ac:dyDescent="0.25">
      <c r="A85" s="1" t="s">
        <v>28</v>
      </c>
      <c r="B85" s="1" t="s">
        <v>29</v>
      </c>
      <c r="C85" s="1">
        <v>2022</v>
      </c>
      <c r="D85" s="1">
        <v>2675</v>
      </c>
      <c r="E85" s="1">
        <v>11.3</v>
      </c>
      <c r="F85" s="1">
        <v>83</v>
      </c>
      <c r="G85" s="1">
        <v>730563524</v>
      </c>
      <c r="H85" s="1">
        <v>83</v>
      </c>
      <c r="I85" s="1">
        <v>6.2</v>
      </c>
      <c r="J85" s="1">
        <v>79</v>
      </c>
      <c r="K85" s="1">
        <v>48</v>
      </c>
      <c r="L85" s="1" t="s">
        <v>29</v>
      </c>
    </row>
    <row r="86" spans="1:12" x14ac:dyDescent="0.25">
      <c r="A86" s="1" t="s">
        <v>17</v>
      </c>
      <c r="B86" s="1" t="s">
        <v>18</v>
      </c>
      <c r="C86" s="1">
        <v>2022</v>
      </c>
      <c r="D86" s="1">
        <v>27508</v>
      </c>
      <c r="E86" s="1">
        <v>4.5999999999999996</v>
      </c>
      <c r="F86" s="1">
        <v>72</v>
      </c>
      <c r="G86" s="1">
        <v>725536174</v>
      </c>
      <c r="H86" s="1">
        <v>81</v>
      </c>
      <c r="I86" s="1">
        <v>3.5</v>
      </c>
      <c r="J86" s="1">
        <v>73</v>
      </c>
      <c r="K86" s="1">
        <v>65</v>
      </c>
      <c r="L86" s="1" t="s">
        <v>18</v>
      </c>
    </row>
    <row r="87" spans="1:12" x14ac:dyDescent="0.25">
      <c r="A87" s="1" t="s">
        <v>12</v>
      </c>
      <c r="B87" s="1" t="s">
        <v>13</v>
      </c>
      <c r="C87" s="1">
        <v>2022</v>
      </c>
      <c r="D87" s="1">
        <v>15391</v>
      </c>
      <c r="E87" s="1">
        <v>10.8</v>
      </c>
      <c r="F87" s="1">
        <v>85</v>
      </c>
      <c r="G87" s="1">
        <v>721289780</v>
      </c>
      <c r="H87" s="1">
        <v>94</v>
      </c>
      <c r="I87" s="1">
        <v>5.8</v>
      </c>
      <c r="J87" s="1">
        <v>82</v>
      </c>
      <c r="K87" s="1">
        <v>61</v>
      </c>
      <c r="L87" s="1" t="s">
        <v>14</v>
      </c>
    </row>
    <row r="88" spans="1:12" x14ac:dyDescent="0.25">
      <c r="A88" s="1" t="s">
        <v>27</v>
      </c>
      <c r="B88" s="1" t="s">
        <v>22</v>
      </c>
      <c r="C88" s="1">
        <v>2022</v>
      </c>
      <c r="D88" s="1">
        <v>55247</v>
      </c>
      <c r="E88" s="1">
        <v>4.5999999999999996</v>
      </c>
      <c r="F88" s="1">
        <v>66</v>
      </c>
      <c r="G88" s="1">
        <v>715165571</v>
      </c>
      <c r="H88" s="1">
        <v>93</v>
      </c>
      <c r="I88" s="1">
        <v>16.3</v>
      </c>
      <c r="J88" s="1">
        <v>86</v>
      </c>
      <c r="K88" s="1">
        <v>73</v>
      </c>
      <c r="L88" s="1" t="s">
        <v>14</v>
      </c>
    </row>
    <row r="89" spans="1:12" x14ac:dyDescent="0.25">
      <c r="A89" s="1" t="s">
        <v>24</v>
      </c>
      <c r="B89" s="1" t="s">
        <v>16</v>
      </c>
      <c r="C89" s="1">
        <v>2022</v>
      </c>
      <c r="D89" s="1">
        <v>2266</v>
      </c>
      <c r="E89" s="1">
        <v>15.7</v>
      </c>
      <c r="F89" s="1">
        <v>75</v>
      </c>
      <c r="G89" s="1">
        <v>714151787</v>
      </c>
      <c r="H89" s="1">
        <v>50</v>
      </c>
      <c r="I89" s="1">
        <v>24.8</v>
      </c>
      <c r="J89" s="1">
        <v>99</v>
      </c>
      <c r="K89" s="1">
        <v>72</v>
      </c>
      <c r="L89" s="1" t="s">
        <v>16</v>
      </c>
    </row>
    <row r="90" spans="1:12" x14ac:dyDescent="0.25">
      <c r="A90" s="1" t="s">
        <v>15</v>
      </c>
      <c r="B90" s="1" t="s">
        <v>16</v>
      </c>
      <c r="C90" s="1">
        <v>2022</v>
      </c>
      <c r="D90" s="1">
        <v>65750</v>
      </c>
      <c r="E90" s="1">
        <v>13.4</v>
      </c>
      <c r="F90" s="1">
        <v>72</v>
      </c>
      <c r="G90" s="1">
        <v>705030364</v>
      </c>
      <c r="H90" s="1">
        <v>71</v>
      </c>
      <c r="I90" s="1">
        <v>9</v>
      </c>
      <c r="J90" s="1">
        <v>89</v>
      </c>
      <c r="K90" s="1">
        <v>46</v>
      </c>
      <c r="L90" s="1" t="s">
        <v>16</v>
      </c>
    </row>
    <row r="91" spans="1:12" x14ac:dyDescent="0.25">
      <c r="A91" s="1" t="s">
        <v>19</v>
      </c>
      <c r="B91" s="1" t="s">
        <v>20</v>
      </c>
      <c r="C91" s="1">
        <v>2022</v>
      </c>
      <c r="D91" s="1">
        <v>46344</v>
      </c>
      <c r="E91" s="1">
        <v>10.7</v>
      </c>
      <c r="F91" s="1">
        <v>65</v>
      </c>
      <c r="G91" s="1">
        <v>701763525</v>
      </c>
      <c r="H91" s="1">
        <v>86</v>
      </c>
      <c r="I91" s="1">
        <v>12.6</v>
      </c>
      <c r="J91" s="1">
        <v>90</v>
      </c>
      <c r="K91" s="1">
        <v>35</v>
      </c>
      <c r="L91" s="1" t="s">
        <v>20</v>
      </c>
    </row>
    <row r="92" spans="1:12" x14ac:dyDescent="0.25">
      <c r="A92" s="1" t="s">
        <v>17</v>
      </c>
      <c r="B92" s="1" t="s">
        <v>18</v>
      </c>
      <c r="C92" s="1">
        <v>2022</v>
      </c>
      <c r="D92" s="1">
        <v>5107</v>
      </c>
      <c r="E92" s="1">
        <v>3</v>
      </c>
      <c r="F92" s="1">
        <v>79</v>
      </c>
      <c r="G92" s="1">
        <v>700117256</v>
      </c>
      <c r="H92" s="1">
        <v>84</v>
      </c>
      <c r="I92" s="1">
        <v>12.3</v>
      </c>
      <c r="J92" s="1">
        <v>89</v>
      </c>
      <c r="K92" s="1">
        <v>68</v>
      </c>
      <c r="L92" s="1" t="s">
        <v>18</v>
      </c>
    </row>
    <row r="93" spans="1:12" x14ac:dyDescent="0.25">
      <c r="A93" s="1" t="s">
        <v>25</v>
      </c>
      <c r="B93" s="1" t="s">
        <v>26</v>
      </c>
      <c r="C93" s="1">
        <v>2022</v>
      </c>
      <c r="D93" s="1">
        <v>69415</v>
      </c>
      <c r="E93" s="1">
        <v>10.9</v>
      </c>
      <c r="F93" s="1">
        <v>74</v>
      </c>
      <c r="G93" s="1">
        <v>699390462</v>
      </c>
      <c r="H93" s="1">
        <v>74</v>
      </c>
      <c r="I93" s="1">
        <v>3.7</v>
      </c>
      <c r="J93" s="1">
        <v>94</v>
      </c>
      <c r="K93" s="1">
        <v>45</v>
      </c>
      <c r="L93" s="1" t="s">
        <v>26</v>
      </c>
    </row>
    <row r="94" spans="1:12" x14ac:dyDescent="0.25">
      <c r="A94" s="1" t="s">
        <v>24</v>
      </c>
      <c r="B94" s="1" t="s">
        <v>16</v>
      </c>
      <c r="C94" s="1">
        <v>2022</v>
      </c>
      <c r="D94" s="1">
        <v>34173</v>
      </c>
      <c r="E94" s="1">
        <v>14.1</v>
      </c>
      <c r="F94" s="1">
        <v>68</v>
      </c>
      <c r="G94" s="1">
        <v>661590179</v>
      </c>
      <c r="H94" s="1">
        <v>60</v>
      </c>
      <c r="I94" s="1">
        <v>21.6</v>
      </c>
      <c r="J94" s="1">
        <v>100</v>
      </c>
      <c r="K94" s="1">
        <v>75</v>
      </c>
      <c r="L94" s="1" t="s">
        <v>16</v>
      </c>
    </row>
    <row r="95" spans="1:12" x14ac:dyDescent="0.25">
      <c r="A95" s="1" t="s">
        <v>24</v>
      </c>
      <c r="B95" s="1" t="s">
        <v>16</v>
      </c>
      <c r="C95" s="1">
        <v>2022</v>
      </c>
      <c r="D95" s="1">
        <v>51976</v>
      </c>
      <c r="E95" s="1">
        <v>5.4</v>
      </c>
      <c r="F95" s="1">
        <v>73</v>
      </c>
      <c r="G95" s="1">
        <v>661569142</v>
      </c>
      <c r="H95" s="1">
        <v>63</v>
      </c>
      <c r="I95" s="1">
        <v>10.199999999999999</v>
      </c>
      <c r="J95" s="1">
        <v>99</v>
      </c>
      <c r="K95" s="1">
        <v>87</v>
      </c>
      <c r="L95" s="1" t="s">
        <v>16</v>
      </c>
    </row>
    <row r="96" spans="1:12" x14ac:dyDescent="0.25">
      <c r="A96" s="1" t="s">
        <v>23</v>
      </c>
      <c r="B96" s="1" t="s">
        <v>18</v>
      </c>
      <c r="C96" s="1">
        <v>2022</v>
      </c>
      <c r="D96" s="1">
        <v>39095</v>
      </c>
      <c r="E96" s="1">
        <v>5.9</v>
      </c>
      <c r="F96" s="1">
        <v>61</v>
      </c>
      <c r="G96" s="1">
        <v>655564103</v>
      </c>
      <c r="H96" s="1">
        <v>92</v>
      </c>
      <c r="I96" s="1">
        <v>3.6</v>
      </c>
      <c r="J96" s="1">
        <v>82</v>
      </c>
      <c r="K96" s="1">
        <v>37</v>
      </c>
      <c r="L96" s="1" t="s">
        <v>18</v>
      </c>
    </row>
    <row r="97" spans="1:12" x14ac:dyDescent="0.25">
      <c r="A97" s="1" t="s">
        <v>19</v>
      </c>
      <c r="B97" s="1" t="s">
        <v>20</v>
      </c>
      <c r="C97" s="1">
        <v>2022</v>
      </c>
      <c r="D97" s="1">
        <v>56031</v>
      </c>
      <c r="E97" s="1">
        <v>7.6</v>
      </c>
      <c r="F97" s="1">
        <v>81</v>
      </c>
      <c r="G97" s="1">
        <v>652094772</v>
      </c>
      <c r="H97" s="1">
        <v>69</v>
      </c>
      <c r="I97" s="1">
        <v>22.2</v>
      </c>
      <c r="J97" s="1">
        <v>93</v>
      </c>
      <c r="K97" s="1">
        <v>85</v>
      </c>
      <c r="L97" s="1" t="s">
        <v>20</v>
      </c>
    </row>
    <row r="98" spans="1:12" x14ac:dyDescent="0.25">
      <c r="A98" s="1" t="s">
        <v>15</v>
      </c>
      <c r="B98" s="1" t="s">
        <v>16</v>
      </c>
      <c r="C98" s="1">
        <v>2022</v>
      </c>
      <c r="D98" s="1">
        <v>7044</v>
      </c>
      <c r="E98" s="1">
        <v>9.9</v>
      </c>
      <c r="F98" s="1">
        <v>62</v>
      </c>
      <c r="G98" s="1">
        <v>608301177</v>
      </c>
      <c r="H98" s="1">
        <v>56</v>
      </c>
      <c r="I98" s="1">
        <v>16</v>
      </c>
      <c r="J98" s="1">
        <v>93</v>
      </c>
      <c r="K98" s="1">
        <v>39</v>
      </c>
      <c r="L98" s="1" t="s">
        <v>16</v>
      </c>
    </row>
    <row r="99" spans="1:12" x14ac:dyDescent="0.25">
      <c r="A99" s="1" t="s">
        <v>23</v>
      </c>
      <c r="B99" s="1" t="s">
        <v>18</v>
      </c>
      <c r="C99" s="1">
        <v>2022</v>
      </c>
      <c r="D99" s="1">
        <v>67823</v>
      </c>
      <c r="E99" s="1">
        <v>5.3</v>
      </c>
      <c r="F99" s="1">
        <v>76</v>
      </c>
      <c r="G99" s="1">
        <v>607447700</v>
      </c>
      <c r="H99" s="1">
        <v>55</v>
      </c>
      <c r="I99" s="1">
        <v>4.5</v>
      </c>
      <c r="J99" s="1">
        <v>88</v>
      </c>
      <c r="K99" s="1">
        <v>58</v>
      </c>
      <c r="L99" s="1" t="s">
        <v>18</v>
      </c>
    </row>
    <row r="100" spans="1:12" x14ac:dyDescent="0.25">
      <c r="A100" s="1" t="s">
        <v>17</v>
      </c>
      <c r="B100" s="1" t="s">
        <v>18</v>
      </c>
      <c r="C100" s="1">
        <v>2022</v>
      </c>
      <c r="D100" s="1">
        <v>47131</v>
      </c>
      <c r="E100" s="1">
        <v>6.2</v>
      </c>
      <c r="F100" s="1">
        <v>65</v>
      </c>
      <c r="G100" s="1">
        <v>601280347</v>
      </c>
      <c r="H100" s="1">
        <v>78</v>
      </c>
      <c r="I100" s="1">
        <v>9.9</v>
      </c>
      <c r="J100" s="1">
        <v>86</v>
      </c>
      <c r="K100" s="1">
        <v>80</v>
      </c>
      <c r="L100" s="1" t="s">
        <v>18</v>
      </c>
    </row>
    <row r="101" spans="1:12" x14ac:dyDescent="0.25">
      <c r="A101" s="1" t="s">
        <v>17</v>
      </c>
      <c r="B101" s="1" t="s">
        <v>18</v>
      </c>
      <c r="C101" s="1">
        <v>2022</v>
      </c>
      <c r="D101" s="1">
        <v>56722</v>
      </c>
      <c r="E101" s="1">
        <v>7.2</v>
      </c>
      <c r="F101" s="1">
        <v>78</v>
      </c>
      <c r="G101" s="1">
        <v>595157673</v>
      </c>
      <c r="H101" s="1">
        <v>71</v>
      </c>
      <c r="I101" s="1">
        <v>5.9</v>
      </c>
      <c r="J101" s="1">
        <v>70</v>
      </c>
      <c r="K101" s="1">
        <v>33</v>
      </c>
      <c r="L101" s="1" t="s">
        <v>18</v>
      </c>
    </row>
    <row r="102" spans="1:12" x14ac:dyDescent="0.25">
      <c r="A102" s="1" t="s">
        <v>25</v>
      </c>
      <c r="B102" s="1" t="s">
        <v>26</v>
      </c>
      <c r="C102" s="1">
        <v>2022</v>
      </c>
      <c r="D102" s="1">
        <v>68396</v>
      </c>
      <c r="E102" s="1">
        <v>6.9</v>
      </c>
      <c r="F102" s="1">
        <v>75</v>
      </c>
      <c r="G102" s="1">
        <v>594210994</v>
      </c>
      <c r="H102" s="1">
        <v>83</v>
      </c>
      <c r="I102" s="1">
        <v>20</v>
      </c>
      <c r="J102" s="1">
        <v>76</v>
      </c>
      <c r="K102" s="1">
        <v>89</v>
      </c>
      <c r="L102" s="1" t="s">
        <v>26</v>
      </c>
    </row>
    <row r="103" spans="1:12" x14ac:dyDescent="0.25">
      <c r="A103" s="1" t="s">
        <v>23</v>
      </c>
      <c r="B103" s="1" t="s">
        <v>18</v>
      </c>
      <c r="C103" s="1">
        <v>2022</v>
      </c>
      <c r="D103" s="1">
        <v>67471</v>
      </c>
      <c r="E103" s="1">
        <v>15.5</v>
      </c>
      <c r="F103" s="1">
        <v>60</v>
      </c>
      <c r="G103" s="1">
        <v>586887745</v>
      </c>
      <c r="H103" s="1">
        <v>71</v>
      </c>
      <c r="I103" s="1">
        <v>4.8</v>
      </c>
      <c r="J103" s="1">
        <v>82</v>
      </c>
      <c r="K103" s="1">
        <v>64</v>
      </c>
      <c r="L103" s="1" t="s">
        <v>18</v>
      </c>
    </row>
    <row r="104" spans="1:12" x14ac:dyDescent="0.25">
      <c r="A104" s="1" t="s">
        <v>21</v>
      </c>
      <c r="B104" s="1" t="s">
        <v>22</v>
      </c>
      <c r="C104" s="1">
        <v>2022</v>
      </c>
      <c r="D104" s="1">
        <v>58368</v>
      </c>
      <c r="E104" s="1">
        <v>4.8</v>
      </c>
      <c r="F104" s="1">
        <v>64</v>
      </c>
      <c r="G104" s="1">
        <v>585456731</v>
      </c>
      <c r="H104" s="1">
        <v>54</v>
      </c>
      <c r="I104" s="1">
        <v>14.4</v>
      </c>
      <c r="J104" s="1">
        <v>93</v>
      </c>
      <c r="K104" s="1">
        <v>55</v>
      </c>
      <c r="L104" s="1" t="s">
        <v>14</v>
      </c>
    </row>
    <row r="105" spans="1:12" x14ac:dyDescent="0.25">
      <c r="A105" s="1" t="s">
        <v>12</v>
      </c>
      <c r="B105" s="1" t="s">
        <v>13</v>
      </c>
      <c r="C105" s="1">
        <v>2022</v>
      </c>
      <c r="D105" s="1">
        <v>12017</v>
      </c>
      <c r="E105" s="1">
        <v>6.9</v>
      </c>
      <c r="F105" s="1">
        <v>82</v>
      </c>
      <c r="G105" s="1">
        <v>583736500</v>
      </c>
      <c r="H105" s="1">
        <v>50</v>
      </c>
      <c r="I105" s="1">
        <v>13</v>
      </c>
      <c r="J105" s="1">
        <v>71</v>
      </c>
      <c r="K105" s="1">
        <v>72</v>
      </c>
      <c r="L105" s="1" t="s">
        <v>14</v>
      </c>
    </row>
    <row r="106" spans="1:12" x14ac:dyDescent="0.25">
      <c r="A106" s="1" t="s">
        <v>24</v>
      </c>
      <c r="B106" s="1" t="s">
        <v>16</v>
      </c>
      <c r="C106" s="1">
        <v>2022</v>
      </c>
      <c r="D106" s="1">
        <v>43109</v>
      </c>
      <c r="E106" s="1">
        <v>4.7</v>
      </c>
      <c r="F106" s="1">
        <v>77</v>
      </c>
      <c r="G106" s="1">
        <v>581988730</v>
      </c>
      <c r="H106" s="1">
        <v>67</v>
      </c>
      <c r="I106" s="1">
        <v>9.5</v>
      </c>
      <c r="J106" s="1">
        <v>98</v>
      </c>
      <c r="K106" s="1">
        <v>60</v>
      </c>
      <c r="L106" s="1" t="s">
        <v>16</v>
      </c>
    </row>
    <row r="107" spans="1:12" x14ac:dyDescent="0.25">
      <c r="A107" s="1" t="s">
        <v>28</v>
      </c>
      <c r="B107" s="1" t="s">
        <v>29</v>
      </c>
      <c r="C107" s="1">
        <v>2022</v>
      </c>
      <c r="D107" s="1">
        <v>36196</v>
      </c>
      <c r="E107" s="1">
        <v>9.5</v>
      </c>
      <c r="F107" s="1">
        <v>76</v>
      </c>
      <c r="G107" s="1">
        <v>568305105</v>
      </c>
      <c r="H107" s="1">
        <v>64</v>
      </c>
      <c r="I107" s="1">
        <v>9</v>
      </c>
      <c r="J107" s="1">
        <v>90</v>
      </c>
      <c r="K107" s="1">
        <v>42</v>
      </c>
      <c r="L107" s="1" t="s">
        <v>29</v>
      </c>
    </row>
    <row r="108" spans="1:12" x14ac:dyDescent="0.25">
      <c r="A108" s="1" t="s">
        <v>24</v>
      </c>
      <c r="B108" s="1" t="s">
        <v>16</v>
      </c>
      <c r="C108" s="1">
        <v>2022</v>
      </c>
      <c r="D108" s="1">
        <v>17550</v>
      </c>
      <c r="E108" s="1">
        <v>3.3</v>
      </c>
      <c r="F108" s="1">
        <v>74</v>
      </c>
      <c r="G108" s="1">
        <v>563071192</v>
      </c>
      <c r="H108" s="1">
        <v>71</v>
      </c>
      <c r="I108" s="1">
        <v>19.8</v>
      </c>
      <c r="J108" s="1">
        <v>95</v>
      </c>
      <c r="K108" s="1">
        <v>59</v>
      </c>
      <c r="L108" s="1" t="s">
        <v>16</v>
      </c>
    </row>
    <row r="109" spans="1:12" x14ac:dyDescent="0.25">
      <c r="A109" s="1" t="s">
        <v>12</v>
      </c>
      <c r="B109" s="1" t="s">
        <v>13</v>
      </c>
      <c r="C109" s="1">
        <v>2022</v>
      </c>
      <c r="D109" s="1">
        <v>69200</v>
      </c>
      <c r="E109" s="1">
        <v>4.5</v>
      </c>
      <c r="F109" s="1">
        <v>65</v>
      </c>
      <c r="G109" s="1">
        <v>546847975</v>
      </c>
      <c r="H109" s="1">
        <v>50</v>
      </c>
      <c r="I109" s="1">
        <v>15.7</v>
      </c>
      <c r="J109" s="1">
        <v>81</v>
      </c>
      <c r="K109" s="1">
        <v>52</v>
      </c>
      <c r="L109" s="1" t="s">
        <v>14</v>
      </c>
    </row>
    <row r="110" spans="1:12" x14ac:dyDescent="0.25">
      <c r="A110" s="1" t="s">
        <v>19</v>
      </c>
      <c r="B110" s="1" t="s">
        <v>20</v>
      </c>
      <c r="C110" s="1">
        <v>2022</v>
      </c>
      <c r="D110" s="1">
        <v>8422</v>
      </c>
      <c r="E110" s="1">
        <v>7.8</v>
      </c>
      <c r="F110" s="1">
        <v>67</v>
      </c>
      <c r="G110" s="1">
        <v>542020568</v>
      </c>
      <c r="H110" s="1">
        <v>94</v>
      </c>
      <c r="I110" s="1">
        <v>4.3</v>
      </c>
      <c r="J110" s="1">
        <v>81</v>
      </c>
      <c r="K110" s="1">
        <v>35</v>
      </c>
      <c r="L110" s="1" t="s">
        <v>20</v>
      </c>
    </row>
    <row r="111" spans="1:12" x14ac:dyDescent="0.25">
      <c r="A111" s="1" t="s">
        <v>19</v>
      </c>
      <c r="B111" s="1" t="s">
        <v>20</v>
      </c>
      <c r="C111" s="1">
        <v>2022</v>
      </c>
      <c r="D111" s="1">
        <v>57516</v>
      </c>
      <c r="E111" s="1">
        <v>13.8</v>
      </c>
      <c r="F111" s="1">
        <v>76</v>
      </c>
      <c r="G111" s="1">
        <v>536204215</v>
      </c>
      <c r="H111" s="1">
        <v>75</v>
      </c>
      <c r="I111" s="1">
        <v>24.3</v>
      </c>
      <c r="J111" s="1">
        <v>75</v>
      </c>
      <c r="K111" s="1">
        <v>47</v>
      </c>
      <c r="L111" s="1" t="s">
        <v>20</v>
      </c>
    </row>
    <row r="112" spans="1:12" x14ac:dyDescent="0.25">
      <c r="A112" s="1" t="s">
        <v>17</v>
      </c>
      <c r="B112" s="1" t="s">
        <v>18</v>
      </c>
      <c r="C112" s="1">
        <v>2022</v>
      </c>
      <c r="D112" s="1">
        <v>11497</v>
      </c>
      <c r="E112" s="1">
        <v>7.4</v>
      </c>
      <c r="F112" s="1">
        <v>68</v>
      </c>
      <c r="G112" s="1">
        <v>518591098</v>
      </c>
      <c r="H112" s="1">
        <v>75</v>
      </c>
      <c r="I112" s="1">
        <v>22.9</v>
      </c>
      <c r="J112" s="1">
        <v>97</v>
      </c>
      <c r="K112" s="1">
        <v>76</v>
      </c>
      <c r="L112" s="1" t="s">
        <v>18</v>
      </c>
    </row>
    <row r="113" spans="1:12" x14ac:dyDescent="0.25">
      <c r="A113" s="1" t="s">
        <v>12</v>
      </c>
      <c r="B113" s="1" t="s">
        <v>13</v>
      </c>
      <c r="C113" s="1">
        <v>2022</v>
      </c>
      <c r="D113" s="1">
        <v>52069</v>
      </c>
      <c r="E113" s="1">
        <v>10.3</v>
      </c>
      <c r="F113" s="1">
        <v>74</v>
      </c>
      <c r="G113" s="1">
        <v>494801498</v>
      </c>
      <c r="H113" s="1">
        <v>53</v>
      </c>
      <c r="I113" s="1">
        <v>11.9</v>
      </c>
      <c r="J113" s="1">
        <v>94</v>
      </c>
      <c r="K113" s="1">
        <v>39</v>
      </c>
      <c r="L113" s="1" t="s">
        <v>14</v>
      </c>
    </row>
    <row r="114" spans="1:12" x14ac:dyDescent="0.25">
      <c r="A114" s="1" t="s">
        <v>19</v>
      </c>
      <c r="B114" s="1" t="s">
        <v>20</v>
      </c>
      <c r="C114" s="1">
        <v>2022</v>
      </c>
      <c r="D114" s="1">
        <v>29169</v>
      </c>
      <c r="E114" s="1">
        <v>3.9</v>
      </c>
      <c r="F114" s="1">
        <v>61</v>
      </c>
      <c r="G114" s="1">
        <v>493774114</v>
      </c>
      <c r="H114" s="1">
        <v>60</v>
      </c>
      <c r="I114" s="1">
        <v>13.7</v>
      </c>
      <c r="J114" s="1">
        <v>88</v>
      </c>
      <c r="K114" s="1">
        <v>79</v>
      </c>
      <c r="L114" s="1" t="s">
        <v>20</v>
      </c>
    </row>
    <row r="115" spans="1:12" x14ac:dyDescent="0.25">
      <c r="A115" s="1" t="s">
        <v>21</v>
      </c>
      <c r="B115" s="1" t="s">
        <v>22</v>
      </c>
      <c r="C115" s="1">
        <v>2022</v>
      </c>
      <c r="D115" s="1">
        <v>18268</v>
      </c>
      <c r="E115" s="1">
        <v>16.100000000000001</v>
      </c>
      <c r="F115" s="1">
        <v>60</v>
      </c>
      <c r="G115" s="1">
        <v>488893672</v>
      </c>
      <c r="H115" s="1">
        <v>75</v>
      </c>
      <c r="I115" s="1">
        <v>24</v>
      </c>
      <c r="J115" s="1">
        <v>79</v>
      </c>
      <c r="K115" s="1">
        <v>59</v>
      </c>
      <c r="L115" s="1" t="s">
        <v>14</v>
      </c>
    </row>
    <row r="116" spans="1:12" x14ac:dyDescent="0.25">
      <c r="A116" s="1" t="s">
        <v>19</v>
      </c>
      <c r="B116" s="1" t="s">
        <v>20</v>
      </c>
      <c r="C116" s="1">
        <v>2022</v>
      </c>
      <c r="D116" s="1">
        <v>41736</v>
      </c>
      <c r="E116" s="1">
        <v>9.6999999999999993</v>
      </c>
      <c r="F116" s="1">
        <v>83</v>
      </c>
      <c r="G116" s="1">
        <v>468323510</v>
      </c>
      <c r="H116" s="1">
        <v>79</v>
      </c>
      <c r="I116" s="1">
        <v>22.6</v>
      </c>
      <c r="J116" s="1">
        <v>84</v>
      </c>
      <c r="K116" s="1">
        <v>72</v>
      </c>
      <c r="L116" s="1" t="s">
        <v>20</v>
      </c>
    </row>
    <row r="117" spans="1:12" x14ac:dyDescent="0.25">
      <c r="A117" s="1" t="s">
        <v>15</v>
      </c>
      <c r="B117" s="1" t="s">
        <v>16</v>
      </c>
      <c r="C117" s="1">
        <v>2022</v>
      </c>
      <c r="D117" s="1">
        <v>23935</v>
      </c>
      <c r="E117" s="1">
        <v>10.5</v>
      </c>
      <c r="F117" s="1">
        <v>75</v>
      </c>
      <c r="G117" s="1">
        <v>461110423</v>
      </c>
      <c r="H117" s="1">
        <v>57</v>
      </c>
      <c r="I117" s="1">
        <v>9.6</v>
      </c>
      <c r="J117" s="1">
        <v>98</v>
      </c>
      <c r="K117" s="1">
        <v>39</v>
      </c>
      <c r="L117" s="1" t="s">
        <v>16</v>
      </c>
    </row>
    <row r="118" spans="1:12" x14ac:dyDescent="0.25">
      <c r="A118" s="1" t="s">
        <v>19</v>
      </c>
      <c r="B118" s="1" t="s">
        <v>20</v>
      </c>
      <c r="C118" s="1">
        <v>2022</v>
      </c>
      <c r="D118" s="1">
        <v>31097</v>
      </c>
      <c r="E118" s="1">
        <v>11.6</v>
      </c>
      <c r="F118" s="1">
        <v>76</v>
      </c>
      <c r="G118" s="1">
        <v>459994120</v>
      </c>
      <c r="H118" s="1">
        <v>67</v>
      </c>
      <c r="I118" s="1">
        <v>22.8</v>
      </c>
      <c r="J118" s="1">
        <v>77</v>
      </c>
      <c r="K118" s="1">
        <v>84</v>
      </c>
      <c r="L118" s="1" t="s">
        <v>20</v>
      </c>
    </row>
    <row r="119" spans="1:12" x14ac:dyDescent="0.25">
      <c r="A119" s="1" t="s">
        <v>28</v>
      </c>
      <c r="B119" s="1" t="s">
        <v>29</v>
      </c>
      <c r="C119" s="1">
        <v>2022</v>
      </c>
      <c r="D119" s="1">
        <v>63645</v>
      </c>
      <c r="E119" s="1">
        <v>15.2</v>
      </c>
      <c r="F119" s="1">
        <v>67</v>
      </c>
      <c r="G119" s="1">
        <v>455458389</v>
      </c>
      <c r="H119" s="1">
        <v>68</v>
      </c>
      <c r="I119" s="1">
        <v>6.8</v>
      </c>
      <c r="J119" s="1">
        <v>96</v>
      </c>
      <c r="K119" s="1">
        <v>79</v>
      </c>
      <c r="L119" s="1" t="s">
        <v>29</v>
      </c>
    </row>
    <row r="120" spans="1:12" x14ac:dyDescent="0.25">
      <c r="A120" s="1" t="s">
        <v>27</v>
      </c>
      <c r="B120" s="1" t="s">
        <v>22</v>
      </c>
      <c r="C120" s="1">
        <v>2022</v>
      </c>
      <c r="D120" s="1">
        <v>34011</v>
      </c>
      <c r="E120" s="1">
        <v>7.9</v>
      </c>
      <c r="F120" s="1">
        <v>63</v>
      </c>
      <c r="G120" s="1">
        <v>454896118</v>
      </c>
      <c r="H120" s="1">
        <v>59</v>
      </c>
      <c r="I120" s="1">
        <v>23.1</v>
      </c>
      <c r="J120" s="1">
        <v>79</v>
      </c>
      <c r="K120" s="1">
        <v>31</v>
      </c>
      <c r="L120" s="1" t="s">
        <v>14</v>
      </c>
    </row>
    <row r="121" spans="1:12" x14ac:dyDescent="0.25">
      <c r="A121" s="1" t="s">
        <v>25</v>
      </c>
      <c r="B121" s="1" t="s">
        <v>26</v>
      </c>
      <c r="C121" s="1">
        <v>2022</v>
      </c>
      <c r="D121" s="1">
        <v>36754</v>
      </c>
      <c r="E121" s="1">
        <v>12.7</v>
      </c>
      <c r="F121" s="1">
        <v>77</v>
      </c>
      <c r="G121" s="1">
        <v>440245090</v>
      </c>
      <c r="H121" s="1">
        <v>63</v>
      </c>
      <c r="I121" s="1">
        <v>14.6</v>
      </c>
      <c r="J121" s="1">
        <v>82</v>
      </c>
      <c r="K121" s="1">
        <v>69</v>
      </c>
      <c r="L121" s="1" t="s">
        <v>26</v>
      </c>
    </row>
    <row r="122" spans="1:12" x14ac:dyDescent="0.25">
      <c r="A122" s="1" t="s">
        <v>19</v>
      </c>
      <c r="B122" s="1" t="s">
        <v>20</v>
      </c>
      <c r="C122" s="1">
        <v>2022</v>
      </c>
      <c r="D122" s="1">
        <v>3632</v>
      </c>
      <c r="E122" s="1">
        <v>3.9</v>
      </c>
      <c r="F122" s="1">
        <v>66</v>
      </c>
      <c r="G122" s="1">
        <v>436429142</v>
      </c>
      <c r="H122" s="1">
        <v>92</v>
      </c>
      <c r="I122" s="1">
        <v>23.5</v>
      </c>
      <c r="J122" s="1">
        <v>95</v>
      </c>
      <c r="K122" s="1">
        <v>88</v>
      </c>
      <c r="L122" s="1" t="s">
        <v>20</v>
      </c>
    </row>
    <row r="123" spans="1:12" x14ac:dyDescent="0.25">
      <c r="A123" s="1" t="s">
        <v>17</v>
      </c>
      <c r="B123" s="1" t="s">
        <v>18</v>
      </c>
      <c r="C123" s="1">
        <v>2022</v>
      </c>
      <c r="D123" s="1">
        <v>9675</v>
      </c>
      <c r="E123" s="1">
        <v>5.8</v>
      </c>
      <c r="F123" s="1">
        <v>71</v>
      </c>
      <c r="G123" s="1">
        <v>428842037</v>
      </c>
      <c r="H123" s="1">
        <v>52</v>
      </c>
      <c r="I123" s="1">
        <v>6.5</v>
      </c>
      <c r="J123" s="1">
        <v>82</v>
      </c>
      <c r="K123" s="1">
        <v>38</v>
      </c>
      <c r="L123" s="1" t="s">
        <v>18</v>
      </c>
    </row>
    <row r="124" spans="1:12" x14ac:dyDescent="0.25">
      <c r="A124" s="1" t="s">
        <v>17</v>
      </c>
      <c r="B124" s="1" t="s">
        <v>18</v>
      </c>
      <c r="C124" s="1">
        <v>2022</v>
      </c>
      <c r="D124" s="1">
        <v>47895</v>
      </c>
      <c r="E124" s="1">
        <v>3.3</v>
      </c>
      <c r="F124" s="1">
        <v>62</v>
      </c>
      <c r="G124" s="1">
        <v>428458635</v>
      </c>
      <c r="H124" s="1">
        <v>71</v>
      </c>
      <c r="I124" s="1">
        <v>22.5</v>
      </c>
      <c r="J124" s="1">
        <v>96</v>
      </c>
      <c r="K124" s="1">
        <v>61</v>
      </c>
      <c r="L124" s="1" t="s">
        <v>18</v>
      </c>
    </row>
    <row r="125" spans="1:12" x14ac:dyDescent="0.25">
      <c r="A125" s="1" t="s">
        <v>25</v>
      </c>
      <c r="B125" s="1" t="s">
        <v>26</v>
      </c>
      <c r="C125" s="1">
        <v>2022</v>
      </c>
      <c r="D125" s="1">
        <v>28349</v>
      </c>
      <c r="E125" s="1">
        <v>7</v>
      </c>
      <c r="F125" s="1">
        <v>61</v>
      </c>
      <c r="G125" s="1">
        <v>421151082</v>
      </c>
      <c r="H125" s="1">
        <v>93</v>
      </c>
      <c r="I125" s="1">
        <v>19</v>
      </c>
      <c r="J125" s="1">
        <v>74</v>
      </c>
      <c r="K125" s="1">
        <v>47</v>
      </c>
      <c r="L125" s="1" t="s">
        <v>26</v>
      </c>
    </row>
    <row r="126" spans="1:12" x14ac:dyDescent="0.25">
      <c r="A126" s="1" t="s">
        <v>12</v>
      </c>
      <c r="B126" s="1" t="s">
        <v>13</v>
      </c>
      <c r="C126" s="1">
        <v>2022</v>
      </c>
      <c r="D126" s="1">
        <v>5352</v>
      </c>
      <c r="E126" s="1">
        <v>14.2</v>
      </c>
      <c r="F126" s="1">
        <v>67</v>
      </c>
      <c r="G126" s="1">
        <v>414625913</v>
      </c>
      <c r="H126" s="1">
        <v>61</v>
      </c>
      <c r="I126" s="1">
        <v>10.5</v>
      </c>
      <c r="J126" s="1">
        <v>82</v>
      </c>
      <c r="K126" s="1">
        <v>33</v>
      </c>
      <c r="L126" s="1" t="s">
        <v>14</v>
      </c>
    </row>
    <row r="127" spans="1:12" x14ac:dyDescent="0.25">
      <c r="A127" s="1" t="s">
        <v>21</v>
      </c>
      <c r="B127" s="1" t="s">
        <v>22</v>
      </c>
      <c r="C127" s="1">
        <v>2022</v>
      </c>
      <c r="D127" s="1">
        <v>60801</v>
      </c>
      <c r="E127" s="1">
        <v>4.4000000000000004</v>
      </c>
      <c r="F127" s="1">
        <v>66</v>
      </c>
      <c r="G127" s="1">
        <v>411470199</v>
      </c>
      <c r="H127" s="1">
        <v>86</v>
      </c>
      <c r="I127" s="1">
        <v>21.8</v>
      </c>
      <c r="J127" s="1">
        <v>94</v>
      </c>
      <c r="K127" s="1">
        <v>64</v>
      </c>
      <c r="L127" s="1" t="s">
        <v>14</v>
      </c>
    </row>
    <row r="128" spans="1:12" x14ac:dyDescent="0.25">
      <c r="A128" s="1" t="s">
        <v>12</v>
      </c>
      <c r="B128" s="1" t="s">
        <v>13</v>
      </c>
      <c r="C128" s="1">
        <v>2022</v>
      </c>
      <c r="D128" s="1">
        <v>57086</v>
      </c>
      <c r="E128" s="1">
        <v>3.7</v>
      </c>
      <c r="F128" s="1">
        <v>70</v>
      </c>
      <c r="G128" s="1">
        <v>407781416</v>
      </c>
      <c r="H128" s="1">
        <v>86</v>
      </c>
      <c r="I128" s="1">
        <v>12.4</v>
      </c>
      <c r="J128" s="1">
        <v>80</v>
      </c>
      <c r="K128" s="1">
        <v>67</v>
      </c>
      <c r="L128" s="1" t="s">
        <v>14</v>
      </c>
    </row>
    <row r="129" spans="1:12" x14ac:dyDescent="0.25">
      <c r="A129" s="1" t="s">
        <v>23</v>
      </c>
      <c r="B129" s="1" t="s">
        <v>18</v>
      </c>
      <c r="C129" s="1">
        <v>2022</v>
      </c>
      <c r="D129" s="1">
        <v>27693</v>
      </c>
      <c r="E129" s="1">
        <v>4.5</v>
      </c>
      <c r="F129" s="1">
        <v>73</v>
      </c>
      <c r="G129" s="1">
        <v>406612262</v>
      </c>
      <c r="H129" s="1">
        <v>58</v>
      </c>
      <c r="I129" s="1">
        <v>20.9</v>
      </c>
      <c r="J129" s="1">
        <v>89</v>
      </c>
      <c r="K129" s="1">
        <v>53</v>
      </c>
      <c r="L129" s="1" t="s">
        <v>18</v>
      </c>
    </row>
    <row r="130" spans="1:12" x14ac:dyDescent="0.25">
      <c r="A130" s="1" t="s">
        <v>15</v>
      </c>
      <c r="B130" s="1" t="s">
        <v>16</v>
      </c>
      <c r="C130" s="1">
        <v>2022</v>
      </c>
      <c r="D130" s="1">
        <v>47245</v>
      </c>
      <c r="E130" s="1">
        <v>13.6</v>
      </c>
      <c r="F130" s="1">
        <v>60</v>
      </c>
      <c r="G130" s="1">
        <v>401373216</v>
      </c>
      <c r="H130" s="1">
        <v>66</v>
      </c>
      <c r="I130" s="1">
        <v>12.6</v>
      </c>
      <c r="J130" s="1">
        <v>80</v>
      </c>
      <c r="K130" s="1">
        <v>78</v>
      </c>
      <c r="L130" s="1" t="s">
        <v>16</v>
      </c>
    </row>
    <row r="131" spans="1:12" x14ac:dyDescent="0.25">
      <c r="A131" s="1" t="s">
        <v>23</v>
      </c>
      <c r="B131" s="1" t="s">
        <v>18</v>
      </c>
      <c r="C131" s="1">
        <v>2022</v>
      </c>
      <c r="D131" s="1">
        <v>17470</v>
      </c>
      <c r="E131" s="1">
        <v>3.9</v>
      </c>
      <c r="F131" s="1">
        <v>82</v>
      </c>
      <c r="G131" s="1">
        <v>391131065</v>
      </c>
      <c r="H131" s="1">
        <v>65</v>
      </c>
      <c r="I131" s="1">
        <v>22.5</v>
      </c>
      <c r="J131" s="1">
        <v>99</v>
      </c>
      <c r="K131" s="1">
        <v>84</v>
      </c>
      <c r="L131" s="1" t="s">
        <v>18</v>
      </c>
    </row>
    <row r="132" spans="1:12" x14ac:dyDescent="0.25">
      <c r="A132" s="1" t="s">
        <v>12</v>
      </c>
      <c r="B132" s="1" t="s">
        <v>13</v>
      </c>
      <c r="C132" s="1">
        <v>2022</v>
      </c>
      <c r="D132" s="1">
        <v>21322</v>
      </c>
      <c r="E132" s="1">
        <v>9.6999999999999993</v>
      </c>
      <c r="F132" s="1">
        <v>62</v>
      </c>
      <c r="G132" s="1">
        <v>387412990</v>
      </c>
      <c r="H132" s="1">
        <v>75</v>
      </c>
      <c r="I132" s="1">
        <v>4.8</v>
      </c>
      <c r="J132" s="1">
        <v>72</v>
      </c>
      <c r="K132" s="1">
        <v>55</v>
      </c>
      <c r="L132" s="1" t="s">
        <v>14</v>
      </c>
    </row>
    <row r="133" spans="1:12" x14ac:dyDescent="0.25">
      <c r="A133" s="1" t="s">
        <v>24</v>
      </c>
      <c r="B133" s="1" t="s">
        <v>16</v>
      </c>
      <c r="C133" s="1">
        <v>2022</v>
      </c>
      <c r="D133" s="1">
        <v>15907</v>
      </c>
      <c r="E133" s="1">
        <v>8.4</v>
      </c>
      <c r="F133" s="1">
        <v>70</v>
      </c>
      <c r="G133" s="1">
        <v>385133136</v>
      </c>
      <c r="H133" s="1">
        <v>69</v>
      </c>
      <c r="I133" s="1">
        <v>16.5</v>
      </c>
      <c r="J133" s="1">
        <v>97</v>
      </c>
      <c r="K133" s="1">
        <v>82</v>
      </c>
      <c r="L133" s="1" t="s">
        <v>16</v>
      </c>
    </row>
    <row r="134" spans="1:12" x14ac:dyDescent="0.25">
      <c r="A134" s="1" t="s">
        <v>27</v>
      </c>
      <c r="B134" s="1" t="s">
        <v>22</v>
      </c>
      <c r="C134" s="1">
        <v>2022</v>
      </c>
      <c r="D134" s="1">
        <v>34182</v>
      </c>
      <c r="E134" s="1">
        <v>5.3</v>
      </c>
      <c r="F134" s="1">
        <v>79</v>
      </c>
      <c r="G134" s="1">
        <v>376416404</v>
      </c>
      <c r="H134" s="1">
        <v>61</v>
      </c>
      <c r="I134" s="1">
        <v>8.6999999999999993</v>
      </c>
      <c r="J134" s="1">
        <v>77</v>
      </c>
      <c r="K134" s="1">
        <v>52</v>
      </c>
      <c r="L134" s="1" t="s">
        <v>14</v>
      </c>
    </row>
    <row r="135" spans="1:12" x14ac:dyDescent="0.25">
      <c r="A135" s="1" t="s">
        <v>19</v>
      </c>
      <c r="B135" s="1" t="s">
        <v>20</v>
      </c>
      <c r="C135" s="1">
        <v>2022</v>
      </c>
      <c r="D135" s="1">
        <v>8980</v>
      </c>
      <c r="E135" s="1">
        <v>13.3</v>
      </c>
      <c r="F135" s="1">
        <v>84</v>
      </c>
      <c r="G135" s="1">
        <v>324191940</v>
      </c>
      <c r="H135" s="1">
        <v>82</v>
      </c>
      <c r="I135" s="1">
        <v>11.5</v>
      </c>
      <c r="J135" s="1">
        <v>75</v>
      </c>
      <c r="K135" s="1">
        <v>83</v>
      </c>
      <c r="L135" s="1" t="s">
        <v>20</v>
      </c>
    </row>
    <row r="136" spans="1:12" x14ac:dyDescent="0.25">
      <c r="A136" s="1" t="s">
        <v>19</v>
      </c>
      <c r="B136" s="1" t="s">
        <v>20</v>
      </c>
      <c r="C136" s="1">
        <v>2022</v>
      </c>
      <c r="D136" s="1">
        <v>60984</v>
      </c>
      <c r="E136" s="1">
        <v>8.4</v>
      </c>
      <c r="F136" s="1">
        <v>63</v>
      </c>
      <c r="G136" s="1">
        <v>318736337</v>
      </c>
      <c r="H136" s="1">
        <v>67</v>
      </c>
      <c r="I136" s="1">
        <v>4.2</v>
      </c>
      <c r="J136" s="1">
        <v>82</v>
      </c>
      <c r="K136" s="1">
        <v>62</v>
      </c>
      <c r="L136" s="1" t="s">
        <v>20</v>
      </c>
    </row>
    <row r="137" spans="1:12" x14ac:dyDescent="0.25">
      <c r="A137" s="1" t="s">
        <v>19</v>
      </c>
      <c r="B137" s="1" t="s">
        <v>20</v>
      </c>
      <c r="C137" s="1">
        <v>2022</v>
      </c>
      <c r="D137" s="1">
        <v>40043</v>
      </c>
      <c r="E137" s="1">
        <v>5.8</v>
      </c>
      <c r="F137" s="1">
        <v>85</v>
      </c>
      <c r="G137" s="1">
        <v>318027567</v>
      </c>
      <c r="H137" s="1">
        <v>94</v>
      </c>
      <c r="I137" s="1">
        <v>24.9</v>
      </c>
      <c r="J137" s="1">
        <v>90</v>
      </c>
      <c r="K137" s="1">
        <v>80</v>
      </c>
      <c r="L137" s="1" t="s">
        <v>20</v>
      </c>
    </row>
    <row r="138" spans="1:12" x14ac:dyDescent="0.25">
      <c r="A138" s="1" t="s">
        <v>15</v>
      </c>
      <c r="B138" s="1" t="s">
        <v>16</v>
      </c>
      <c r="C138" s="1">
        <v>2022</v>
      </c>
      <c r="D138" s="1">
        <v>26802</v>
      </c>
      <c r="E138" s="1">
        <v>8.1</v>
      </c>
      <c r="F138" s="1">
        <v>80</v>
      </c>
      <c r="G138" s="1">
        <v>278252233</v>
      </c>
      <c r="H138" s="1">
        <v>65</v>
      </c>
      <c r="I138" s="1">
        <v>7.9</v>
      </c>
      <c r="J138" s="1">
        <v>72</v>
      </c>
      <c r="K138" s="1">
        <v>61</v>
      </c>
      <c r="L138" s="1" t="s">
        <v>16</v>
      </c>
    </row>
    <row r="139" spans="1:12" x14ac:dyDescent="0.25">
      <c r="A139" s="1" t="s">
        <v>21</v>
      </c>
      <c r="B139" s="1" t="s">
        <v>22</v>
      </c>
      <c r="C139" s="1">
        <v>2022</v>
      </c>
      <c r="D139" s="1">
        <v>58750</v>
      </c>
      <c r="E139" s="1">
        <v>14.5</v>
      </c>
      <c r="F139" s="1">
        <v>71</v>
      </c>
      <c r="G139" s="1">
        <v>272097796</v>
      </c>
      <c r="H139" s="1">
        <v>73</v>
      </c>
      <c r="I139" s="1">
        <v>15.7</v>
      </c>
      <c r="J139" s="1">
        <v>89</v>
      </c>
      <c r="K139" s="1">
        <v>68</v>
      </c>
      <c r="L139" s="1" t="s">
        <v>14</v>
      </c>
    </row>
    <row r="140" spans="1:12" x14ac:dyDescent="0.25">
      <c r="A140" s="1" t="s">
        <v>28</v>
      </c>
      <c r="B140" s="1" t="s">
        <v>29</v>
      </c>
      <c r="C140" s="1">
        <v>2022</v>
      </c>
      <c r="D140" s="1">
        <v>12967</v>
      </c>
      <c r="E140" s="1">
        <v>9.1</v>
      </c>
      <c r="F140" s="1">
        <v>84</v>
      </c>
      <c r="G140" s="1">
        <v>251745522</v>
      </c>
      <c r="H140" s="1">
        <v>76</v>
      </c>
      <c r="I140" s="1">
        <v>18.5</v>
      </c>
      <c r="J140" s="1">
        <v>86</v>
      </c>
      <c r="K140" s="1">
        <v>39</v>
      </c>
      <c r="L140" s="1" t="s">
        <v>29</v>
      </c>
    </row>
    <row r="141" spans="1:12" x14ac:dyDescent="0.25">
      <c r="A141" s="1" t="s">
        <v>23</v>
      </c>
      <c r="B141" s="1" t="s">
        <v>18</v>
      </c>
      <c r="C141" s="1">
        <v>2022</v>
      </c>
      <c r="D141" s="1">
        <v>57088</v>
      </c>
      <c r="E141" s="1">
        <v>11.9</v>
      </c>
      <c r="F141" s="1">
        <v>84</v>
      </c>
      <c r="G141" s="1">
        <v>248590736</v>
      </c>
      <c r="H141" s="1">
        <v>87</v>
      </c>
      <c r="I141" s="1">
        <v>9.6999999999999993</v>
      </c>
      <c r="J141" s="1">
        <v>81</v>
      </c>
      <c r="K141" s="1">
        <v>80</v>
      </c>
      <c r="L141" s="1" t="s">
        <v>18</v>
      </c>
    </row>
    <row r="142" spans="1:12" x14ac:dyDescent="0.25">
      <c r="A142" s="1" t="s">
        <v>24</v>
      </c>
      <c r="B142" s="1" t="s">
        <v>16</v>
      </c>
      <c r="C142" s="1">
        <v>2022</v>
      </c>
      <c r="D142" s="1">
        <v>25858</v>
      </c>
      <c r="E142" s="1">
        <v>14.1</v>
      </c>
      <c r="F142" s="1">
        <v>79</v>
      </c>
      <c r="G142" s="1">
        <v>215994106</v>
      </c>
      <c r="H142" s="1">
        <v>90</v>
      </c>
      <c r="I142" s="1">
        <v>14.4</v>
      </c>
      <c r="J142" s="1">
        <v>89</v>
      </c>
      <c r="K142" s="1">
        <v>60</v>
      </c>
      <c r="L142" s="1" t="s">
        <v>16</v>
      </c>
    </row>
    <row r="143" spans="1:12" x14ac:dyDescent="0.25">
      <c r="A143" s="1" t="s">
        <v>28</v>
      </c>
      <c r="B143" s="1" t="s">
        <v>29</v>
      </c>
      <c r="C143" s="1">
        <v>2022</v>
      </c>
      <c r="D143" s="1">
        <v>45224</v>
      </c>
      <c r="E143" s="1">
        <v>3.4</v>
      </c>
      <c r="F143" s="1">
        <v>74</v>
      </c>
      <c r="G143" s="1">
        <v>207790033</v>
      </c>
      <c r="H143" s="1">
        <v>56</v>
      </c>
      <c r="I143" s="1">
        <v>5.5</v>
      </c>
      <c r="J143" s="1">
        <v>90</v>
      </c>
      <c r="K143" s="1">
        <v>35</v>
      </c>
      <c r="L143" s="1" t="s">
        <v>29</v>
      </c>
    </row>
    <row r="144" spans="1:12" x14ac:dyDescent="0.25">
      <c r="A144" s="1" t="s">
        <v>23</v>
      </c>
      <c r="B144" s="1" t="s">
        <v>18</v>
      </c>
      <c r="C144" s="1">
        <v>2022</v>
      </c>
      <c r="D144" s="1">
        <v>3956</v>
      </c>
      <c r="E144" s="1">
        <v>11.4</v>
      </c>
      <c r="F144" s="1">
        <v>73</v>
      </c>
      <c r="G144" s="1">
        <v>182949889</v>
      </c>
      <c r="H144" s="1">
        <v>75</v>
      </c>
      <c r="I144" s="1">
        <v>16.3</v>
      </c>
      <c r="J144" s="1">
        <v>94</v>
      </c>
      <c r="K144" s="1">
        <v>39</v>
      </c>
      <c r="L144" s="1" t="s">
        <v>18</v>
      </c>
    </row>
    <row r="145" spans="1:12" x14ac:dyDescent="0.25">
      <c r="A145" s="1" t="s">
        <v>27</v>
      </c>
      <c r="B145" s="1" t="s">
        <v>22</v>
      </c>
      <c r="C145" s="1">
        <v>2022</v>
      </c>
      <c r="D145" s="1">
        <v>28143</v>
      </c>
      <c r="E145" s="1">
        <v>13.8</v>
      </c>
      <c r="F145" s="1">
        <v>84</v>
      </c>
      <c r="G145" s="1">
        <v>147609180</v>
      </c>
      <c r="H145" s="1">
        <v>76</v>
      </c>
      <c r="I145" s="1">
        <v>3.6</v>
      </c>
      <c r="J145" s="1">
        <v>75</v>
      </c>
      <c r="K145" s="1">
        <v>54</v>
      </c>
      <c r="L145" s="1" t="s">
        <v>14</v>
      </c>
    </row>
    <row r="146" spans="1:12" x14ac:dyDescent="0.25">
      <c r="A146" s="1" t="s">
        <v>28</v>
      </c>
      <c r="B146" s="1" t="s">
        <v>29</v>
      </c>
      <c r="C146" s="1">
        <v>2022</v>
      </c>
      <c r="D146" s="1">
        <v>57594</v>
      </c>
      <c r="E146" s="1">
        <v>15.7</v>
      </c>
      <c r="F146" s="1">
        <v>79</v>
      </c>
      <c r="G146" s="1">
        <v>124442783</v>
      </c>
      <c r="H146" s="1">
        <v>55</v>
      </c>
      <c r="I146" s="1">
        <v>6.2</v>
      </c>
      <c r="J146" s="1">
        <v>70</v>
      </c>
      <c r="K146" s="1">
        <v>42</v>
      </c>
      <c r="L146" s="1" t="s">
        <v>29</v>
      </c>
    </row>
    <row r="147" spans="1:12" x14ac:dyDescent="0.25">
      <c r="A147" s="1" t="s">
        <v>28</v>
      </c>
      <c r="B147" s="1" t="s">
        <v>29</v>
      </c>
      <c r="C147" s="1">
        <v>2022</v>
      </c>
      <c r="D147" s="1">
        <v>11842</v>
      </c>
      <c r="E147" s="1">
        <v>14.8</v>
      </c>
      <c r="F147" s="1">
        <v>61</v>
      </c>
      <c r="G147" s="1">
        <v>103435563</v>
      </c>
      <c r="H147" s="1">
        <v>79</v>
      </c>
      <c r="I147" s="1">
        <v>5</v>
      </c>
      <c r="J147" s="1">
        <v>81</v>
      </c>
      <c r="K147" s="1">
        <v>59</v>
      </c>
      <c r="L147" s="1" t="s">
        <v>29</v>
      </c>
    </row>
    <row r="148" spans="1:12" x14ac:dyDescent="0.25">
      <c r="A148" s="1" t="s">
        <v>24</v>
      </c>
      <c r="B148" s="1" t="s">
        <v>16</v>
      </c>
      <c r="C148" s="1">
        <v>2022</v>
      </c>
      <c r="D148" s="1">
        <v>59228</v>
      </c>
      <c r="E148" s="1">
        <v>8.8000000000000007</v>
      </c>
      <c r="F148" s="1">
        <v>66</v>
      </c>
      <c r="G148" s="1">
        <v>96035002</v>
      </c>
      <c r="H148" s="1">
        <v>76</v>
      </c>
      <c r="I148" s="1">
        <v>21.8</v>
      </c>
      <c r="J148" s="1">
        <v>89</v>
      </c>
      <c r="K148" s="1">
        <v>74</v>
      </c>
      <c r="L148" s="1" t="s">
        <v>16</v>
      </c>
    </row>
    <row r="149" spans="1:12" x14ac:dyDescent="0.25">
      <c r="A149" s="1" t="s">
        <v>27</v>
      </c>
      <c r="B149" s="1" t="s">
        <v>22</v>
      </c>
      <c r="C149" s="1">
        <v>2022</v>
      </c>
      <c r="D149" s="1">
        <v>62364</v>
      </c>
      <c r="E149" s="1">
        <v>13.8</v>
      </c>
      <c r="F149" s="1">
        <v>85</v>
      </c>
      <c r="G149" s="1">
        <v>94654996</v>
      </c>
      <c r="H149" s="1">
        <v>67</v>
      </c>
      <c r="I149" s="1">
        <v>12.7</v>
      </c>
      <c r="J149" s="1">
        <v>76</v>
      </c>
      <c r="K149" s="1">
        <v>63</v>
      </c>
      <c r="L149" s="1" t="s">
        <v>14</v>
      </c>
    </row>
    <row r="150" spans="1:12" x14ac:dyDescent="0.25">
      <c r="A150" s="1" t="s">
        <v>23</v>
      </c>
      <c r="B150" s="1" t="s">
        <v>18</v>
      </c>
      <c r="C150" s="1">
        <v>2022</v>
      </c>
      <c r="D150" s="1">
        <v>36536</v>
      </c>
      <c r="E150" s="1">
        <v>6.8</v>
      </c>
      <c r="F150" s="1">
        <v>61</v>
      </c>
      <c r="G150" s="1">
        <v>61277754</v>
      </c>
      <c r="H150" s="1">
        <v>85</v>
      </c>
      <c r="I150" s="1">
        <v>7.2</v>
      </c>
      <c r="J150" s="1">
        <v>82</v>
      </c>
      <c r="K150" s="1">
        <v>46</v>
      </c>
      <c r="L150" s="1" t="s">
        <v>18</v>
      </c>
    </row>
    <row r="151" spans="1:12" x14ac:dyDescent="0.25">
      <c r="A151" s="1" t="s">
        <v>23</v>
      </c>
      <c r="B151" s="1" t="s">
        <v>18</v>
      </c>
      <c r="C151" s="1">
        <v>2022</v>
      </c>
      <c r="D151" s="1">
        <v>58179</v>
      </c>
      <c r="E151" s="1">
        <v>10.7</v>
      </c>
      <c r="F151" s="1">
        <v>60</v>
      </c>
      <c r="G151" s="1">
        <v>58407393</v>
      </c>
      <c r="H151" s="1">
        <v>78</v>
      </c>
      <c r="I151" s="1">
        <v>14.7</v>
      </c>
      <c r="J151" s="1">
        <v>100</v>
      </c>
      <c r="K151" s="1">
        <v>67</v>
      </c>
      <c r="L151" s="1" t="s">
        <v>18</v>
      </c>
    </row>
    <row r="152" spans="1:12" x14ac:dyDescent="0.25">
      <c r="A152" s="1" t="s">
        <v>15</v>
      </c>
      <c r="B152" s="1" t="s">
        <v>16</v>
      </c>
      <c r="C152" s="1">
        <v>2022</v>
      </c>
      <c r="D152" s="1">
        <v>28346</v>
      </c>
      <c r="E152" s="1">
        <v>8.1</v>
      </c>
      <c r="F152" s="1">
        <v>65</v>
      </c>
      <c r="G152" s="1">
        <v>14816030</v>
      </c>
      <c r="H152" s="1">
        <v>63</v>
      </c>
      <c r="I152" s="1">
        <v>10.7</v>
      </c>
      <c r="J152" s="1">
        <v>94</v>
      </c>
      <c r="K152" s="1">
        <v>37</v>
      </c>
      <c r="L152" s="1" t="s">
        <v>16</v>
      </c>
    </row>
    <row r="153" spans="1:12" x14ac:dyDescent="0.25">
      <c r="A153" s="1" t="s">
        <v>17</v>
      </c>
      <c r="B153" s="1" t="s">
        <v>18</v>
      </c>
      <c r="C153" s="1">
        <v>2022</v>
      </c>
      <c r="D153" s="1">
        <v>6682</v>
      </c>
      <c r="E153" s="1">
        <v>12.6</v>
      </c>
      <c r="F153" s="1">
        <v>64</v>
      </c>
      <c r="G153" s="1">
        <v>13341104</v>
      </c>
      <c r="H153" s="1">
        <v>76</v>
      </c>
      <c r="I153" s="1">
        <v>23.4</v>
      </c>
      <c r="J153" s="1">
        <v>80</v>
      </c>
      <c r="K153" s="1">
        <v>35</v>
      </c>
      <c r="L153" s="1" t="s">
        <v>18</v>
      </c>
    </row>
    <row r="154" spans="1:12" x14ac:dyDescent="0.25">
      <c r="A154" s="1" t="s">
        <v>19</v>
      </c>
      <c r="B154" s="1" t="s">
        <v>20</v>
      </c>
      <c r="C154" s="1">
        <v>2022</v>
      </c>
      <c r="D154" s="1">
        <v>48330</v>
      </c>
      <c r="E154" s="1">
        <v>11.3</v>
      </c>
      <c r="F154" s="1">
        <v>73</v>
      </c>
      <c r="G154" s="1">
        <v>11982489</v>
      </c>
      <c r="H154" s="1">
        <v>75</v>
      </c>
      <c r="I154" s="1">
        <v>16.3</v>
      </c>
      <c r="J154" s="1">
        <v>70</v>
      </c>
      <c r="K154" s="1">
        <v>60</v>
      </c>
      <c r="L154" s="1" t="s">
        <v>20</v>
      </c>
    </row>
    <row r="155" spans="1:12" x14ac:dyDescent="0.25">
      <c r="A155" s="1" t="s">
        <v>24</v>
      </c>
      <c r="B155" s="1" t="s">
        <v>16</v>
      </c>
      <c r="C155" s="1">
        <v>2022</v>
      </c>
      <c r="D155" s="1">
        <v>45389</v>
      </c>
      <c r="E155" s="1">
        <v>7.9</v>
      </c>
      <c r="F155" s="1">
        <v>69</v>
      </c>
      <c r="G155" s="1">
        <v>10172880</v>
      </c>
      <c r="H155" s="1">
        <v>70</v>
      </c>
      <c r="I155" s="1">
        <v>19.899999999999999</v>
      </c>
      <c r="J155" s="1">
        <v>94</v>
      </c>
      <c r="K155" s="1">
        <v>42</v>
      </c>
      <c r="L155" s="1" t="s">
        <v>16</v>
      </c>
    </row>
    <row r="156" spans="1:12" x14ac:dyDescent="0.25">
      <c r="A156" s="1" t="s">
        <v>17</v>
      </c>
      <c r="B156" s="1" t="s">
        <v>18</v>
      </c>
      <c r="C156" s="1">
        <v>2022</v>
      </c>
      <c r="D156" s="1">
        <v>62703</v>
      </c>
      <c r="E156" s="1">
        <v>8.3000000000000007</v>
      </c>
      <c r="F156" s="1">
        <v>83</v>
      </c>
      <c r="G156" s="1">
        <v>10083916</v>
      </c>
      <c r="H156" s="1">
        <v>66</v>
      </c>
      <c r="I156" s="1">
        <v>9.5</v>
      </c>
      <c r="J156" s="1">
        <v>95</v>
      </c>
      <c r="K156" s="1">
        <v>57</v>
      </c>
      <c r="L156" s="1" t="s">
        <v>18</v>
      </c>
    </row>
    <row r="157" spans="1:12" x14ac:dyDescent="0.25">
      <c r="A157" s="1" t="s">
        <v>27</v>
      </c>
      <c r="B157" s="1" t="s">
        <v>22</v>
      </c>
      <c r="C157" s="1">
        <v>2021</v>
      </c>
      <c r="D157" s="1">
        <v>34898</v>
      </c>
      <c r="E157" s="1">
        <v>14.9</v>
      </c>
      <c r="F157" s="1">
        <v>60</v>
      </c>
      <c r="G157" s="1">
        <v>1497795557</v>
      </c>
      <c r="H157" s="1">
        <v>72</v>
      </c>
      <c r="I157" s="1">
        <v>25</v>
      </c>
      <c r="J157" s="1">
        <v>96</v>
      </c>
      <c r="K157" s="1">
        <v>68</v>
      </c>
      <c r="L157" s="1" t="s">
        <v>14</v>
      </c>
    </row>
    <row r="158" spans="1:12" x14ac:dyDescent="0.25">
      <c r="A158" s="1" t="s">
        <v>15</v>
      </c>
      <c r="B158" s="1" t="s">
        <v>16</v>
      </c>
      <c r="C158" s="1">
        <v>2021</v>
      </c>
      <c r="D158" s="1">
        <v>30566</v>
      </c>
      <c r="E158" s="1">
        <v>16.8</v>
      </c>
      <c r="F158" s="1">
        <v>79</v>
      </c>
      <c r="G158" s="1">
        <v>1490429098</v>
      </c>
      <c r="H158" s="1">
        <v>77</v>
      </c>
      <c r="I158" s="1">
        <v>5.3</v>
      </c>
      <c r="J158" s="1">
        <v>86</v>
      </c>
      <c r="K158" s="1">
        <v>64</v>
      </c>
      <c r="L158" s="1" t="s">
        <v>16</v>
      </c>
    </row>
    <row r="159" spans="1:12" x14ac:dyDescent="0.25">
      <c r="A159" s="1" t="s">
        <v>19</v>
      </c>
      <c r="B159" s="1" t="s">
        <v>20</v>
      </c>
      <c r="C159" s="1">
        <v>2021</v>
      </c>
      <c r="D159" s="1">
        <v>56203</v>
      </c>
      <c r="E159" s="1">
        <v>10.9</v>
      </c>
      <c r="F159" s="1">
        <v>72</v>
      </c>
      <c r="G159" s="1">
        <v>1485235161</v>
      </c>
      <c r="H159" s="1">
        <v>89</v>
      </c>
      <c r="I159" s="1">
        <v>13.2</v>
      </c>
      <c r="J159" s="1">
        <v>70</v>
      </c>
      <c r="K159" s="1">
        <v>31</v>
      </c>
      <c r="L159" s="1" t="s">
        <v>20</v>
      </c>
    </row>
    <row r="160" spans="1:12" x14ac:dyDescent="0.25">
      <c r="A160" s="1" t="s">
        <v>17</v>
      </c>
      <c r="B160" s="1" t="s">
        <v>18</v>
      </c>
      <c r="C160" s="1">
        <v>2021</v>
      </c>
      <c r="D160" s="1">
        <v>29296</v>
      </c>
      <c r="E160" s="1">
        <v>16.100000000000001</v>
      </c>
      <c r="F160" s="1">
        <v>65</v>
      </c>
      <c r="G160" s="1">
        <v>1484677109</v>
      </c>
      <c r="H160" s="1">
        <v>64</v>
      </c>
      <c r="I160" s="1">
        <v>11.6</v>
      </c>
      <c r="J160" s="1">
        <v>87</v>
      </c>
      <c r="K160" s="1">
        <v>37</v>
      </c>
      <c r="L160" s="1" t="s">
        <v>18</v>
      </c>
    </row>
    <row r="161" spans="1:12" x14ac:dyDescent="0.25">
      <c r="A161" s="1" t="s">
        <v>19</v>
      </c>
      <c r="B161" s="1" t="s">
        <v>20</v>
      </c>
      <c r="C161" s="1">
        <v>2021</v>
      </c>
      <c r="D161" s="1">
        <v>15389</v>
      </c>
      <c r="E161" s="1">
        <v>14.4</v>
      </c>
      <c r="F161" s="1">
        <v>76</v>
      </c>
      <c r="G161" s="1">
        <v>1460834804</v>
      </c>
      <c r="H161" s="1">
        <v>93</v>
      </c>
      <c r="I161" s="1">
        <v>10.5</v>
      </c>
      <c r="J161" s="1">
        <v>80</v>
      </c>
      <c r="K161" s="1">
        <v>77</v>
      </c>
      <c r="L161" s="1" t="s">
        <v>20</v>
      </c>
    </row>
    <row r="162" spans="1:12" x14ac:dyDescent="0.25">
      <c r="A162" s="1" t="s">
        <v>15</v>
      </c>
      <c r="B162" s="1" t="s">
        <v>16</v>
      </c>
      <c r="C162" s="1">
        <v>2021</v>
      </c>
      <c r="D162" s="1">
        <v>50453</v>
      </c>
      <c r="E162" s="1">
        <v>14</v>
      </c>
      <c r="F162" s="1">
        <v>66</v>
      </c>
      <c r="G162" s="1">
        <v>1446031562</v>
      </c>
      <c r="H162" s="1">
        <v>80</v>
      </c>
      <c r="I162" s="1">
        <v>9.6999999999999993</v>
      </c>
      <c r="J162" s="1">
        <v>92</v>
      </c>
      <c r="K162" s="1">
        <v>72</v>
      </c>
      <c r="L162" s="1" t="s">
        <v>16</v>
      </c>
    </row>
    <row r="163" spans="1:12" x14ac:dyDescent="0.25">
      <c r="A163" s="1" t="s">
        <v>12</v>
      </c>
      <c r="B163" s="1" t="s">
        <v>13</v>
      </c>
      <c r="C163" s="1">
        <v>2021</v>
      </c>
      <c r="D163" s="1">
        <v>8088</v>
      </c>
      <c r="E163" s="1">
        <v>10.5</v>
      </c>
      <c r="F163" s="1">
        <v>62</v>
      </c>
      <c r="G163" s="1">
        <v>1438981351</v>
      </c>
      <c r="H163" s="1">
        <v>93</v>
      </c>
      <c r="I163" s="1">
        <v>3.3</v>
      </c>
      <c r="J163" s="1">
        <v>74</v>
      </c>
      <c r="K163" s="1">
        <v>78</v>
      </c>
      <c r="L163" s="1" t="s">
        <v>14</v>
      </c>
    </row>
    <row r="164" spans="1:12" x14ac:dyDescent="0.25">
      <c r="A164" s="1" t="s">
        <v>15</v>
      </c>
      <c r="B164" s="1" t="s">
        <v>16</v>
      </c>
      <c r="C164" s="1">
        <v>2021</v>
      </c>
      <c r="D164" s="1">
        <v>10866</v>
      </c>
      <c r="E164" s="1">
        <v>3.7</v>
      </c>
      <c r="F164" s="1">
        <v>83</v>
      </c>
      <c r="G164" s="1">
        <v>1419064325</v>
      </c>
      <c r="H164" s="1">
        <v>76</v>
      </c>
      <c r="I164" s="1">
        <v>15</v>
      </c>
      <c r="J164" s="1">
        <v>100</v>
      </c>
      <c r="K164" s="1">
        <v>76</v>
      </c>
      <c r="L164" s="1" t="s">
        <v>16</v>
      </c>
    </row>
    <row r="165" spans="1:12" x14ac:dyDescent="0.25">
      <c r="A165" s="1" t="s">
        <v>21</v>
      </c>
      <c r="B165" s="1" t="s">
        <v>22</v>
      </c>
      <c r="C165" s="1">
        <v>2021</v>
      </c>
      <c r="D165" s="1">
        <v>22232</v>
      </c>
      <c r="E165" s="1">
        <v>16.8</v>
      </c>
      <c r="F165" s="1">
        <v>80</v>
      </c>
      <c r="G165" s="1">
        <v>1417363838</v>
      </c>
      <c r="H165" s="1">
        <v>79</v>
      </c>
      <c r="I165" s="1">
        <v>17</v>
      </c>
      <c r="J165" s="1">
        <v>90</v>
      </c>
      <c r="K165" s="1">
        <v>47</v>
      </c>
      <c r="L165" s="1" t="s">
        <v>14</v>
      </c>
    </row>
    <row r="166" spans="1:12" x14ac:dyDescent="0.25">
      <c r="A166" s="1" t="s">
        <v>15</v>
      </c>
      <c r="B166" s="1" t="s">
        <v>16</v>
      </c>
      <c r="C166" s="1">
        <v>2021</v>
      </c>
      <c r="D166" s="1">
        <v>27636</v>
      </c>
      <c r="E166" s="1">
        <v>16.100000000000001</v>
      </c>
      <c r="F166" s="1">
        <v>65</v>
      </c>
      <c r="G166" s="1">
        <v>1405324045</v>
      </c>
      <c r="H166" s="1">
        <v>55</v>
      </c>
      <c r="I166" s="1">
        <v>2.4</v>
      </c>
      <c r="J166" s="1">
        <v>84</v>
      </c>
      <c r="K166" s="1">
        <v>69</v>
      </c>
      <c r="L166" s="1" t="s">
        <v>16</v>
      </c>
    </row>
    <row r="167" spans="1:12" x14ac:dyDescent="0.25">
      <c r="A167" s="1" t="s">
        <v>21</v>
      </c>
      <c r="B167" s="1" t="s">
        <v>22</v>
      </c>
      <c r="C167" s="1">
        <v>2021</v>
      </c>
      <c r="D167" s="1">
        <v>46701</v>
      </c>
      <c r="E167" s="1">
        <v>6.7</v>
      </c>
      <c r="F167" s="1">
        <v>84</v>
      </c>
      <c r="G167" s="1">
        <v>1398599595</v>
      </c>
      <c r="H167" s="1">
        <v>66</v>
      </c>
      <c r="I167" s="1">
        <v>18</v>
      </c>
      <c r="J167" s="1">
        <v>94</v>
      </c>
      <c r="K167" s="1">
        <v>87</v>
      </c>
      <c r="L167" s="1" t="s">
        <v>14</v>
      </c>
    </row>
    <row r="168" spans="1:12" x14ac:dyDescent="0.25">
      <c r="A168" s="1" t="s">
        <v>17</v>
      </c>
      <c r="B168" s="1" t="s">
        <v>18</v>
      </c>
      <c r="C168" s="1">
        <v>2021</v>
      </c>
      <c r="D168" s="1">
        <v>68376</v>
      </c>
      <c r="E168" s="1">
        <v>6.3</v>
      </c>
      <c r="F168" s="1">
        <v>76</v>
      </c>
      <c r="G168" s="1">
        <v>1389242644</v>
      </c>
      <c r="H168" s="1">
        <v>64</v>
      </c>
      <c r="I168" s="1">
        <v>18.3</v>
      </c>
      <c r="J168" s="1">
        <v>79</v>
      </c>
      <c r="K168" s="1">
        <v>53</v>
      </c>
      <c r="L168" s="1" t="s">
        <v>18</v>
      </c>
    </row>
    <row r="169" spans="1:12" x14ac:dyDescent="0.25">
      <c r="A169" s="1" t="s">
        <v>28</v>
      </c>
      <c r="B169" s="1" t="s">
        <v>29</v>
      </c>
      <c r="C169" s="1">
        <v>2021</v>
      </c>
      <c r="D169" s="1">
        <v>22724</v>
      </c>
      <c r="E169" s="1">
        <v>8.1999999999999993</v>
      </c>
      <c r="F169" s="1">
        <v>79</v>
      </c>
      <c r="G169" s="1">
        <v>1382133853</v>
      </c>
      <c r="H169" s="1">
        <v>51</v>
      </c>
      <c r="I169" s="1">
        <v>13.3</v>
      </c>
      <c r="J169" s="1">
        <v>88</v>
      </c>
      <c r="K169" s="1">
        <v>38</v>
      </c>
      <c r="L169" s="1" t="s">
        <v>29</v>
      </c>
    </row>
    <row r="170" spans="1:12" x14ac:dyDescent="0.25">
      <c r="A170" s="1" t="s">
        <v>12</v>
      </c>
      <c r="B170" s="1" t="s">
        <v>13</v>
      </c>
      <c r="C170" s="1">
        <v>2021</v>
      </c>
      <c r="D170" s="1">
        <v>33803</v>
      </c>
      <c r="E170" s="1">
        <v>13.1</v>
      </c>
      <c r="F170" s="1">
        <v>61</v>
      </c>
      <c r="G170" s="1">
        <v>1373510320</v>
      </c>
      <c r="H170" s="1">
        <v>76</v>
      </c>
      <c r="I170" s="1">
        <v>12.2</v>
      </c>
      <c r="J170" s="1">
        <v>88</v>
      </c>
      <c r="K170" s="1">
        <v>37</v>
      </c>
      <c r="L170" s="1" t="s">
        <v>14</v>
      </c>
    </row>
    <row r="171" spans="1:12" x14ac:dyDescent="0.25">
      <c r="A171" s="1" t="s">
        <v>24</v>
      </c>
      <c r="B171" s="1" t="s">
        <v>16</v>
      </c>
      <c r="C171" s="1">
        <v>2021</v>
      </c>
      <c r="D171" s="1">
        <v>23678</v>
      </c>
      <c r="E171" s="1">
        <v>5.0999999999999996</v>
      </c>
      <c r="F171" s="1">
        <v>66</v>
      </c>
      <c r="G171" s="1">
        <v>1367456600</v>
      </c>
      <c r="H171" s="1">
        <v>62</v>
      </c>
      <c r="I171" s="1">
        <v>9.8000000000000007</v>
      </c>
      <c r="J171" s="1">
        <v>79</v>
      </c>
      <c r="K171" s="1">
        <v>62</v>
      </c>
      <c r="L171" s="1" t="s">
        <v>16</v>
      </c>
    </row>
    <row r="172" spans="1:12" x14ac:dyDescent="0.25">
      <c r="A172" s="1" t="s">
        <v>24</v>
      </c>
      <c r="B172" s="1" t="s">
        <v>16</v>
      </c>
      <c r="C172" s="1">
        <v>2021</v>
      </c>
      <c r="D172" s="1">
        <v>42932</v>
      </c>
      <c r="E172" s="1">
        <v>13.2</v>
      </c>
      <c r="F172" s="1">
        <v>84</v>
      </c>
      <c r="G172" s="1">
        <v>1362571651</v>
      </c>
      <c r="H172" s="1">
        <v>78</v>
      </c>
      <c r="I172" s="1">
        <v>8.4</v>
      </c>
      <c r="J172" s="1">
        <v>76</v>
      </c>
      <c r="K172" s="1">
        <v>69</v>
      </c>
      <c r="L172" s="1" t="s">
        <v>16</v>
      </c>
    </row>
    <row r="173" spans="1:12" x14ac:dyDescent="0.25">
      <c r="A173" s="1" t="s">
        <v>27</v>
      </c>
      <c r="B173" s="1" t="s">
        <v>22</v>
      </c>
      <c r="C173" s="1">
        <v>2021</v>
      </c>
      <c r="D173" s="1">
        <v>61868</v>
      </c>
      <c r="E173" s="1">
        <v>16.3</v>
      </c>
      <c r="F173" s="1">
        <v>69</v>
      </c>
      <c r="G173" s="1">
        <v>1360087715</v>
      </c>
      <c r="H173" s="1">
        <v>75</v>
      </c>
      <c r="I173" s="1">
        <v>17.2</v>
      </c>
      <c r="J173" s="1">
        <v>98</v>
      </c>
      <c r="K173" s="1">
        <v>74</v>
      </c>
      <c r="L173" s="1" t="s">
        <v>14</v>
      </c>
    </row>
    <row r="174" spans="1:12" x14ac:dyDescent="0.25">
      <c r="A174" s="1" t="s">
        <v>25</v>
      </c>
      <c r="B174" s="1" t="s">
        <v>26</v>
      </c>
      <c r="C174" s="1">
        <v>2021</v>
      </c>
      <c r="D174" s="1">
        <v>16381</v>
      </c>
      <c r="E174" s="1">
        <v>3</v>
      </c>
      <c r="F174" s="1">
        <v>81</v>
      </c>
      <c r="G174" s="1">
        <v>1357389161</v>
      </c>
      <c r="H174" s="1">
        <v>81</v>
      </c>
      <c r="I174" s="1">
        <v>20.5</v>
      </c>
      <c r="J174" s="1">
        <v>77</v>
      </c>
      <c r="K174" s="1">
        <v>35</v>
      </c>
      <c r="L174" s="1" t="s">
        <v>26</v>
      </c>
    </row>
    <row r="175" spans="1:12" x14ac:dyDescent="0.25">
      <c r="A175" s="1" t="s">
        <v>15</v>
      </c>
      <c r="B175" s="1" t="s">
        <v>16</v>
      </c>
      <c r="C175" s="1">
        <v>2021</v>
      </c>
      <c r="D175" s="1">
        <v>3658</v>
      </c>
      <c r="E175" s="1">
        <v>16.2</v>
      </c>
      <c r="F175" s="1">
        <v>85</v>
      </c>
      <c r="G175" s="1">
        <v>1353066187</v>
      </c>
      <c r="H175" s="1">
        <v>80</v>
      </c>
      <c r="I175" s="1">
        <v>3.6</v>
      </c>
      <c r="J175" s="1">
        <v>84</v>
      </c>
      <c r="K175" s="1">
        <v>70</v>
      </c>
      <c r="L175" s="1" t="s">
        <v>16</v>
      </c>
    </row>
    <row r="176" spans="1:12" x14ac:dyDescent="0.25">
      <c r="A176" s="1" t="s">
        <v>27</v>
      </c>
      <c r="B176" s="1" t="s">
        <v>22</v>
      </c>
      <c r="C176" s="1">
        <v>2021</v>
      </c>
      <c r="D176" s="1">
        <v>12832</v>
      </c>
      <c r="E176" s="1">
        <v>4.5999999999999996</v>
      </c>
      <c r="F176" s="1">
        <v>67</v>
      </c>
      <c r="G176" s="1">
        <v>1351589766</v>
      </c>
      <c r="H176" s="1">
        <v>73</v>
      </c>
      <c r="I176" s="1">
        <v>14.8</v>
      </c>
      <c r="J176" s="1">
        <v>70</v>
      </c>
      <c r="K176" s="1">
        <v>79</v>
      </c>
      <c r="L176" s="1" t="s">
        <v>14</v>
      </c>
    </row>
    <row r="177" spans="1:12" x14ac:dyDescent="0.25">
      <c r="A177" s="1" t="s">
        <v>24</v>
      </c>
      <c r="B177" s="1" t="s">
        <v>16</v>
      </c>
      <c r="C177" s="1">
        <v>2021</v>
      </c>
      <c r="D177" s="1">
        <v>49526</v>
      </c>
      <c r="E177" s="1">
        <v>8.5</v>
      </c>
      <c r="F177" s="1">
        <v>78</v>
      </c>
      <c r="G177" s="1">
        <v>1333725790</v>
      </c>
      <c r="H177" s="1">
        <v>65</v>
      </c>
      <c r="I177" s="1">
        <v>19.2</v>
      </c>
      <c r="J177" s="1">
        <v>87</v>
      </c>
      <c r="K177" s="1">
        <v>84</v>
      </c>
      <c r="L177" s="1" t="s">
        <v>16</v>
      </c>
    </row>
    <row r="178" spans="1:12" x14ac:dyDescent="0.25">
      <c r="A178" s="1" t="s">
        <v>12</v>
      </c>
      <c r="B178" s="1" t="s">
        <v>13</v>
      </c>
      <c r="C178" s="1">
        <v>2021</v>
      </c>
      <c r="D178" s="1">
        <v>48719</v>
      </c>
      <c r="E178" s="1">
        <v>16.3</v>
      </c>
      <c r="F178" s="1">
        <v>72</v>
      </c>
      <c r="G178" s="1">
        <v>1330075108</v>
      </c>
      <c r="H178" s="1">
        <v>70</v>
      </c>
      <c r="I178" s="1">
        <v>9.9</v>
      </c>
      <c r="J178" s="1">
        <v>97</v>
      </c>
      <c r="K178" s="1">
        <v>43</v>
      </c>
      <c r="L178" s="1" t="s">
        <v>14</v>
      </c>
    </row>
    <row r="179" spans="1:12" x14ac:dyDescent="0.25">
      <c r="A179" s="1" t="s">
        <v>28</v>
      </c>
      <c r="B179" s="1" t="s">
        <v>29</v>
      </c>
      <c r="C179" s="1">
        <v>2021</v>
      </c>
      <c r="D179" s="1">
        <v>32492</v>
      </c>
      <c r="E179" s="1">
        <v>4.9000000000000004</v>
      </c>
      <c r="F179" s="1">
        <v>68</v>
      </c>
      <c r="G179" s="1">
        <v>1321707077</v>
      </c>
      <c r="H179" s="1">
        <v>85</v>
      </c>
      <c r="I179" s="1">
        <v>4.5</v>
      </c>
      <c r="J179" s="1">
        <v>88</v>
      </c>
      <c r="K179" s="1">
        <v>35</v>
      </c>
      <c r="L179" s="1" t="s">
        <v>29</v>
      </c>
    </row>
    <row r="180" spans="1:12" x14ac:dyDescent="0.25">
      <c r="A180" s="1" t="s">
        <v>21</v>
      </c>
      <c r="B180" s="1" t="s">
        <v>22</v>
      </c>
      <c r="C180" s="1">
        <v>2021</v>
      </c>
      <c r="D180" s="1">
        <v>9162</v>
      </c>
      <c r="E180" s="1">
        <v>8.9</v>
      </c>
      <c r="F180" s="1">
        <v>83</v>
      </c>
      <c r="G180" s="1">
        <v>1299199653</v>
      </c>
      <c r="H180" s="1">
        <v>54</v>
      </c>
      <c r="I180" s="1">
        <v>20.3</v>
      </c>
      <c r="J180" s="1">
        <v>97</v>
      </c>
      <c r="K180" s="1">
        <v>79</v>
      </c>
      <c r="L180" s="1" t="s">
        <v>14</v>
      </c>
    </row>
    <row r="181" spans="1:12" x14ac:dyDescent="0.25">
      <c r="A181" s="1" t="s">
        <v>27</v>
      </c>
      <c r="B181" s="1" t="s">
        <v>22</v>
      </c>
      <c r="C181" s="1">
        <v>2021</v>
      </c>
      <c r="D181" s="1">
        <v>11700</v>
      </c>
      <c r="E181" s="1">
        <v>15.5</v>
      </c>
      <c r="F181" s="1">
        <v>79</v>
      </c>
      <c r="G181" s="1">
        <v>1273620927</v>
      </c>
      <c r="H181" s="1">
        <v>88</v>
      </c>
      <c r="I181" s="1">
        <v>2.9</v>
      </c>
      <c r="J181" s="1">
        <v>97</v>
      </c>
      <c r="K181" s="1">
        <v>30</v>
      </c>
      <c r="L181" s="1" t="s">
        <v>14</v>
      </c>
    </row>
    <row r="182" spans="1:12" x14ac:dyDescent="0.25">
      <c r="A182" s="1" t="s">
        <v>28</v>
      </c>
      <c r="B182" s="1" t="s">
        <v>29</v>
      </c>
      <c r="C182" s="1">
        <v>2021</v>
      </c>
      <c r="D182" s="1">
        <v>56258</v>
      </c>
      <c r="E182" s="1">
        <v>13.8</v>
      </c>
      <c r="F182" s="1">
        <v>77</v>
      </c>
      <c r="G182" s="1">
        <v>1271836611</v>
      </c>
      <c r="H182" s="1">
        <v>90</v>
      </c>
      <c r="I182" s="1">
        <v>23.3</v>
      </c>
      <c r="J182" s="1">
        <v>92</v>
      </c>
      <c r="K182" s="1">
        <v>67</v>
      </c>
      <c r="L182" s="1" t="s">
        <v>29</v>
      </c>
    </row>
    <row r="183" spans="1:12" x14ac:dyDescent="0.25">
      <c r="A183" s="1" t="s">
        <v>27</v>
      </c>
      <c r="B183" s="1" t="s">
        <v>22</v>
      </c>
      <c r="C183" s="1">
        <v>2021</v>
      </c>
      <c r="D183" s="1">
        <v>57072</v>
      </c>
      <c r="E183" s="1">
        <v>7</v>
      </c>
      <c r="F183" s="1">
        <v>81</v>
      </c>
      <c r="G183" s="1">
        <v>1265374410</v>
      </c>
      <c r="H183" s="1">
        <v>90</v>
      </c>
      <c r="I183" s="1">
        <v>13</v>
      </c>
      <c r="J183" s="1">
        <v>88</v>
      </c>
      <c r="K183" s="1">
        <v>65</v>
      </c>
      <c r="L183" s="1" t="s">
        <v>14</v>
      </c>
    </row>
    <row r="184" spans="1:12" x14ac:dyDescent="0.25">
      <c r="A184" s="1" t="s">
        <v>21</v>
      </c>
      <c r="B184" s="1" t="s">
        <v>22</v>
      </c>
      <c r="C184" s="1">
        <v>2021</v>
      </c>
      <c r="D184" s="1">
        <v>63151</v>
      </c>
      <c r="E184" s="1">
        <v>13.4</v>
      </c>
      <c r="F184" s="1">
        <v>63</v>
      </c>
      <c r="G184" s="1">
        <v>1256041242</v>
      </c>
      <c r="H184" s="1">
        <v>83</v>
      </c>
      <c r="I184" s="1">
        <v>24.6</v>
      </c>
      <c r="J184" s="1">
        <v>95</v>
      </c>
      <c r="K184" s="1">
        <v>69</v>
      </c>
      <c r="L184" s="1" t="s">
        <v>14</v>
      </c>
    </row>
    <row r="185" spans="1:12" x14ac:dyDescent="0.25">
      <c r="A185" s="1" t="s">
        <v>24</v>
      </c>
      <c r="B185" s="1" t="s">
        <v>16</v>
      </c>
      <c r="C185" s="1">
        <v>2021</v>
      </c>
      <c r="D185" s="1">
        <v>12105</v>
      </c>
      <c r="E185" s="1">
        <v>6.9</v>
      </c>
      <c r="F185" s="1">
        <v>70</v>
      </c>
      <c r="G185" s="1">
        <v>1253164896</v>
      </c>
      <c r="H185" s="1">
        <v>71</v>
      </c>
      <c r="I185" s="1">
        <v>4.5999999999999996</v>
      </c>
      <c r="J185" s="1">
        <v>72</v>
      </c>
      <c r="K185" s="1">
        <v>33</v>
      </c>
      <c r="L185" s="1" t="s">
        <v>16</v>
      </c>
    </row>
    <row r="186" spans="1:12" x14ac:dyDescent="0.25">
      <c r="A186" s="1" t="s">
        <v>12</v>
      </c>
      <c r="B186" s="1" t="s">
        <v>13</v>
      </c>
      <c r="C186" s="1">
        <v>2021</v>
      </c>
      <c r="D186" s="1">
        <v>18191</v>
      </c>
      <c r="E186" s="1">
        <v>4.9000000000000004</v>
      </c>
      <c r="F186" s="1">
        <v>82</v>
      </c>
      <c r="G186" s="1">
        <v>1249257061</v>
      </c>
      <c r="H186" s="1">
        <v>52</v>
      </c>
      <c r="I186" s="1">
        <v>17.5</v>
      </c>
      <c r="J186" s="1">
        <v>72</v>
      </c>
      <c r="K186" s="1">
        <v>40</v>
      </c>
      <c r="L186" s="1" t="s">
        <v>14</v>
      </c>
    </row>
    <row r="187" spans="1:12" x14ac:dyDescent="0.25">
      <c r="A187" s="1" t="s">
        <v>25</v>
      </c>
      <c r="B187" s="1" t="s">
        <v>26</v>
      </c>
      <c r="C187" s="1">
        <v>2021</v>
      </c>
      <c r="D187" s="1">
        <v>51587</v>
      </c>
      <c r="E187" s="1">
        <v>4.9000000000000004</v>
      </c>
      <c r="F187" s="1">
        <v>74</v>
      </c>
      <c r="G187" s="1">
        <v>1237242876</v>
      </c>
      <c r="H187" s="1">
        <v>67</v>
      </c>
      <c r="I187" s="1">
        <v>23.1</v>
      </c>
      <c r="J187" s="1">
        <v>81</v>
      </c>
      <c r="K187" s="1">
        <v>68</v>
      </c>
      <c r="L187" s="1" t="s">
        <v>26</v>
      </c>
    </row>
    <row r="188" spans="1:12" x14ac:dyDescent="0.25">
      <c r="A188" s="1" t="s">
        <v>17</v>
      </c>
      <c r="B188" s="1" t="s">
        <v>18</v>
      </c>
      <c r="C188" s="1">
        <v>2021</v>
      </c>
      <c r="D188" s="1">
        <v>38446</v>
      </c>
      <c r="E188" s="1">
        <v>10.1</v>
      </c>
      <c r="F188" s="1">
        <v>65</v>
      </c>
      <c r="G188" s="1">
        <v>1215430400</v>
      </c>
      <c r="H188" s="1">
        <v>77</v>
      </c>
      <c r="I188" s="1">
        <v>11.1</v>
      </c>
      <c r="J188" s="1">
        <v>94</v>
      </c>
      <c r="K188" s="1">
        <v>80</v>
      </c>
      <c r="L188" s="1" t="s">
        <v>18</v>
      </c>
    </row>
    <row r="189" spans="1:12" x14ac:dyDescent="0.25">
      <c r="A189" s="1" t="s">
        <v>15</v>
      </c>
      <c r="B189" s="1" t="s">
        <v>16</v>
      </c>
      <c r="C189" s="1">
        <v>2021</v>
      </c>
      <c r="D189" s="1">
        <v>9438</v>
      </c>
      <c r="E189" s="1">
        <v>7.4</v>
      </c>
      <c r="F189" s="1">
        <v>76</v>
      </c>
      <c r="G189" s="1">
        <v>1209766516</v>
      </c>
      <c r="H189" s="1">
        <v>54</v>
      </c>
      <c r="I189" s="1">
        <v>9.6</v>
      </c>
      <c r="J189" s="1">
        <v>71</v>
      </c>
      <c r="K189" s="1">
        <v>89</v>
      </c>
      <c r="L189" s="1" t="s">
        <v>16</v>
      </c>
    </row>
    <row r="190" spans="1:12" x14ac:dyDescent="0.25">
      <c r="A190" s="1" t="s">
        <v>17</v>
      </c>
      <c r="B190" s="1" t="s">
        <v>18</v>
      </c>
      <c r="C190" s="1">
        <v>2021</v>
      </c>
      <c r="D190" s="1">
        <v>40419</v>
      </c>
      <c r="E190" s="1">
        <v>13.3</v>
      </c>
      <c r="F190" s="1">
        <v>71</v>
      </c>
      <c r="G190" s="1">
        <v>1208455098</v>
      </c>
      <c r="H190" s="1">
        <v>85</v>
      </c>
      <c r="I190" s="1">
        <v>7.3</v>
      </c>
      <c r="J190" s="1">
        <v>97</v>
      </c>
      <c r="K190" s="1">
        <v>90</v>
      </c>
      <c r="L190" s="1" t="s">
        <v>18</v>
      </c>
    </row>
    <row r="191" spans="1:12" x14ac:dyDescent="0.25">
      <c r="A191" s="1" t="s">
        <v>24</v>
      </c>
      <c r="B191" s="1" t="s">
        <v>16</v>
      </c>
      <c r="C191" s="1">
        <v>2021</v>
      </c>
      <c r="D191" s="1">
        <v>27819</v>
      </c>
      <c r="E191" s="1">
        <v>7.1</v>
      </c>
      <c r="F191" s="1">
        <v>84</v>
      </c>
      <c r="G191" s="1">
        <v>1190212334</v>
      </c>
      <c r="H191" s="1">
        <v>78</v>
      </c>
      <c r="I191" s="1">
        <v>24.2</v>
      </c>
      <c r="J191" s="1">
        <v>82</v>
      </c>
      <c r="K191" s="1">
        <v>88</v>
      </c>
      <c r="L191" s="1" t="s">
        <v>16</v>
      </c>
    </row>
    <row r="192" spans="1:12" x14ac:dyDescent="0.25">
      <c r="A192" s="1" t="s">
        <v>23</v>
      </c>
      <c r="B192" s="1" t="s">
        <v>18</v>
      </c>
      <c r="C192" s="1">
        <v>2021</v>
      </c>
      <c r="D192" s="1">
        <v>50360</v>
      </c>
      <c r="E192" s="1">
        <v>15.4</v>
      </c>
      <c r="F192" s="1">
        <v>78</v>
      </c>
      <c r="G192" s="1">
        <v>1173779390</v>
      </c>
      <c r="H192" s="1">
        <v>58</v>
      </c>
      <c r="I192" s="1">
        <v>20.5</v>
      </c>
      <c r="J192" s="1">
        <v>85</v>
      </c>
      <c r="K192" s="1">
        <v>52</v>
      </c>
      <c r="L192" s="1" t="s">
        <v>18</v>
      </c>
    </row>
    <row r="193" spans="1:12" x14ac:dyDescent="0.25">
      <c r="A193" s="1" t="s">
        <v>25</v>
      </c>
      <c r="B193" s="1" t="s">
        <v>26</v>
      </c>
      <c r="C193" s="1">
        <v>2021</v>
      </c>
      <c r="D193" s="1">
        <v>34028</v>
      </c>
      <c r="E193" s="1">
        <v>12.2</v>
      </c>
      <c r="F193" s="1">
        <v>75</v>
      </c>
      <c r="G193" s="1">
        <v>1172149943</v>
      </c>
      <c r="H193" s="1">
        <v>89</v>
      </c>
      <c r="I193" s="1">
        <v>3.8</v>
      </c>
      <c r="J193" s="1">
        <v>99</v>
      </c>
      <c r="K193" s="1">
        <v>75</v>
      </c>
      <c r="L193" s="1" t="s">
        <v>26</v>
      </c>
    </row>
    <row r="194" spans="1:12" x14ac:dyDescent="0.25">
      <c r="A194" s="1" t="s">
        <v>21</v>
      </c>
      <c r="B194" s="1" t="s">
        <v>22</v>
      </c>
      <c r="C194" s="1">
        <v>2021</v>
      </c>
      <c r="D194" s="1">
        <v>34214</v>
      </c>
      <c r="E194" s="1">
        <v>13.2</v>
      </c>
      <c r="F194" s="1">
        <v>73</v>
      </c>
      <c r="G194" s="1">
        <v>1162132779</v>
      </c>
      <c r="H194" s="1">
        <v>85</v>
      </c>
      <c r="I194" s="1">
        <v>12.4</v>
      </c>
      <c r="J194" s="1">
        <v>74</v>
      </c>
      <c r="K194" s="1">
        <v>58</v>
      </c>
      <c r="L194" s="1" t="s">
        <v>14</v>
      </c>
    </row>
    <row r="195" spans="1:12" x14ac:dyDescent="0.25">
      <c r="A195" s="1" t="s">
        <v>12</v>
      </c>
      <c r="B195" s="1" t="s">
        <v>13</v>
      </c>
      <c r="C195" s="1">
        <v>2021</v>
      </c>
      <c r="D195" s="1">
        <v>57661</v>
      </c>
      <c r="E195" s="1">
        <v>3.6</v>
      </c>
      <c r="F195" s="1">
        <v>80</v>
      </c>
      <c r="G195" s="1">
        <v>1152089087</v>
      </c>
      <c r="H195" s="1">
        <v>76</v>
      </c>
      <c r="I195" s="1">
        <v>7.3</v>
      </c>
      <c r="J195" s="1">
        <v>75</v>
      </c>
      <c r="K195" s="1">
        <v>90</v>
      </c>
      <c r="L195" s="1" t="s">
        <v>14</v>
      </c>
    </row>
    <row r="196" spans="1:12" x14ac:dyDescent="0.25">
      <c r="A196" s="1" t="s">
        <v>21</v>
      </c>
      <c r="B196" s="1" t="s">
        <v>22</v>
      </c>
      <c r="C196" s="1">
        <v>2021</v>
      </c>
      <c r="D196" s="1">
        <v>38104</v>
      </c>
      <c r="E196" s="1">
        <v>14.2</v>
      </c>
      <c r="F196" s="1">
        <v>81</v>
      </c>
      <c r="G196" s="1">
        <v>1127433910</v>
      </c>
      <c r="H196" s="1">
        <v>75</v>
      </c>
      <c r="I196" s="1">
        <v>22.8</v>
      </c>
      <c r="J196" s="1">
        <v>99</v>
      </c>
      <c r="K196" s="1">
        <v>32</v>
      </c>
      <c r="L196" s="1" t="s">
        <v>14</v>
      </c>
    </row>
    <row r="197" spans="1:12" x14ac:dyDescent="0.25">
      <c r="A197" s="1" t="s">
        <v>28</v>
      </c>
      <c r="B197" s="1" t="s">
        <v>29</v>
      </c>
      <c r="C197" s="1">
        <v>2021</v>
      </c>
      <c r="D197" s="1">
        <v>30791</v>
      </c>
      <c r="E197" s="1">
        <v>10.1</v>
      </c>
      <c r="F197" s="1">
        <v>84</v>
      </c>
      <c r="G197" s="1">
        <v>1126116189</v>
      </c>
      <c r="H197" s="1">
        <v>95</v>
      </c>
      <c r="I197" s="1">
        <v>20.3</v>
      </c>
      <c r="J197" s="1">
        <v>89</v>
      </c>
      <c r="K197" s="1">
        <v>48</v>
      </c>
      <c r="L197" s="1" t="s">
        <v>29</v>
      </c>
    </row>
    <row r="198" spans="1:12" x14ac:dyDescent="0.25">
      <c r="A198" s="1" t="s">
        <v>15</v>
      </c>
      <c r="B198" s="1" t="s">
        <v>16</v>
      </c>
      <c r="C198" s="1">
        <v>2021</v>
      </c>
      <c r="D198" s="1">
        <v>55609</v>
      </c>
      <c r="E198" s="1">
        <v>16.600000000000001</v>
      </c>
      <c r="F198" s="1">
        <v>66</v>
      </c>
      <c r="G198" s="1">
        <v>1105966001</v>
      </c>
      <c r="H198" s="1">
        <v>56</v>
      </c>
      <c r="I198" s="1">
        <v>7.4</v>
      </c>
      <c r="J198" s="1">
        <v>74</v>
      </c>
      <c r="K198" s="1">
        <v>58</v>
      </c>
      <c r="L198" s="1" t="s">
        <v>16</v>
      </c>
    </row>
    <row r="199" spans="1:12" x14ac:dyDescent="0.25">
      <c r="A199" s="1" t="s">
        <v>17</v>
      </c>
      <c r="B199" s="1" t="s">
        <v>18</v>
      </c>
      <c r="C199" s="1">
        <v>2021</v>
      </c>
      <c r="D199" s="1">
        <v>50984</v>
      </c>
      <c r="E199" s="1">
        <v>3.1</v>
      </c>
      <c r="F199" s="1">
        <v>67</v>
      </c>
      <c r="G199" s="1">
        <v>1099068034</v>
      </c>
      <c r="H199" s="1">
        <v>74</v>
      </c>
      <c r="I199" s="1">
        <v>21.8</v>
      </c>
      <c r="J199" s="1">
        <v>95</v>
      </c>
      <c r="K199" s="1">
        <v>72</v>
      </c>
      <c r="L199" s="1" t="s">
        <v>18</v>
      </c>
    </row>
    <row r="200" spans="1:12" x14ac:dyDescent="0.25">
      <c r="A200" s="1" t="s">
        <v>19</v>
      </c>
      <c r="B200" s="1" t="s">
        <v>20</v>
      </c>
      <c r="C200" s="1">
        <v>2021</v>
      </c>
      <c r="D200" s="1">
        <v>6895</v>
      </c>
      <c r="E200" s="1">
        <v>12.4</v>
      </c>
      <c r="F200" s="1">
        <v>67</v>
      </c>
      <c r="G200" s="1">
        <v>1087676656</v>
      </c>
      <c r="H200" s="1">
        <v>78</v>
      </c>
      <c r="I200" s="1">
        <v>24.2</v>
      </c>
      <c r="J200" s="1">
        <v>96</v>
      </c>
      <c r="K200" s="1">
        <v>61</v>
      </c>
      <c r="L200" s="1" t="s">
        <v>20</v>
      </c>
    </row>
    <row r="201" spans="1:12" x14ac:dyDescent="0.25">
      <c r="A201" s="1" t="s">
        <v>21</v>
      </c>
      <c r="B201" s="1" t="s">
        <v>22</v>
      </c>
      <c r="C201" s="1">
        <v>2021</v>
      </c>
      <c r="D201" s="1">
        <v>40007</v>
      </c>
      <c r="E201" s="1">
        <v>6.7</v>
      </c>
      <c r="F201" s="1">
        <v>82</v>
      </c>
      <c r="G201" s="1">
        <v>1073901460</v>
      </c>
      <c r="H201" s="1">
        <v>50</v>
      </c>
      <c r="I201" s="1">
        <v>12.1</v>
      </c>
      <c r="J201" s="1">
        <v>97</v>
      </c>
      <c r="K201" s="1">
        <v>56</v>
      </c>
      <c r="L201" s="1" t="s">
        <v>14</v>
      </c>
    </row>
    <row r="202" spans="1:12" x14ac:dyDescent="0.25">
      <c r="A202" s="1" t="s">
        <v>17</v>
      </c>
      <c r="B202" s="1" t="s">
        <v>18</v>
      </c>
      <c r="C202" s="1">
        <v>2021</v>
      </c>
      <c r="D202" s="1">
        <v>28472</v>
      </c>
      <c r="E202" s="1">
        <v>9.1</v>
      </c>
      <c r="F202" s="1">
        <v>80</v>
      </c>
      <c r="G202" s="1">
        <v>1068064073</v>
      </c>
      <c r="H202" s="1">
        <v>59</v>
      </c>
      <c r="I202" s="1">
        <v>12.8</v>
      </c>
      <c r="J202" s="1">
        <v>71</v>
      </c>
      <c r="K202" s="1">
        <v>86</v>
      </c>
      <c r="L202" s="1" t="s">
        <v>18</v>
      </c>
    </row>
    <row r="203" spans="1:12" x14ac:dyDescent="0.25">
      <c r="A203" s="1" t="s">
        <v>25</v>
      </c>
      <c r="B203" s="1" t="s">
        <v>26</v>
      </c>
      <c r="C203" s="1">
        <v>2021</v>
      </c>
      <c r="D203" s="1">
        <v>15072</v>
      </c>
      <c r="E203" s="1">
        <v>16.899999999999999</v>
      </c>
      <c r="F203" s="1">
        <v>83</v>
      </c>
      <c r="G203" s="1">
        <v>1052294506</v>
      </c>
      <c r="H203" s="1">
        <v>90</v>
      </c>
      <c r="I203" s="1">
        <v>2.2000000000000002</v>
      </c>
      <c r="J203" s="1">
        <v>76</v>
      </c>
      <c r="K203" s="1">
        <v>79</v>
      </c>
      <c r="L203" s="1" t="s">
        <v>26</v>
      </c>
    </row>
    <row r="204" spans="1:12" x14ac:dyDescent="0.25">
      <c r="A204" s="1" t="s">
        <v>25</v>
      </c>
      <c r="B204" s="1" t="s">
        <v>26</v>
      </c>
      <c r="C204" s="1">
        <v>2021</v>
      </c>
      <c r="D204" s="1">
        <v>10166</v>
      </c>
      <c r="E204" s="1">
        <v>4.9000000000000004</v>
      </c>
      <c r="F204" s="1">
        <v>67</v>
      </c>
      <c r="G204" s="1">
        <v>1045842962</v>
      </c>
      <c r="H204" s="1">
        <v>89</v>
      </c>
      <c r="I204" s="1">
        <v>15.2</v>
      </c>
      <c r="J204" s="1">
        <v>92</v>
      </c>
      <c r="K204" s="1">
        <v>45</v>
      </c>
      <c r="L204" s="1" t="s">
        <v>26</v>
      </c>
    </row>
    <row r="205" spans="1:12" x14ac:dyDescent="0.25">
      <c r="A205" s="1" t="s">
        <v>24</v>
      </c>
      <c r="B205" s="1" t="s">
        <v>16</v>
      </c>
      <c r="C205" s="1">
        <v>2021</v>
      </c>
      <c r="D205" s="1">
        <v>49493</v>
      </c>
      <c r="E205" s="1">
        <v>11.8</v>
      </c>
      <c r="F205" s="1">
        <v>76</v>
      </c>
      <c r="G205" s="1">
        <v>1025519857</v>
      </c>
      <c r="H205" s="1">
        <v>87</v>
      </c>
      <c r="I205" s="1">
        <v>10</v>
      </c>
      <c r="J205" s="1">
        <v>81</v>
      </c>
      <c r="K205" s="1">
        <v>42</v>
      </c>
      <c r="L205" s="1" t="s">
        <v>16</v>
      </c>
    </row>
    <row r="206" spans="1:12" x14ac:dyDescent="0.25">
      <c r="A206" s="1" t="s">
        <v>17</v>
      </c>
      <c r="B206" s="1" t="s">
        <v>18</v>
      </c>
      <c r="C206" s="1">
        <v>2021</v>
      </c>
      <c r="D206" s="1">
        <v>61951</v>
      </c>
      <c r="E206" s="1">
        <v>5.0999999999999996</v>
      </c>
      <c r="F206" s="1">
        <v>78</v>
      </c>
      <c r="G206" s="1">
        <v>1014131872</v>
      </c>
      <c r="H206" s="1">
        <v>68</v>
      </c>
      <c r="I206" s="1">
        <v>2.4</v>
      </c>
      <c r="J206" s="1">
        <v>85</v>
      </c>
      <c r="K206" s="1">
        <v>78</v>
      </c>
      <c r="L206" s="1" t="s">
        <v>18</v>
      </c>
    </row>
    <row r="207" spans="1:12" x14ac:dyDescent="0.25">
      <c r="A207" s="1" t="s">
        <v>24</v>
      </c>
      <c r="B207" s="1" t="s">
        <v>16</v>
      </c>
      <c r="C207" s="1">
        <v>2021</v>
      </c>
      <c r="D207" s="1">
        <v>38455</v>
      </c>
      <c r="E207" s="1">
        <v>15.1</v>
      </c>
      <c r="F207" s="1">
        <v>65</v>
      </c>
      <c r="G207" s="1">
        <v>1010075292</v>
      </c>
      <c r="H207" s="1">
        <v>94</v>
      </c>
      <c r="I207" s="1">
        <v>5.5</v>
      </c>
      <c r="J207" s="1">
        <v>79</v>
      </c>
      <c r="K207" s="1">
        <v>58</v>
      </c>
      <c r="L207" s="1" t="s">
        <v>16</v>
      </c>
    </row>
    <row r="208" spans="1:12" x14ac:dyDescent="0.25">
      <c r="A208" s="1" t="s">
        <v>25</v>
      </c>
      <c r="B208" s="1" t="s">
        <v>26</v>
      </c>
      <c r="C208" s="1">
        <v>2021</v>
      </c>
      <c r="D208" s="1">
        <v>11953</v>
      </c>
      <c r="E208" s="1">
        <v>15</v>
      </c>
      <c r="F208" s="1">
        <v>63</v>
      </c>
      <c r="G208" s="1">
        <v>1008189171</v>
      </c>
      <c r="H208" s="1">
        <v>91</v>
      </c>
      <c r="I208" s="1">
        <v>19.3</v>
      </c>
      <c r="J208" s="1">
        <v>100</v>
      </c>
      <c r="K208" s="1">
        <v>90</v>
      </c>
      <c r="L208" s="1" t="s">
        <v>26</v>
      </c>
    </row>
    <row r="209" spans="1:12" x14ac:dyDescent="0.25">
      <c r="A209" s="1" t="s">
        <v>25</v>
      </c>
      <c r="B209" s="1" t="s">
        <v>26</v>
      </c>
      <c r="C209" s="1">
        <v>2021</v>
      </c>
      <c r="D209" s="1">
        <v>59114</v>
      </c>
      <c r="E209" s="1">
        <v>14.2</v>
      </c>
      <c r="F209" s="1">
        <v>70</v>
      </c>
      <c r="G209" s="1">
        <v>1006359670</v>
      </c>
      <c r="H209" s="1">
        <v>92</v>
      </c>
      <c r="I209" s="1">
        <v>5.6</v>
      </c>
      <c r="J209" s="1">
        <v>84</v>
      </c>
      <c r="K209" s="1">
        <v>71</v>
      </c>
      <c r="L209" s="1" t="s">
        <v>26</v>
      </c>
    </row>
    <row r="210" spans="1:12" x14ac:dyDescent="0.25">
      <c r="A210" s="1" t="s">
        <v>27</v>
      </c>
      <c r="B210" s="1" t="s">
        <v>22</v>
      </c>
      <c r="C210" s="1">
        <v>2021</v>
      </c>
      <c r="D210" s="1">
        <v>46887</v>
      </c>
      <c r="E210" s="1">
        <v>16.8</v>
      </c>
      <c r="F210" s="1">
        <v>72</v>
      </c>
      <c r="G210" s="1">
        <v>983193431</v>
      </c>
      <c r="H210" s="1">
        <v>58</v>
      </c>
      <c r="I210" s="1">
        <v>6</v>
      </c>
      <c r="J210" s="1">
        <v>79</v>
      </c>
      <c r="K210" s="1">
        <v>44</v>
      </c>
      <c r="L210" s="1" t="s">
        <v>14</v>
      </c>
    </row>
    <row r="211" spans="1:12" x14ac:dyDescent="0.25">
      <c r="A211" s="1" t="s">
        <v>25</v>
      </c>
      <c r="B211" s="1" t="s">
        <v>26</v>
      </c>
      <c r="C211" s="1">
        <v>2021</v>
      </c>
      <c r="D211" s="1">
        <v>59823</v>
      </c>
      <c r="E211" s="1">
        <v>10</v>
      </c>
      <c r="F211" s="1">
        <v>75</v>
      </c>
      <c r="G211" s="1">
        <v>981118344</v>
      </c>
      <c r="H211" s="1">
        <v>60</v>
      </c>
      <c r="I211" s="1">
        <v>9.3000000000000007</v>
      </c>
      <c r="J211" s="1">
        <v>83</v>
      </c>
      <c r="K211" s="1">
        <v>79</v>
      </c>
      <c r="L211" s="1" t="s">
        <v>26</v>
      </c>
    </row>
    <row r="212" spans="1:12" x14ac:dyDescent="0.25">
      <c r="A212" s="1" t="s">
        <v>12</v>
      </c>
      <c r="B212" s="1" t="s">
        <v>13</v>
      </c>
      <c r="C212" s="1">
        <v>2021</v>
      </c>
      <c r="D212" s="1">
        <v>54844</v>
      </c>
      <c r="E212" s="1">
        <v>12.8</v>
      </c>
      <c r="F212" s="1">
        <v>82</v>
      </c>
      <c r="G212" s="1">
        <v>977424254</v>
      </c>
      <c r="H212" s="1">
        <v>78</v>
      </c>
      <c r="I212" s="1">
        <v>23</v>
      </c>
      <c r="J212" s="1">
        <v>89</v>
      </c>
      <c r="K212" s="1">
        <v>86</v>
      </c>
      <c r="L212" s="1" t="s">
        <v>14</v>
      </c>
    </row>
    <row r="213" spans="1:12" x14ac:dyDescent="0.25">
      <c r="A213" s="1" t="s">
        <v>19</v>
      </c>
      <c r="B213" s="1" t="s">
        <v>20</v>
      </c>
      <c r="C213" s="1">
        <v>2021</v>
      </c>
      <c r="D213" s="1">
        <v>67905</v>
      </c>
      <c r="E213" s="1">
        <v>9.6</v>
      </c>
      <c r="F213" s="1">
        <v>78</v>
      </c>
      <c r="G213" s="1">
        <v>967550619</v>
      </c>
      <c r="H213" s="1">
        <v>88</v>
      </c>
      <c r="I213" s="1">
        <v>12.8</v>
      </c>
      <c r="J213" s="1">
        <v>93</v>
      </c>
      <c r="K213" s="1">
        <v>44</v>
      </c>
      <c r="L213" s="1" t="s">
        <v>20</v>
      </c>
    </row>
    <row r="214" spans="1:12" x14ac:dyDescent="0.25">
      <c r="A214" s="1" t="s">
        <v>28</v>
      </c>
      <c r="B214" s="1" t="s">
        <v>29</v>
      </c>
      <c r="C214" s="1">
        <v>2021</v>
      </c>
      <c r="D214" s="1">
        <v>5962</v>
      </c>
      <c r="E214" s="1">
        <v>15.8</v>
      </c>
      <c r="F214" s="1">
        <v>74</v>
      </c>
      <c r="G214" s="1">
        <v>942036899</v>
      </c>
      <c r="H214" s="1">
        <v>72</v>
      </c>
      <c r="I214" s="1">
        <v>14.6</v>
      </c>
      <c r="J214" s="1">
        <v>78</v>
      </c>
      <c r="K214" s="1">
        <v>40</v>
      </c>
      <c r="L214" s="1" t="s">
        <v>29</v>
      </c>
    </row>
    <row r="215" spans="1:12" x14ac:dyDescent="0.25">
      <c r="A215" s="1" t="s">
        <v>12</v>
      </c>
      <c r="B215" s="1" t="s">
        <v>13</v>
      </c>
      <c r="C215" s="1">
        <v>2021</v>
      </c>
      <c r="D215" s="1">
        <v>61762</v>
      </c>
      <c r="E215" s="1">
        <v>8.1</v>
      </c>
      <c r="F215" s="1">
        <v>68</v>
      </c>
      <c r="G215" s="1">
        <v>940700308</v>
      </c>
      <c r="H215" s="1">
        <v>84</v>
      </c>
      <c r="I215" s="1">
        <v>4.5</v>
      </c>
      <c r="J215" s="1">
        <v>92</v>
      </c>
      <c r="K215" s="1">
        <v>60</v>
      </c>
      <c r="L215" s="1" t="s">
        <v>14</v>
      </c>
    </row>
    <row r="216" spans="1:12" x14ac:dyDescent="0.25">
      <c r="A216" s="1" t="s">
        <v>15</v>
      </c>
      <c r="B216" s="1" t="s">
        <v>16</v>
      </c>
      <c r="C216" s="1">
        <v>2021</v>
      </c>
      <c r="D216" s="1">
        <v>29486</v>
      </c>
      <c r="E216" s="1">
        <v>13.4</v>
      </c>
      <c r="F216" s="1">
        <v>71</v>
      </c>
      <c r="G216" s="1">
        <v>940192004</v>
      </c>
      <c r="H216" s="1">
        <v>95</v>
      </c>
      <c r="I216" s="1">
        <v>3.1</v>
      </c>
      <c r="J216" s="1">
        <v>73</v>
      </c>
      <c r="K216" s="1">
        <v>64</v>
      </c>
      <c r="L216" s="1" t="s">
        <v>16</v>
      </c>
    </row>
    <row r="217" spans="1:12" x14ac:dyDescent="0.25">
      <c r="A217" s="1" t="s">
        <v>23</v>
      </c>
      <c r="B217" s="1" t="s">
        <v>18</v>
      </c>
      <c r="C217" s="1">
        <v>2021</v>
      </c>
      <c r="D217" s="1">
        <v>2362</v>
      </c>
      <c r="E217" s="1">
        <v>8.8000000000000007</v>
      </c>
      <c r="F217" s="1">
        <v>63</v>
      </c>
      <c r="G217" s="1">
        <v>937189115</v>
      </c>
      <c r="H217" s="1">
        <v>85</v>
      </c>
      <c r="I217" s="1">
        <v>20.100000000000001</v>
      </c>
      <c r="J217" s="1">
        <v>95</v>
      </c>
      <c r="K217" s="1">
        <v>62</v>
      </c>
      <c r="L217" s="1" t="s">
        <v>18</v>
      </c>
    </row>
    <row r="218" spans="1:12" x14ac:dyDescent="0.25">
      <c r="A218" s="1" t="s">
        <v>17</v>
      </c>
      <c r="B218" s="1" t="s">
        <v>18</v>
      </c>
      <c r="C218" s="1">
        <v>2021</v>
      </c>
      <c r="D218" s="1">
        <v>49245</v>
      </c>
      <c r="E218" s="1">
        <v>3.6</v>
      </c>
      <c r="F218" s="1">
        <v>72</v>
      </c>
      <c r="G218" s="1">
        <v>937058998</v>
      </c>
      <c r="H218" s="1">
        <v>72</v>
      </c>
      <c r="I218" s="1">
        <v>9.8000000000000007</v>
      </c>
      <c r="J218" s="1">
        <v>88</v>
      </c>
      <c r="K218" s="1">
        <v>36</v>
      </c>
      <c r="L218" s="1" t="s">
        <v>18</v>
      </c>
    </row>
    <row r="219" spans="1:12" x14ac:dyDescent="0.25">
      <c r="A219" s="1" t="s">
        <v>25</v>
      </c>
      <c r="B219" s="1" t="s">
        <v>26</v>
      </c>
      <c r="C219" s="1">
        <v>2021</v>
      </c>
      <c r="D219" s="1">
        <v>45232</v>
      </c>
      <c r="E219" s="1">
        <v>5.8</v>
      </c>
      <c r="F219" s="1">
        <v>81</v>
      </c>
      <c r="G219" s="1">
        <v>898601262</v>
      </c>
      <c r="H219" s="1">
        <v>92</v>
      </c>
      <c r="I219" s="1">
        <v>19.7</v>
      </c>
      <c r="J219" s="1">
        <v>81</v>
      </c>
      <c r="K219" s="1">
        <v>76</v>
      </c>
      <c r="L219" s="1" t="s">
        <v>26</v>
      </c>
    </row>
    <row r="220" spans="1:12" x14ac:dyDescent="0.25">
      <c r="A220" s="1" t="s">
        <v>21</v>
      </c>
      <c r="B220" s="1" t="s">
        <v>22</v>
      </c>
      <c r="C220" s="1">
        <v>2021</v>
      </c>
      <c r="D220" s="1">
        <v>43062</v>
      </c>
      <c r="E220" s="1">
        <v>8.5</v>
      </c>
      <c r="F220" s="1">
        <v>81</v>
      </c>
      <c r="G220" s="1">
        <v>898049481</v>
      </c>
      <c r="H220" s="1">
        <v>85</v>
      </c>
      <c r="I220" s="1">
        <v>12.3</v>
      </c>
      <c r="J220" s="1">
        <v>78</v>
      </c>
      <c r="K220" s="1">
        <v>76</v>
      </c>
      <c r="L220" s="1" t="s">
        <v>14</v>
      </c>
    </row>
    <row r="221" spans="1:12" x14ac:dyDescent="0.25">
      <c r="A221" s="1" t="s">
        <v>12</v>
      </c>
      <c r="B221" s="1" t="s">
        <v>13</v>
      </c>
      <c r="C221" s="1">
        <v>2021</v>
      </c>
      <c r="D221" s="1">
        <v>19121</v>
      </c>
      <c r="E221" s="1">
        <v>3.2</v>
      </c>
      <c r="F221" s="1">
        <v>64</v>
      </c>
      <c r="G221" s="1">
        <v>897075017</v>
      </c>
      <c r="H221" s="1">
        <v>60</v>
      </c>
      <c r="I221" s="1">
        <v>20.100000000000001</v>
      </c>
      <c r="J221" s="1">
        <v>80</v>
      </c>
      <c r="K221" s="1">
        <v>51</v>
      </c>
      <c r="L221" s="1" t="s">
        <v>14</v>
      </c>
    </row>
    <row r="222" spans="1:12" x14ac:dyDescent="0.25">
      <c r="A222" s="1" t="s">
        <v>23</v>
      </c>
      <c r="B222" s="1" t="s">
        <v>18</v>
      </c>
      <c r="C222" s="1">
        <v>2021</v>
      </c>
      <c r="D222" s="1">
        <v>12451</v>
      </c>
      <c r="E222" s="1">
        <v>14.6</v>
      </c>
      <c r="F222" s="1">
        <v>81</v>
      </c>
      <c r="G222" s="1">
        <v>891304499</v>
      </c>
      <c r="H222" s="1">
        <v>52</v>
      </c>
      <c r="I222" s="1">
        <v>2.4</v>
      </c>
      <c r="J222" s="1">
        <v>91</v>
      </c>
      <c r="K222" s="1">
        <v>61</v>
      </c>
      <c r="L222" s="1" t="s">
        <v>18</v>
      </c>
    </row>
    <row r="223" spans="1:12" x14ac:dyDescent="0.25">
      <c r="A223" s="1" t="s">
        <v>12</v>
      </c>
      <c r="B223" s="1" t="s">
        <v>13</v>
      </c>
      <c r="C223" s="1">
        <v>2021</v>
      </c>
      <c r="D223" s="1">
        <v>48345</v>
      </c>
      <c r="E223" s="1">
        <v>16.100000000000001</v>
      </c>
      <c r="F223" s="1">
        <v>85</v>
      </c>
      <c r="G223" s="1">
        <v>886428599</v>
      </c>
      <c r="H223" s="1">
        <v>69</v>
      </c>
      <c r="I223" s="1">
        <v>12.8</v>
      </c>
      <c r="J223" s="1">
        <v>83</v>
      </c>
      <c r="K223" s="1">
        <v>66</v>
      </c>
      <c r="L223" s="1" t="s">
        <v>14</v>
      </c>
    </row>
    <row r="224" spans="1:12" x14ac:dyDescent="0.25">
      <c r="A224" s="1" t="s">
        <v>25</v>
      </c>
      <c r="B224" s="1" t="s">
        <v>26</v>
      </c>
      <c r="C224" s="1">
        <v>2021</v>
      </c>
      <c r="D224" s="1">
        <v>17817</v>
      </c>
      <c r="E224" s="1">
        <v>3.8</v>
      </c>
      <c r="F224" s="1">
        <v>75</v>
      </c>
      <c r="G224" s="1">
        <v>868606524</v>
      </c>
      <c r="H224" s="1">
        <v>57</v>
      </c>
      <c r="I224" s="1">
        <v>4.9000000000000004</v>
      </c>
      <c r="J224" s="1">
        <v>89</v>
      </c>
      <c r="K224" s="1">
        <v>89</v>
      </c>
      <c r="L224" s="1" t="s">
        <v>26</v>
      </c>
    </row>
    <row r="225" spans="1:12" x14ac:dyDescent="0.25">
      <c r="A225" s="1" t="s">
        <v>27</v>
      </c>
      <c r="B225" s="1" t="s">
        <v>22</v>
      </c>
      <c r="C225" s="1">
        <v>2021</v>
      </c>
      <c r="D225" s="1">
        <v>2323</v>
      </c>
      <c r="E225" s="1">
        <v>11.1</v>
      </c>
      <c r="F225" s="1">
        <v>70</v>
      </c>
      <c r="G225" s="1">
        <v>859378086</v>
      </c>
      <c r="H225" s="1">
        <v>86</v>
      </c>
      <c r="I225" s="1">
        <v>21.4</v>
      </c>
      <c r="J225" s="1">
        <v>93</v>
      </c>
      <c r="K225" s="1">
        <v>76</v>
      </c>
      <c r="L225" s="1" t="s">
        <v>14</v>
      </c>
    </row>
    <row r="226" spans="1:12" x14ac:dyDescent="0.25">
      <c r="A226" s="1" t="s">
        <v>27</v>
      </c>
      <c r="B226" s="1" t="s">
        <v>22</v>
      </c>
      <c r="C226" s="1">
        <v>2021</v>
      </c>
      <c r="D226" s="1">
        <v>3025</v>
      </c>
      <c r="E226" s="1">
        <v>16.600000000000001</v>
      </c>
      <c r="F226" s="1">
        <v>81</v>
      </c>
      <c r="G226" s="1">
        <v>852373935</v>
      </c>
      <c r="H226" s="1">
        <v>63</v>
      </c>
      <c r="I226" s="1">
        <v>8.3000000000000007</v>
      </c>
      <c r="J226" s="1">
        <v>96</v>
      </c>
      <c r="K226" s="1">
        <v>44</v>
      </c>
      <c r="L226" s="1" t="s">
        <v>14</v>
      </c>
    </row>
    <row r="227" spans="1:12" x14ac:dyDescent="0.25">
      <c r="A227" s="1" t="s">
        <v>27</v>
      </c>
      <c r="B227" s="1" t="s">
        <v>22</v>
      </c>
      <c r="C227" s="1">
        <v>2021</v>
      </c>
      <c r="D227" s="1">
        <v>2217</v>
      </c>
      <c r="E227" s="1">
        <v>3.3</v>
      </c>
      <c r="F227" s="1">
        <v>65</v>
      </c>
      <c r="G227" s="1">
        <v>850897555</v>
      </c>
      <c r="H227" s="1">
        <v>84</v>
      </c>
      <c r="I227" s="1">
        <v>2.5</v>
      </c>
      <c r="J227" s="1">
        <v>79</v>
      </c>
      <c r="K227" s="1">
        <v>73</v>
      </c>
      <c r="L227" s="1" t="s">
        <v>14</v>
      </c>
    </row>
    <row r="228" spans="1:12" x14ac:dyDescent="0.25">
      <c r="A228" s="1" t="s">
        <v>23</v>
      </c>
      <c r="B228" s="1" t="s">
        <v>18</v>
      </c>
      <c r="C228" s="1">
        <v>2021</v>
      </c>
      <c r="D228" s="1">
        <v>23918</v>
      </c>
      <c r="E228" s="1">
        <v>10</v>
      </c>
      <c r="F228" s="1">
        <v>74</v>
      </c>
      <c r="G228" s="1">
        <v>844049896</v>
      </c>
      <c r="H228" s="1">
        <v>76</v>
      </c>
      <c r="I228" s="1">
        <v>15.5</v>
      </c>
      <c r="J228" s="1">
        <v>93</v>
      </c>
      <c r="K228" s="1">
        <v>49</v>
      </c>
      <c r="L228" s="1" t="s">
        <v>18</v>
      </c>
    </row>
    <row r="229" spans="1:12" x14ac:dyDescent="0.25">
      <c r="A229" s="1" t="s">
        <v>28</v>
      </c>
      <c r="B229" s="1" t="s">
        <v>29</v>
      </c>
      <c r="C229" s="1">
        <v>2021</v>
      </c>
      <c r="D229" s="1">
        <v>30884</v>
      </c>
      <c r="E229" s="1">
        <v>7.2</v>
      </c>
      <c r="F229" s="1">
        <v>71</v>
      </c>
      <c r="G229" s="1">
        <v>838739934</v>
      </c>
      <c r="H229" s="1">
        <v>70</v>
      </c>
      <c r="I229" s="1">
        <v>12.4</v>
      </c>
      <c r="J229" s="1">
        <v>89</v>
      </c>
      <c r="K229" s="1">
        <v>42</v>
      </c>
      <c r="L229" s="1" t="s">
        <v>29</v>
      </c>
    </row>
    <row r="230" spans="1:12" x14ac:dyDescent="0.25">
      <c r="A230" s="1" t="s">
        <v>24</v>
      </c>
      <c r="B230" s="1" t="s">
        <v>16</v>
      </c>
      <c r="C230" s="1">
        <v>2021</v>
      </c>
      <c r="D230" s="1">
        <v>50398</v>
      </c>
      <c r="E230" s="1">
        <v>12.2</v>
      </c>
      <c r="F230" s="1">
        <v>80</v>
      </c>
      <c r="G230" s="1">
        <v>832785898</v>
      </c>
      <c r="H230" s="1">
        <v>54</v>
      </c>
      <c r="I230" s="1">
        <v>6.9</v>
      </c>
      <c r="J230" s="1">
        <v>72</v>
      </c>
      <c r="K230" s="1">
        <v>64</v>
      </c>
      <c r="L230" s="1" t="s">
        <v>16</v>
      </c>
    </row>
    <row r="231" spans="1:12" x14ac:dyDescent="0.25">
      <c r="A231" s="1" t="s">
        <v>23</v>
      </c>
      <c r="B231" s="1" t="s">
        <v>18</v>
      </c>
      <c r="C231" s="1">
        <v>2021</v>
      </c>
      <c r="D231" s="1">
        <v>42849</v>
      </c>
      <c r="E231" s="1">
        <v>14.3</v>
      </c>
      <c r="F231" s="1">
        <v>73</v>
      </c>
      <c r="G231" s="1">
        <v>793703952</v>
      </c>
      <c r="H231" s="1">
        <v>61</v>
      </c>
      <c r="I231" s="1">
        <v>16.600000000000001</v>
      </c>
      <c r="J231" s="1">
        <v>78</v>
      </c>
      <c r="K231" s="1">
        <v>55</v>
      </c>
      <c r="L231" s="1" t="s">
        <v>18</v>
      </c>
    </row>
    <row r="232" spans="1:12" x14ac:dyDescent="0.25">
      <c r="A232" s="1" t="s">
        <v>15</v>
      </c>
      <c r="B232" s="1" t="s">
        <v>16</v>
      </c>
      <c r="C232" s="1">
        <v>2021</v>
      </c>
      <c r="D232" s="1">
        <v>55853</v>
      </c>
      <c r="E232" s="1">
        <v>10.7</v>
      </c>
      <c r="F232" s="1">
        <v>65</v>
      </c>
      <c r="G232" s="1">
        <v>788953313</v>
      </c>
      <c r="H232" s="1">
        <v>64</v>
      </c>
      <c r="I232" s="1">
        <v>20.100000000000001</v>
      </c>
      <c r="J232" s="1">
        <v>70</v>
      </c>
      <c r="K232" s="1">
        <v>71</v>
      </c>
      <c r="L232" s="1" t="s">
        <v>16</v>
      </c>
    </row>
    <row r="233" spans="1:12" x14ac:dyDescent="0.25">
      <c r="A233" s="1" t="s">
        <v>19</v>
      </c>
      <c r="B233" s="1" t="s">
        <v>20</v>
      </c>
      <c r="C233" s="1">
        <v>2021</v>
      </c>
      <c r="D233" s="1">
        <v>16371</v>
      </c>
      <c r="E233" s="1">
        <v>13</v>
      </c>
      <c r="F233" s="1">
        <v>80</v>
      </c>
      <c r="G233" s="1">
        <v>781853496</v>
      </c>
      <c r="H233" s="1">
        <v>90</v>
      </c>
      <c r="I233" s="1">
        <v>14.3</v>
      </c>
      <c r="J233" s="1">
        <v>92</v>
      </c>
      <c r="K233" s="1">
        <v>89</v>
      </c>
      <c r="L233" s="1" t="s">
        <v>20</v>
      </c>
    </row>
    <row r="234" spans="1:12" x14ac:dyDescent="0.25">
      <c r="A234" s="1" t="s">
        <v>21</v>
      </c>
      <c r="B234" s="1" t="s">
        <v>22</v>
      </c>
      <c r="C234" s="1">
        <v>2021</v>
      </c>
      <c r="D234" s="1">
        <v>10110</v>
      </c>
      <c r="E234" s="1">
        <v>16</v>
      </c>
      <c r="F234" s="1">
        <v>78</v>
      </c>
      <c r="G234" s="1">
        <v>781479156</v>
      </c>
      <c r="H234" s="1">
        <v>92</v>
      </c>
      <c r="I234" s="1">
        <v>10.3</v>
      </c>
      <c r="J234" s="1">
        <v>78</v>
      </c>
      <c r="K234" s="1">
        <v>80</v>
      </c>
      <c r="L234" s="1" t="s">
        <v>14</v>
      </c>
    </row>
    <row r="235" spans="1:12" x14ac:dyDescent="0.25">
      <c r="A235" s="1" t="s">
        <v>15</v>
      </c>
      <c r="B235" s="1" t="s">
        <v>16</v>
      </c>
      <c r="C235" s="1">
        <v>2021</v>
      </c>
      <c r="D235" s="1">
        <v>9328</v>
      </c>
      <c r="E235" s="1">
        <v>9.1</v>
      </c>
      <c r="F235" s="1">
        <v>61</v>
      </c>
      <c r="G235" s="1">
        <v>779975845</v>
      </c>
      <c r="H235" s="1">
        <v>54</v>
      </c>
      <c r="I235" s="1">
        <v>7.5</v>
      </c>
      <c r="J235" s="1">
        <v>86</v>
      </c>
      <c r="K235" s="1">
        <v>51</v>
      </c>
      <c r="L235" s="1" t="s">
        <v>16</v>
      </c>
    </row>
    <row r="236" spans="1:12" x14ac:dyDescent="0.25">
      <c r="A236" s="1" t="s">
        <v>15</v>
      </c>
      <c r="B236" s="1" t="s">
        <v>16</v>
      </c>
      <c r="C236" s="1">
        <v>2021</v>
      </c>
      <c r="D236" s="1">
        <v>31189</v>
      </c>
      <c r="E236" s="1">
        <v>4.5999999999999996</v>
      </c>
      <c r="F236" s="1">
        <v>66</v>
      </c>
      <c r="G236" s="1">
        <v>777729750</v>
      </c>
      <c r="H236" s="1">
        <v>54</v>
      </c>
      <c r="I236" s="1">
        <v>5.8</v>
      </c>
      <c r="J236" s="1">
        <v>79</v>
      </c>
      <c r="K236" s="1">
        <v>79</v>
      </c>
      <c r="L236" s="1" t="s">
        <v>16</v>
      </c>
    </row>
    <row r="237" spans="1:12" x14ac:dyDescent="0.25">
      <c r="A237" s="1" t="s">
        <v>12</v>
      </c>
      <c r="B237" s="1" t="s">
        <v>13</v>
      </c>
      <c r="C237" s="1">
        <v>2021</v>
      </c>
      <c r="D237" s="1">
        <v>46124</v>
      </c>
      <c r="E237" s="1">
        <v>11.2</v>
      </c>
      <c r="F237" s="1">
        <v>78</v>
      </c>
      <c r="G237" s="1">
        <v>774704291</v>
      </c>
      <c r="H237" s="1">
        <v>51</v>
      </c>
      <c r="I237" s="1">
        <v>11.2</v>
      </c>
      <c r="J237" s="1">
        <v>88</v>
      </c>
      <c r="K237" s="1">
        <v>69</v>
      </c>
      <c r="L237" s="1" t="s">
        <v>14</v>
      </c>
    </row>
    <row r="238" spans="1:12" x14ac:dyDescent="0.25">
      <c r="A238" s="1" t="s">
        <v>19</v>
      </c>
      <c r="B238" s="1" t="s">
        <v>20</v>
      </c>
      <c r="C238" s="1">
        <v>2021</v>
      </c>
      <c r="D238" s="1">
        <v>50479</v>
      </c>
      <c r="E238" s="1">
        <v>14.4</v>
      </c>
      <c r="F238" s="1">
        <v>80</v>
      </c>
      <c r="G238" s="1">
        <v>773138670</v>
      </c>
      <c r="H238" s="1">
        <v>90</v>
      </c>
      <c r="I238" s="1">
        <v>5</v>
      </c>
      <c r="J238" s="1">
        <v>76</v>
      </c>
      <c r="K238" s="1">
        <v>70</v>
      </c>
      <c r="L238" s="1" t="s">
        <v>20</v>
      </c>
    </row>
    <row r="239" spans="1:12" x14ac:dyDescent="0.25">
      <c r="A239" s="1" t="s">
        <v>23</v>
      </c>
      <c r="B239" s="1" t="s">
        <v>18</v>
      </c>
      <c r="C239" s="1">
        <v>2021</v>
      </c>
      <c r="D239" s="1">
        <v>41284</v>
      </c>
      <c r="E239" s="1">
        <v>13.5</v>
      </c>
      <c r="F239" s="1">
        <v>66</v>
      </c>
      <c r="G239" s="1">
        <v>755660317</v>
      </c>
      <c r="H239" s="1">
        <v>65</v>
      </c>
      <c r="I239" s="1">
        <v>19.100000000000001</v>
      </c>
      <c r="J239" s="1">
        <v>79</v>
      </c>
      <c r="K239" s="1">
        <v>83</v>
      </c>
      <c r="L239" s="1" t="s">
        <v>18</v>
      </c>
    </row>
    <row r="240" spans="1:12" x14ac:dyDescent="0.25">
      <c r="A240" s="1" t="s">
        <v>25</v>
      </c>
      <c r="B240" s="1" t="s">
        <v>26</v>
      </c>
      <c r="C240" s="1">
        <v>2021</v>
      </c>
      <c r="D240" s="1">
        <v>13745</v>
      </c>
      <c r="E240" s="1">
        <v>16.7</v>
      </c>
      <c r="F240" s="1">
        <v>83</v>
      </c>
      <c r="G240" s="1">
        <v>739964509</v>
      </c>
      <c r="H240" s="1">
        <v>56</v>
      </c>
      <c r="I240" s="1">
        <v>6.1</v>
      </c>
      <c r="J240" s="1">
        <v>87</v>
      </c>
      <c r="K240" s="1">
        <v>46</v>
      </c>
      <c r="L240" s="1" t="s">
        <v>26</v>
      </c>
    </row>
    <row r="241" spans="1:12" x14ac:dyDescent="0.25">
      <c r="A241" s="1" t="s">
        <v>25</v>
      </c>
      <c r="B241" s="1" t="s">
        <v>26</v>
      </c>
      <c r="C241" s="1">
        <v>2021</v>
      </c>
      <c r="D241" s="1">
        <v>2895</v>
      </c>
      <c r="E241" s="1">
        <v>7</v>
      </c>
      <c r="F241" s="1">
        <v>60</v>
      </c>
      <c r="G241" s="1">
        <v>735193385</v>
      </c>
      <c r="H241" s="1">
        <v>72</v>
      </c>
      <c r="I241" s="1">
        <v>21.2</v>
      </c>
      <c r="J241" s="1">
        <v>99</v>
      </c>
      <c r="K241" s="1">
        <v>47</v>
      </c>
      <c r="L241" s="1" t="s">
        <v>26</v>
      </c>
    </row>
    <row r="242" spans="1:12" x14ac:dyDescent="0.25">
      <c r="A242" s="1" t="s">
        <v>17</v>
      </c>
      <c r="B242" s="1" t="s">
        <v>18</v>
      </c>
      <c r="C242" s="1">
        <v>2021</v>
      </c>
      <c r="D242" s="1">
        <v>38360</v>
      </c>
      <c r="E242" s="1">
        <v>16.5</v>
      </c>
      <c r="F242" s="1">
        <v>74</v>
      </c>
      <c r="G242" s="1">
        <v>723344561</v>
      </c>
      <c r="H242" s="1">
        <v>50</v>
      </c>
      <c r="I242" s="1">
        <v>15.3</v>
      </c>
      <c r="J242" s="1">
        <v>89</v>
      </c>
      <c r="K242" s="1">
        <v>41</v>
      </c>
      <c r="L242" s="1" t="s">
        <v>18</v>
      </c>
    </row>
    <row r="243" spans="1:12" x14ac:dyDescent="0.25">
      <c r="A243" s="1" t="s">
        <v>21</v>
      </c>
      <c r="B243" s="1" t="s">
        <v>22</v>
      </c>
      <c r="C243" s="1">
        <v>2021</v>
      </c>
      <c r="D243" s="1">
        <v>69904</v>
      </c>
      <c r="E243" s="1">
        <v>14</v>
      </c>
      <c r="F243" s="1">
        <v>67</v>
      </c>
      <c r="G243" s="1">
        <v>678719207</v>
      </c>
      <c r="H243" s="1">
        <v>89</v>
      </c>
      <c r="I243" s="1">
        <v>14.9</v>
      </c>
      <c r="J243" s="1">
        <v>90</v>
      </c>
      <c r="K243" s="1">
        <v>83</v>
      </c>
      <c r="L243" s="1" t="s">
        <v>14</v>
      </c>
    </row>
    <row r="244" spans="1:12" x14ac:dyDescent="0.25">
      <c r="A244" s="1" t="s">
        <v>19</v>
      </c>
      <c r="B244" s="1" t="s">
        <v>20</v>
      </c>
      <c r="C244" s="1">
        <v>2021</v>
      </c>
      <c r="D244" s="1">
        <v>67299</v>
      </c>
      <c r="E244" s="1">
        <v>10.3</v>
      </c>
      <c r="F244" s="1">
        <v>76</v>
      </c>
      <c r="G244" s="1">
        <v>666443325</v>
      </c>
      <c r="H244" s="1">
        <v>66</v>
      </c>
      <c r="I244" s="1">
        <v>16.5</v>
      </c>
      <c r="J244" s="1">
        <v>95</v>
      </c>
      <c r="K244" s="1">
        <v>53</v>
      </c>
      <c r="L244" s="1" t="s">
        <v>20</v>
      </c>
    </row>
    <row r="245" spans="1:12" x14ac:dyDescent="0.25">
      <c r="A245" s="1" t="s">
        <v>12</v>
      </c>
      <c r="B245" s="1" t="s">
        <v>13</v>
      </c>
      <c r="C245" s="1">
        <v>2021</v>
      </c>
      <c r="D245" s="1">
        <v>59952</v>
      </c>
      <c r="E245" s="1">
        <v>10.199999999999999</v>
      </c>
      <c r="F245" s="1">
        <v>65</v>
      </c>
      <c r="G245" s="1">
        <v>655914665</v>
      </c>
      <c r="H245" s="1">
        <v>51</v>
      </c>
      <c r="I245" s="1">
        <v>16.100000000000001</v>
      </c>
      <c r="J245" s="1">
        <v>73</v>
      </c>
      <c r="K245" s="1">
        <v>57</v>
      </c>
      <c r="L245" s="1" t="s">
        <v>14</v>
      </c>
    </row>
    <row r="246" spans="1:12" x14ac:dyDescent="0.25">
      <c r="A246" s="1" t="s">
        <v>23</v>
      </c>
      <c r="B246" s="1" t="s">
        <v>18</v>
      </c>
      <c r="C246" s="1">
        <v>2021</v>
      </c>
      <c r="D246" s="1">
        <v>62020</v>
      </c>
      <c r="E246" s="1">
        <v>8.1</v>
      </c>
      <c r="F246" s="1">
        <v>76</v>
      </c>
      <c r="G246" s="1">
        <v>644376168</v>
      </c>
      <c r="H246" s="1">
        <v>50</v>
      </c>
      <c r="I246" s="1">
        <v>3.4</v>
      </c>
      <c r="J246" s="1">
        <v>78</v>
      </c>
      <c r="K246" s="1">
        <v>60</v>
      </c>
      <c r="L246" s="1" t="s">
        <v>18</v>
      </c>
    </row>
    <row r="247" spans="1:12" x14ac:dyDescent="0.25">
      <c r="A247" s="1" t="s">
        <v>15</v>
      </c>
      <c r="B247" s="1" t="s">
        <v>16</v>
      </c>
      <c r="C247" s="1">
        <v>2021</v>
      </c>
      <c r="D247" s="1">
        <v>25391</v>
      </c>
      <c r="E247" s="1">
        <v>8</v>
      </c>
      <c r="F247" s="1">
        <v>69</v>
      </c>
      <c r="G247" s="1">
        <v>641610669</v>
      </c>
      <c r="H247" s="1">
        <v>88</v>
      </c>
      <c r="I247" s="1">
        <v>20.100000000000001</v>
      </c>
      <c r="J247" s="1">
        <v>84</v>
      </c>
      <c r="K247" s="1">
        <v>57</v>
      </c>
      <c r="L247" s="1" t="s">
        <v>16</v>
      </c>
    </row>
    <row r="248" spans="1:12" x14ac:dyDescent="0.25">
      <c r="A248" s="1" t="s">
        <v>25</v>
      </c>
      <c r="B248" s="1" t="s">
        <v>26</v>
      </c>
      <c r="C248" s="1">
        <v>2021</v>
      </c>
      <c r="D248" s="1">
        <v>59791</v>
      </c>
      <c r="E248" s="1">
        <v>16.100000000000001</v>
      </c>
      <c r="F248" s="1">
        <v>61</v>
      </c>
      <c r="G248" s="1">
        <v>638699977</v>
      </c>
      <c r="H248" s="1">
        <v>54</v>
      </c>
      <c r="I248" s="1">
        <v>16.399999999999999</v>
      </c>
      <c r="J248" s="1">
        <v>97</v>
      </c>
      <c r="K248" s="1">
        <v>44</v>
      </c>
      <c r="L248" s="1" t="s">
        <v>26</v>
      </c>
    </row>
    <row r="249" spans="1:12" x14ac:dyDescent="0.25">
      <c r="A249" s="1" t="s">
        <v>25</v>
      </c>
      <c r="B249" s="1" t="s">
        <v>26</v>
      </c>
      <c r="C249" s="1">
        <v>2021</v>
      </c>
      <c r="D249" s="1">
        <v>14574</v>
      </c>
      <c r="E249" s="1">
        <v>12</v>
      </c>
      <c r="F249" s="1">
        <v>75</v>
      </c>
      <c r="G249" s="1">
        <v>630535869</v>
      </c>
      <c r="H249" s="1">
        <v>95</v>
      </c>
      <c r="I249" s="1">
        <v>17.899999999999999</v>
      </c>
      <c r="J249" s="1">
        <v>89</v>
      </c>
      <c r="K249" s="1">
        <v>71</v>
      </c>
      <c r="L249" s="1" t="s">
        <v>26</v>
      </c>
    </row>
    <row r="250" spans="1:12" x14ac:dyDescent="0.25">
      <c r="A250" s="1" t="s">
        <v>12</v>
      </c>
      <c r="B250" s="1" t="s">
        <v>13</v>
      </c>
      <c r="C250" s="1">
        <v>2021</v>
      </c>
      <c r="D250" s="1">
        <v>65364</v>
      </c>
      <c r="E250" s="1">
        <v>6.3</v>
      </c>
      <c r="F250" s="1">
        <v>69</v>
      </c>
      <c r="G250" s="1">
        <v>613657900</v>
      </c>
      <c r="H250" s="1">
        <v>65</v>
      </c>
      <c r="I250" s="1">
        <v>3</v>
      </c>
      <c r="J250" s="1">
        <v>92</v>
      </c>
      <c r="K250" s="1">
        <v>76</v>
      </c>
      <c r="L250" s="1" t="s">
        <v>14</v>
      </c>
    </row>
    <row r="251" spans="1:12" x14ac:dyDescent="0.25">
      <c r="A251" s="1" t="s">
        <v>17</v>
      </c>
      <c r="B251" s="1" t="s">
        <v>18</v>
      </c>
      <c r="C251" s="1">
        <v>2021</v>
      </c>
      <c r="D251" s="1">
        <v>50031</v>
      </c>
      <c r="E251" s="1">
        <v>4.7</v>
      </c>
      <c r="F251" s="1">
        <v>73</v>
      </c>
      <c r="G251" s="1">
        <v>613243070</v>
      </c>
      <c r="H251" s="1">
        <v>77</v>
      </c>
      <c r="I251" s="1">
        <v>23.1</v>
      </c>
      <c r="J251" s="1">
        <v>89</v>
      </c>
      <c r="K251" s="1">
        <v>48</v>
      </c>
      <c r="L251" s="1" t="s">
        <v>18</v>
      </c>
    </row>
    <row r="252" spans="1:12" x14ac:dyDescent="0.25">
      <c r="A252" s="1" t="s">
        <v>17</v>
      </c>
      <c r="B252" s="1" t="s">
        <v>18</v>
      </c>
      <c r="C252" s="1">
        <v>2021</v>
      </c>
      <c r="D252" s="1">
        <v>65224</v>
      </c>
      <c r="E252" s="1">
        <v>5.5</v>
      </c>
      <c r="F252" s="1">
        <v>66</v>
      </c>
      <c r="G252" s="1">
        <v>604209612</v>
      </c>
      <c r="H252" s="1">
        <v>95</v>
      </c>
      <c r="I252" s="1">
        <v>22.5</v>
      </c>
      <c r="J252" s="1">
        <v>90</v>
      </c>
      <c r="K252" s="1">
        <v>46</v>
      </c>
      <c r="L252" s="1" t="s">
        <v>18</v>
      </c>
    </row>
    <row r="253" spans="1:12" x14ac:dyDescent="0.25">
      <c r="A253" s="1" t="s">
        <v>23</v>
      </c>
      <c r="B253" s="1" t="s">
        <v>18</v>
      </c>
      <c r="C253" s="1">
        <v>2021</v>
      </c>
      <c r="D253" s="1">
        <v>41139</v>
      </c>
      <c r="E253" s="1">
        <v>9.6</v>
      </c>
      <c r="F253" s="1">
        <v>66</v>
      </c>
      <c r="G253" s="1">
        <v>592002155</v>
      </c>
      <c r="H253" s="1">
        <v>68</v>
      </c>
      <c r="I253" s="1">
        <v>15.4</v>
      </c>
      <c r="J253" s="1">
        <v>93</v>
      </c>
      <c r="K253" s="1">
        <v>60</v>
      </c>
      <c r="L253" s="1" t="s">
        <v>18</v>
      </c>
    </row>
    <row r="254" spans="1:12" x14ac:dyDescent="0.25">
      <c r="A254" s="1" t="s">
        <v>15</v>
      </c>
      <c r="B254" s="1" t="s">
        <v>16</v>
      </c>
      <c r="C254" s="1">
        <v>2021</v>
      </c>
      <c r="D254" s="1">
        <v>41996</v>
      </c>
      <c r="E254" s="1">
        <v>13.4</v>
      </c>
      <c r="F254" s="1">
        <v>85</v>
      </c>
      <c r="G254" s="1">
        <v>577123435</v>
      </c>
      <c r="H254" s="1">
        <v>62</v>
      </c>
      <c r="I254" s="1">
        <v>13.7</v>
      </c>
      <c r="J254" s="1">
        <v>76</v>
      </c>
      <c r="K254" s="1">
        <v>39</v>
      </c>
      <c r="L254" s="1" t="s">
        <v>16</v>
      </c>
    </row>
    <row r="255" spans="1:12" x14ac:dyDescent="0.25">
      <c r="A255" s="1" t="s">
        <v>19</v>
      </c>
      <c r="B255" s="1" t="s">
        <v>20</v>
      </c>
      <c r="C255" s="1">
        <v>2021</v>
      </c>
      <c r="D255" s="1">
        <v>5215</v>
      </c>
      <c r="E255" s="1">
        <v>6.5</v>
      </c>
      <c r="F255" s="1">
        <v>69</v>
      </c>
      <c r="G255" s="1">
        <v>569600951</v>
      </c>
      <c r="H255" s="1">
        <v>94</v>
      </c>
      <c r="I255" s="1">
        <v>22.4</v>
      </c>
      <c r="J255" s="1">
        <v>93</v>
      </c>
      <c r="K255" s="1">
        <v>62</v>
      </c>
      <c r="L255" s="1" t="s">
        <v>20</v>
      </c>
    </row>
    <row r="256" spans="1:12" x14ac:dyDescent="0.25">
      <c r="A256" s="1" t="s">
        <v>21</v>
      </c>
      <c r="B256" s="1" t="s">
        <v>22</v>
      </c>
      <c r="C256" s="1">
        <v>2021</v>
      </c>
      <c r="D256" s="1">
        <v>19042</v>
      </c>
      <c r="E256" s="1">
        <v>4.2</v>
      </c>
      <c r="F256" s="1">
        <v>65</v>
      </c>
      <c r="G256" s="1">
        <v>567396274</v>
      </c>
      <c r="H256" s="1">
        <v>61</v>
      </c>
      <c r="I256" s="1">
        <v>23.7</v>
      </c>
      <c r="J256" s="1">
        <v>81</v>
      </c>
      <c r="K256" s="1">
        <v>35</v>
      </c>
      <c r="L256" s="1" t="s">
        <v>14</v>
      </c>
    </row>
    <row r="257" spans="1:12" x14ac:dyDescent="0.25">
      <c r="A257" s="1" t="s">
        <v>19</v>
      </c>
      <c r="B257" s="1" t="s">
        <v>20</v>
      </c>
      <c r="C257" s="1">
        <v>2021</v>
      </c>
      <c r="D257" s="1">
        <v>66478</v>
      </c>
      <c r="E257" s="1">
        <v>3.3</v>
      </c>
      <c r="F257" s="1">
        <v>70</v>
      </c>
      <c r="G257" s="1">
        <v>561526459</v>
      </c>
      <c r="H257" s="1">
        <v>54</v>
      </c>
      <c r="I257" s="1">
        <v>17.5</v>
      </c>
      <c r="J257" s="1">
        <v>79</v>
      </c>
      <c r="K257" s="1">
        <v>89</v>
      </c>
      <c r="L257" s="1" t="s">
        <v>20</v>
      </c>
    </row>
    <row r="258" spans="1:12" x14ac:dyDescent="0.25">
      <c r="A258" s="1" t="s">
        <v>17</v>
      </c>
      <c r="B258" s="1" t="s">
        <v>18</v>
      </c>
      <c r="C258" s="1">
        <v>2021</v>
      </c>
      <c r="D258" s="1">
        <v>52640</v>
      </c>
      <c r="E258" s="1">
        <v>15.6</v>
      </c>
      <c r="F258" s="1">
        <v>82</v>
      </c>
      <c r="G258" s="1">
        <v>552023721</v>
      </c>
      <c r="H258" s="1">
        <v>95</v>
      </c>
      <c r="I258" s="1">
        <v>4</v>
      </c>
      <c r="J258" s="1">
        <v>99</v>
      </c>
      <c r="K258" s="1">
        <v>88</v>
      </c>
      <c r="L258" s="1" t="s">
        <v>18</v>
      </c>
    </row>
    <row r="259" spans="1:12" x14ac:dyDescent="0.25">
      <c r="A259" s="1" t="s">
        <v>12</v>
      </c>
      <c r="B259" s="1" t="s">
        <v>13</v>
      </c>
      <c r="C259" s="1">
        <v>2021</v>
      </c>
      <c r="D259" s="1">
        <v>49367</v>
      </c>
      <c r="E259" s="1">
        <v>3.3</v>
      </c>
      <c r="F259" s="1">
        <v>70</v>
      </c>
      <c r="G259" s="1">
        <v>548157662</v>
      </c>
      <c r="H259" s="1">
        <v>68</v>
      </c>
      <c r="I259" s="1">
        <v>4.4000000000000004</v>
      </c>
      <c r="J259" s="1">
        <v>99</v>
      </c>
      <c r="K259" s="1">
        <v>71</v>
      </c>
      <c r="L259" s="1" t="s">
        <v>14</v>
      </c>
    </row>
    <row r="260" spans="1:12" x14ac:dyDescent="0.25">
      <c r="A260" s="1" t="s">
        <v>21</v>
      </c>
      <c r="B260" s="1" t="s">
        <v>22</v>
      </c>
      <c r="C260" s="1">
        <v>2021</v>
      </c>
      <c r="D260" s="1">
        <v>3089</v>
      </c>
      <c r="E260" s="1">
        <v>9.9</v>
      </c>
      <c r="F260" s="1">
        <v>79</v>
      </c>
      <c r="G260" s="1">
        <v>535361648</v>
      </c>
      <c r="H260" s="1">
        <v>73</v>
      </c>
      <c r="I260" s="1">
        <v>13.5</v>
      </c>
      <c r="J260" s="1">
        <v>90</v>
      </c>
      <c r="K260" s="1">
        <v>43</v>
      </c>
      <c r="L260" s="1" t="s">
        <v>14</v>
      </c>
    </row>
    <row r="261" spans="1:12" x14ac:dyDescent="0.25">
      <c r="A261" s="1" t="s">
        <v>12</v>
      </c>
      <c r="B261" s="1" t="s">
        <v>13</v>
      </c>
      <c r="C261" s="1">
        <v>2021</v>
      </c>
      <c r="D261" s="1">
        <v>67370</v>
      </c>
      <c r="E261" s="1">
        <v>4</v>
      </c>
      <c r="F261" s="1">
        <v>81</v>
      </c>
      <c r="G261" s="1">
        <v>532255249</v>
      </c>
      <c r="H261" s="1">
        <v>71</v>
      </c>
      <c r="I261" s="1">
        <v>19</v>
      </c>
      <c r="J261" s="1">
        <v>75</v>
      </c>
      <c r="K261" s="1">
        <v>58</v>
      </c>
      <c r="L261" s="1" t="s">
        <v>14</v>
      </c>
    </row>
    <row r="262" spans="1:12" x14ac:dyDescent="0.25">
      <c r="A262" s="1" t="s">
        <v>27</v>
      </c>
      <c r="B262" s="1" t="s">
        <v>22</v>
      </c>
      <c r="C262" s="1">
        <v>2021</v>
      </c>
      <c r="D262" s="1">
        <v>2094</v>
      </c>
      <c r="E262" s="1">
        <v>13.3</v>
      </c>
      <c r="F262" s="1">
        <v>82</v>
      </c>
      <c r="G262" s="1">
        <v>516523945</v>
      </c>
      <c r="H262" s="1">
        <v>89</v>
      </c>
      <c r="I262" s="1">
        <v>20.8</v>
      </c>
      <c r="J262" s="1">
        <v>81</v>
      </c>
      <c r="K262" s="1">
        <v>74</v>
      </c>
      <c r="L262" s="1" t="s">
        <v>14</v>
      </c>
    </row>
    <row r="263" spans="1:12" x14ac:dyDescent="0.25">
      <c r="A263" s="1" t="s">
        <v>23</v>
      </c>
      <c r="B263" s="1" t="s">
        <v>18</v>
      </c>
      <c r="C263" s="1">
        <v>2021</v>
      </c>
      <c r="D263" s="1">
        <v>3412</v>
      </c>
      <c r="E263" s="1">
        <v>3.1</v>
      </c>
      <c r="F263" s="1">
        <v>73</v>
      </c>
      <c r="G263" s="1">
        <v>512589141</v>
      </c>
      <c r="H263" s="1">
        <v>55</v>
      </c>
      <c r="I263" s="1">
        <v>5.2</v>
      </c>
      <c r="J263" s="1">
        <v>87</v>
      </c>
      <c r="K263" s="1">
        <v>76</v>
      </c>
      <c r="L263" s="1" t="s">
        <v>18</v>
      </c>
    </row>
    <row r="264" spans="1:12" x14ac:dyDescent="0.25">
      <c r="A264" s="1" t="s">
        <v>15</v>
      </c>
      <c r="B264" s="1" t="s">
        <v>16</v>
      </c>
      <c r="C264" s="1">
        <v>2021</v>
      </c>
      <c r="D264" s="1">
        <v>59007</v>
      </c>
      <c r="E264" s="1">
        <v>3.5</v>
      </c>
      <c r="F264" s="1">
        <v>65</v>
      </c>
      <c r="G264" s="1">
        <v>502614406</v>
      </c>
      <c r="H264" s="1">
        <v>89</v>
      </c>
      <c r="I264" s="1">
        <v>17.899999999999999</v>
      </c>
      <c r="J264" s="1">
        <v>77</v>
      </c>
      <c r="K264" s="1">
        <v>55</v>
      </c>
      <c r="L264" s="1" t="s">
        <v>16</v>
      </c>
    </row>
    <row r="265" spans="1:12" x14ac:dyDescent="0.25">
      <c r="A265" s="1" t="s">
        <v>24</v>
      </c>
      <c r="B265" s="1" t="s">
        <v>16</v>
      </c>
      <c r="C265" s="1">
        <v>2021</v>
      </c>
      <c r="D265" s="1">
        <v>19696</v>
      </c>
      <c r="E265" s="1">
        <v>9.3000000000000007</v>
      </c>
      <c r="F265" s="1">
        <v>65</v>
      </c>
      <c r="G265" s="1">
        <v>453095962</v>
      </c>
      <c r="H265" s="1">
        <v>90</v>
      </c>
      <c r="I265" s="1">
        <v>10.3</v>
      </c>
      <c r="J265" s="1">
        <v>92</v>
      </c>
      <c r="K265" s="1">
        <v>72</v>
      </c>
      <c r="L265" s="1" t="s">
        <v>16</v>
      </c>
    </row>
    <row r="266" spans="1:12" x14ac:dyDescent="0.25">
      <c r="A266" s="1" t="s">
        <v>19</v>
      </c>
      <c r="B266" s="1" t="s">
        <v>20</v>
      </c>
      <c r="C266" s="1">
        <v>2021</v>
      </c>
      <c r="D266" s="1">
        <v>22576</v>
      </c>
      <c r="E266" s="1">
        <v>4.2</v>
      </c>
      <c r="F266" s="1">
        <v>78</v>
      </c>
      <c r="G266" s="1">
        <v>451150046</v>
      </c>
      <c r="H266" s="1">
        <v>56</v>
      </c>
      <c r="I266" s="1">
        <v>23.9</v>
      </c>
      <c r="J266" s="1">
        <v>86</v>
      </c>
      <c r="K266" s="1">
        <v>83</v>
      </c>
      <c r="L266" s="1" t="s">
        <v>20</v>
      </c>
    </row>
    <row r="267" spans="1:12" x14ac:dyDescent="0.25">
      <c r="A267" s="1" t="s">
        <v>28</v>
      </c>
      <c r="B267" s="1" t="s">
        <v>29</v>
      </c>
      <c r="C267" s="1">
        <v>2021</v>
      </c>
      <c r="D267" s="1">
        <v>10496</v>
      </c>
      <c r="E267" s="1">
        <v>15.7</v>
      </c>
      <c r="F267" s="1">
        <v>83</v>
      </c>
      <c r="G267" s="1">
        <v>428133100</v>
      </c>
      <c r="H267" s="1">
        <v>59</v>
      </c>
      <c r="I267" s="1">
        <v>21.2</v>
      </c>
      <c r="J267" s="1">
        <v>96</v>
      </c>
      <c r="K267" s="1">
        <v>80</v>
      </c>
      <c r="L267" s="1" t="s">
        <v>29</v>
      </c>
    </row>
    <row r="268" spans="1:12" x14ac:dyDescent="0.25">
      <c r="A268" s="1" t="s">
        <v>27</v>
      </c>
      <c r="B268" s="1" t="s">
        <v>22</v>
      </c>
      <c r="C268" s="1">
        <v>2021</v>
      </c>
      <c r="D268" s="1">
        <v>60927</v>
      </c>
      <c r="E268" s="1">
        <v>10</v>
      </c>
      <c r="F268" s="1">
        <v>70</v>
      </c>
      <c r="G268" s="1">
        <v>427540401</v>
      </c>
      <c r="H268" s="1">
        <v>94</v>
      </c>
      <c r="I268" s="1">
        <v>21.3</v>
      </c>
      <c r="J268" s="1">
        <v>92</v>
      </c>
      <c r="K268" s="1">
        <v>34</v>
      </c>
      <c r="L268" s="1" t="s">
        <v>14</v>
      </c>
    </row>
    <row r="269" spans="1:12" x14ac:dyDescent="0.25">
      <c r="A269" s="1" t="s">
        <v>19</v>
      </c>
      <c r="B269" s="1" t="s">
        <v>20</v>
      </c>
      <c r="C269" s="1">
        <v>2021</v>
      </c>
      <c r="D269" s="1">
        <v>58923</v>
      </c>
      <c r="E269" s="1">
        <v>11.9</v>
      </c>
      <c r="F269" s="1">
        <v>85</v>
      </c>
      <c r="G269" s="1">
        <v>422096839</v>
      </c>
      <c r="H269" s="1">
        <v>65</v>
      </c>
      <c r="I269" s="1">
        <v>10.1</v>
      </c>
      <c r="J269" s="1">
        <v>87</v>
      </c>
      <c r="K269" s="1">
        <v>81</v>
      </c>
      <c r="L269" s="1" t="s">
        <v>20</v>
      </c>
    </row>
    <row r="270" spans="1:12" x14ac:dyDescent="0.25">
      <c r="A270" s="1" t="s">
        <v>17</v>
      </c>
      <c r="B270" s="1" t="s">
        <v>18</v>
      </c>
      <c r="C270" s="1">
        <v>2021</v>
      </c>
      <c r="D270" s="1">
        <v>47258</v>
      </c>
      <c r="E270" s="1">
        <v>5.3</v>
      </c>
      <c r="F270" s="1">
        <v>73</v>
      </c>
      <c r="G270" s="1">
        <v>415702244</v>
      </c>
      <c r="H270" s="1">
        <v>89</v>
      </c>
      <c r="I270" s="1">
        <v>15.2</v>
      </c>
      <c r="J270" s="1">
        <v>70</v>
      </c>
      <c r="K270" s="1">
        <v>74</v>
      </c>
      <c r="L270" s="1" t="s">
        <v>18</v>
      </c>
    </row>
    <row r="271" spans="1:12" x14ac:dyDescent="0.25">
      <c r="A271" s="1" t="s">
        <v>25</v>
      </c>
      <c r="B271" s="1" t="s">
        <v>26</v>
      </c>
      <c r="C271" s="1">
        <v>2021</v>
      </c>
      <c r="D271" s="1">
        <v>33043</v>
      </c>
      <c r="E271" s="1">
        <v>14.2</v>
      </c>
      <c r="F271" s="1">
        <v>74</v>
      </c>
      <c r="G271" s="1">
        <v>406966434</v>
      </c>
      <c r="H271" s="1">
        <v>81</v>
      </c>
      <c r="I271" s="1">
        <v>14</v>
      </c>
      <c r="J271" s="1">
        <v>85</v>
      </c>
      <c r="K271" s="1">
        <v>68</v>
      </c>
      <c r="L271" s="1" t="s">
        <v>26</v>
      </c>
    </row>
    <row r="272" spans="1:12" x14ac:dyDescent="0.25">
      <c r="A272" s="1" t="s">
        <v>21</v>
      </c>
      <c r="B272" s="1" t="s">
        <v>22</v>
      </c>
      <c r="C272" s="1">
        <v>2021</v>
      </c>
      <c r="D272" s="1">
        <v>34433</v>
      </c>
      <c r="E272" s="1">
        <v>14</v>
      </c>
      <c r="F272" s="1">
        <v>75</v>
      </c>
      <c r="G272" s="1">
        <v>399265416</v>
      </c>
      <c r="H272" s="1">
        <v>61</v>
      </c>
      <c r="I272" s="1">
        <v>15.4</v>
      </c>
      <c r="J272" s="1">
        <v>91</v>
      </c>
      <c r="K272" s="1">
        <v>39</v>
      </c>
      <c r="L272" s="1" t="s">
        <v>14</v>
      </c>
    </row>
    <row r="273" spans="1:12" x14ac:dyDescent="0.25">
      <c r="A273" s="1" t="s">
        <v>12</v>
      </c>
      <c r="B273" s="1" t="s">
        <v>13</v>
      </c>
      <c r="C273" s="1">
        <v>2021</v>
      </c>
      <c r="D273" s="1">
        <v>7041</v>
      </c>
      <c r="E273" s="1">
        <v>15.2</v>
      </c>
      <c r="F273" s="1">
        <v>81</v>
      </c>
      <c r="G273" s="1">
        <v>399130520</v>
      </c>
      <c r="H273" s="1">
        <v>82</v>
      </c>
      <c r="I273" s="1">
        <v>22.5</v>
      </c>
      <c r="J273" s="1">
        <v>73</v>
      </c>
      <c r="K273" s="1">
        <v>43</v>
      </c>
      <c r="L273" s="1" t="s">
        <v>14</v>
      </c>
    </row>
    <row r="274" spans="1:12" x14ac:dyDescent="0.25">
      <c r="A274" s="1" t="s">
        <v>15</v>
      </c>
      <c r="B274" s="1" t="s">
        <v>16</v>
      </c>
      <c r="C274" s="1">
        <v>2021</v>
      </c>
      <c r="D274" s="1">
        <v>22156</v>
      </c>
      <c r="E274" s="1">
        <v>14.4</v>
      </c>
      <c r="F274" s="1">
        <v>69</v>
      </c>
      <c r="G274" s="1">
        <v>384942416</v>
      </c>
      <c r="H274" s="1">
        <v>65</v>
      </c>
      <c r="I274" s="1">
        <v>14</v>
      </c>
      <c r="J274" s="1">
        <v>75</v>
      </c>
      <c r="K274" s="1">
        <v>30</v>
      </c>
      <c r="L274" s="1" t="s">
        <v>16</v>
      </c>
    </row>
    <row r="275" spans="1:12" x14ac:dyDescent="0.25">
      <c r="A275" s="1" t="s">
        <v>28</v>
      </c>
      <c r="B275" s="1" t="s">
        <v>29</v>
      </c>
      <c r="C275" s="1">
        <v>2021</v>
      </c>
      <c r="D275" s="1">
        <v>7322</v>
      </c>
      <c r="E275" s="1">
        <v>12.1</v>
      </c>
      <c r="F275" s="1">
        <v>64</v>
      </c>
      <c r="G275" s="1">
        <v>370861975</v>
      </c>
      <c r="H275" s="1">
        <v>55</v>
      </c>
      <c r="I275" s="1">
        <v>16.3</v>
      </c>
      <c r="J275" s="1">
        <v>90</v>
      </c>
      <c r="K275" s="1">
        <v>56</v>
      </c>
      <c r="L275" s="1" t="s">
        <v>29</v>
      </c>
    </row>
    <row r="276" spans="1:12" x14ac:dyDescent="0.25">
      <c r="A276" s="1" t="s">
        <v>27</v>
      </c>
      <c r="B276" s="1" t="s">
        <v>22</v>
      </c>
      <c r="C276" s="1">
        <v>2021</v>
      </c>
      <c r="D276" s="1">
        <v>4935</v>
      </c>
      <c r="E276" s="1">
        <v>6.1</v>
      </c>
      <c r="F276" s="1">
        <v>71</v>
      </c>
      <c r="G276" s="1">
        <v>368441198</v>
      </c>
      <c r="H276" s="1">
        <v>83</v>
      </c>
      <c r="I276" s="1">
        <v>20.8</v>
      </c>
      <c r="J276" s="1">
        <v>88</v>
      </c>
      <c r="K276" s="1">
        <v>67</v>
      </c>
      <c r="L276" s="1" t="s">
        <v>14</v>
      </c>
    </row>
    <row r="277" spans="1:12" x14ac:dyDescent="0.25">
      <c r="A277" s="1" t="s">
        <v>15</v>
      </c>
      <c r="B277" s="1" t="s">
        <v>16</v>
      </c>
      <c r="C277" s="1">
        <v>2021</v>
      </c>
      <c r="D277" s="1">
        <v>16721</v>
      </c>
      <c r="E277" s="1">
        <v>4</v>
      </c>
      <c r="F277" s="1">
        <v>69</v>
      </c>
      <c r="G277" s="1">
        <v>366599273</v>
      </c>
      <c r="H277" s="1">
        <v>65</v>
      </c>
      <c r="I277" s="1">
        <v>10.199999999999999</v>
      </c>
      <c r="J277" s="1">
        <v>91</v>
      </c>
      <c r="K277" s="1">
        <v>31</v>
      </c>
      <c r="L277" s="1" t="s">
        <v>16</v>
      </c>
    </row>
    <row r="278" spans="1:12" x14ac:dyDescent="0.25">
      <c r="A278" s="1" t="s">
        <v>19</v>
      </c>
      <c r="B278" s="1" t="s">
        <v>20</v>
      </c>
      <c r="C278" s="1">
        <v>2021</v>
      </c>
      <c r="D278" s="1">
        <v>52617</v>
      </c>
      <c r="E278" s="1">
        <v>7.3</v>
      </c>
      <c r="F278" s="1">
        <v>68</v>
      </c>
      <c r="G278" s="1">
        <v>360684735</v>
      </c>
      <c r="H278" s="1">
        <v>60</v>
      </c>
      <c r="I278" s="1">
        <v>16.2</v>
      </c>
      <c r="J278" s="1">
        <v>90</v>
      </c>
      <c r="K278" s="1">
        <v>71</v>
      </c>
      <c r="L278" s="1" t="s">
        <v>20</v>
      </c>
    </row>
    <row r="279" spans="1:12" x14ac:dyDescent="0.25">
      <c r="A279" s="1" t="s">
        <v>12</v>
      </c>
      <c r="B279" s="1" t="s">
        <v>13</v>
      </c>
      <c r="C279" s="1">
        <v>2021</v>
      </c>
      <c r="D279" s="1">
        <v>35240</v>
      </c>
      <c r="E279" s="1">
        <v>4.7</v>
      </c>
      <c r="F279" s="1">
        <v>67</v>
      </c>
      <c r="G279" s="1">
        <v>347279427</v>
      </c>
      <c r="H279" s="1">
        <v>84</v>
      </c>
      <c r="I279" s="1">
        <v>22.9</v>
      </c>
      <c r="J279" s="1">
        <v>97</v>
      </c>
      <c r="K279" s="1">
        <v>54</v>
      </c>
      <c r="L279" s="1" t="s">
        <v>14</v>
      </c>
    </row>
    <row r="280" spans="1:12" x14ac:dyDescent="0.25">
      <c r="A280" s="1" t="s">
        <v>15</v>
      </c>
      <c r="B280" s="1" t="s">
        <v>16</v>
      </c>
      <c r="C280" s="1">
        <v>2021</v>
      </c>
      <c r="D280" s="1">
        <v>36822</v>
      </c>
      <c r="E280" s="1">
        <v>4.5999999999999996</v>
      </c>
      <c r="F280" s="1">
        <v>61</v>
      </c>
      <c r="G280" s="1">
        <v>337667637</v>
      </c>
      <c r="H280" s="1">
        <v>87</v>
      </c>
      <c r="I280" s="1">
        <v>6</v>
      </c>
      <c r="J280" s="1">
        <v>89</v>
      </c>
      <c r="K280" s="1">
        <v>56</v>
      </c>
      <c r="L280" s="1" t="s">
        <v>16</v>
      </c>
    </row>
    <row r="281" spans="1:12" x14ac:dyDescent="0.25">
      <c r="A281" s="1" t="s">
        <v>21</v>
      </c>
      <c r="B281" s="1" t="s">
        <v>22</v>
      </c>
      <c r="C281" s="1">
        <v>2021</v>
      </c>
      <c r="D281" s="1">
        <v>51809</v>
      </c>
      <c r="E281" s="1">
        <v>11.4</v>
      </c>
      <c r="F281" s="1">
        <v>85</v>
      </c>
      <c r="G281" s="1">
        <v>331799181</v>
      </c>
      <c r="H281" s="1">
        <v>63</v>
      </c>
      <c r="I281" s="1">
        <v>15.7</v>
      </c>
      <c r="J281" s="1">
        <v>91</v>
      </c>
      <c r="K281" s="1">
        <v>71</v>
      </c>
      <c r="L281" s="1" t="s">
        <v>14</v>
      </c>
    </row>
    <row r="282" spans="1:12" x14ac:dyDescent="0.25">
      <c r="A282" s="1" t="s">
        <v>27</v>
      </c>
      <c r="B282" s="1" t="s">
        <v>22</v>
      </c>
      <c r="C282" s="1">
        <v>2021</v>
      </c>
      <c r="D282" s="1">
        <v>26077</v>
      </c>
      <c r="E282" s="1">
        <v>15.2</v>
      </c>
      <c r="F282" s="1">
        <v>67</v>
      </c>
      <c r="G282" s="1">
        <v>329255553</v>
      </c>
      <c r="H282" s="1">
        <v>66</v>
      </c>
      <c r="I282" s="1">
        <v>6.2</v>
      </c>
      <c r="J282" s="1">
        <v>72</v>
      </c>
      <c r="K282" s="1">
        <v>90</v>
      </c>
      <c r="L282" s="1" t="s">
        <v>14</v>
      </c>
    </row>
    <row r="283" spans="1:12" x14ac:dyDescent="0.25">
      <c r="A283" s="1" t="s">
        <v>28</v>
      </c>
      <c r="B283" s="1" t="s">
        <v>29</v>
      </c>
      <c r="C283" s="1">
        <v>2021</v>
      </c>
      <c r="D283" s="1">
        <v>56951</v>
      </c>
      <c r="E283" s="1">
        <v>4.4000000000000004</v>
      </c>
      <c r="F283" s="1">
        <v>72</v>
      </c>
      <c r="G283" s="1">
        <v>326854857</v>
      </c>
      <c r="H283" s="1">
        <v>75</v>
      </c>
      <c r="I283" s="1">
        <v>5.3</v>
      </c>
      <c r="J283" s="1">
        <v>96</v>
      </c>
      <c r="K283" s="1">
        <v>42</v>
      </c>
      <c r="L283" s="1" t="s">
        <v>29</v>
      </c>
    </row>
    <row r="284" spans="1:12" x14ac:dyDescent="0.25">
      <c r="A284" s="1" t="s">
        <v>28</v>
      </c>
      <c r="B284" s="1" t="s">
        <v>29</v>
      </c>
      <c r="C284" s="1">
        <v>2021</v>
      </c>
      <c r="D284" s="1">
        <v>50374</v>
      </c>
      <c r="E284" s="1">
        <v>14.6</v>
      </c>
      <c r="F284" s="1">
        <v>84</v>
      </c>
      <c r="G284" s="1">
        <v>325233161</v>
      </c>
      <c r="H284" s="1">
        <v>64</v>
      </c>
      <c r="I284" s="1">
        <v>13</v>
      </c>
      <c r="J284" s="1">
        <v>86</v>
      </c>
      <c r="K284" s="1">
        <v>50</v>
      </c>
      <c r="L284" s="1" t="s">
        <v>29</v>
      </c>
    </row>
    <row r="285" spans="1:12" x14ac:dyDescent="0.25">
      <c r="A285" s="1" t="s">
        <v>12</v>
      </c>
      <c r="B285" s="1" t="s">
        <v>13</v>
      </c>
      <c r="C285" s="1">
        <v>2021</v>
      </c>
      <c r="D285" s="1">
        <v>28697</v>
      </c>
      <c r="E285" s="1">
        <v>10.7</v>
      </c>
      <c r="F285" s="1">
        <v>68</v>
      </c>
      <c r="G285" s="1">
        <v>320755470</v>
      </c>
      <c r="H285" s="1">
        <v>65</v>
      </c>
      <c r="I285" s="1">
        <v>21</v>
      </c>
      <c r="J285" s="1">
        <v>87</v>
      </c>
      <c r="K285" s="1">
        <v>43</v>
      </c>
      <c r="L285" s="1" t="s">
        <v>14</v>
      </c>
    </row>
    <row r="286" spans="1:12" x14ac:dyDescent="0.25">
      <c r="A286" s="1" t="s">
        <v>23</v>
      </c>
      <c r="B286" s="1" t="s">
        <v>18</v>
      </c>
      <c r="C286" s="1">
        <v>2021</v>
      </c>
      <c r="D286" s="1">
        <v>40106</v>
      </c>
      <c r="E286" s="1">
        <v>9.8000000000000007</v>
      </c>
      <c r="F286" s="1">
        <v>64</v>
      </c>
      <c r="G286" s="1">
        <v>295202050</v>
      </c>
      <c r="H286" s="1">
        <v>67</v>
      </c>
      <c r="I286" s="1">
        <v>15.4</v>
      </c>
      <c r="J286" s="1">
        <v>79</v>
      </c>
      <c r="K286" s="1">
        <v>30</v>
      </c>
      <c r="L286" s="1" t="s">
        <v>18</v>
      </c>
    </row>
    <row r="287" spans="1:12" x14ac:dyDescent="0.25">
      <c r="A287" s="1" t="s">
        <v>24</v>
      </c>
      <c r="B287" s="1" t="s">
        <v>16</v>
      </c>
      <c r="C287" s="1">
        <v>2021</v>
      </c>
      <c r="D287" s="1">
        <v>45233</v>
      </c>
      <c r="E287" s="1">
        <v>12.1</v>
      </c>
      <c r="F287" s="1">
        <v>82</v>
      </c>
      <c r="G287" s="1">
        <v>291838115</v>
      </c>
      <c r="H287" s="1">
        <v>55</v>
      </c>
      <c r="I287" s="1">
        <v>8.4</v>
      </c>
      <c r="J287" s="1">
        <v>82</v>
      </c>
      <c r="K287" s="1">
        <v>54</v>
      </c>
      <c r="L287" s="1" t="s">
        <v>16</v>
      </c>
    </row>
    <row r="288" spans="1:12" x14ac:dyDescent="0.25">
      <c r="A288" s="1" t="s">
        <v>24</v>
      </c>
      <c r="B288" s="1" t="s">
        <v>16</v>
      </c>
      <c r="C288" s="1">
        <v>2021</v>
      </c>
      <c r="D288" s="1">
        <v>65159</v>
      </c>
      <c r="E288" s="1">
        <v>8.1999999999999993</v>
      </c>
      <c r="F288" s="1">
        <v>69</v>
      </c>
      <c r="G288" s="1">
        <v>290686228</v>
      </c>
      <c r="H288" s="1">
        <v>61</v>
      </c>
      <c r="I288" s="1">
        <v>9.5</v>
      </c>
      <c r="J288" s="1">
        <v>81</v>
      </c>
      <c r="K288" s="1">
        <v>33</v>
      </c>
      <c r="L288" s="1" t="s">
        <v>16</v>
      </c>
    </row>
    <row r="289" spans="1:12" x14ac:dyDescent="0.25">
      <c r="A289" s="1" t="s">
        <v>15</v>
      </c>
      <c r="B289" s="1" t="s">
        <v>16</v>
      </c>
      <c r="C289" s="1">
        <v>2021</v>
      </c>
      <c r="D289" s="1">
        <v>5207</v>
      </c>
      <c r="E289" s="1">
        <v>6.6</v>
      </c>
      <c r="F289" s="1">
        <v>79</v>
      </c>
      <c r="G289" s="1">
        <v>283346459</v>
      </c>
      <c r="H289" s="1">
        <v>50</v>
      </c>
      <c r="I289" s="1">
        <v>24.2</v>
      </c>
      <c r="J289" s="1">
        <v>84</v>
      </c>
      <c r="K289" s="1">
        <v>68</v>
      </c>
      <c r="L289" s="1" t="s">
        <v>16</v>
      </c>
    </row>
    <row r="290" spans="1:12" x14ac:dyDescent="0.25">
      <c r="A290" s="1" t="s">
        <v>27</v>
      </c>
      <c r="B290" s="1" t="s">
        <v>22</v>
      </c>
      <c r="C290" s="1">
        <v>2021</v>
      </c>
      <c r="D290" s="1">
        <v>37713</v>
      </c>
      <c r="E290" s="1">
        <v>4.5</v>
      </c>
      <c r="F290" s="1">
        <v>83</v>
      </c>
      <c r="G290" s="1">
        <v>280596008</v>
      </c>
      <c r="H290" s="1">
        <v>60</v>
      </c>
      <c r="I290" s="1">
        <v>17</v>
      </c>
      <c r="J290" s="1">
        <v>85</v>
      </c>
      <c r="K290" s="1">
        <v>46</v>
      </c>
      <c r="L290" s="1" t="s">
        <v>14</v>
      </c>
    </row>
    <row r="291" spans="1:12" x14ac:dyDescent="0.25">
      <c r="A291" s="1" t="s">
        <v>27</v>
      </c>
      <c r="B291" s="1" t="s">
        <v>22</v>
      </c>
      <c r="C291" s="1">
        <v>2021</v>
      </c>
      <c r="D291" s="1">
        <v>56526</v>
      </c>
      <c r="E291" s="1">
        <v>7.8</v>
      </c>
      <c r="F291" s="1">
        <v>80</v>
      </c>
      <c r="G291" s="1">
        <v>280171661</v>
      </c>
      <c r="H291" s="1">
        <v>74</v>
      </c>
      <c r="I291" s="1">
        <v>24.7</v>
      </c>
      <c r="J291" s="1">
        <v>78</v>
      </c>
      <c r="K291" s="1">
        <v>80</v>
      </c>
      <c r="L291" s="1" t="s">
        <v>14</v>
      </c>
    </row>
    <row r="292" spans="1:12" x14ac:dyDescent="0.25">
      <c r="A292" s="1" t="s">
        <v>27</v>
      </c>
      <c r="B292" s="1" t="s">
        <v>22</v>
      </c>
      <c r="C292" s="1">
        <v>2021</v>
      </c>
      <c r="D292" s="1">
        <v>5263</v>
      </c>
      <c r="E292" s="1">
        <v>8.3000000000000007</v>
      </c>
      <c r="F292" s="1">
        <v>70</v>
      </c>
      <c r="G292" s="1">
        <v>242281064</v>
      </c>
      <c r="H292" s="1">
        <v>71</v>
      </c>
      <c r="I292" s="1">
        <v>17</v>
      </c>
      <c r="J292" s="1">
        <v>88</v>
      </c>
      <c r="K292" s="1">
        <v>65</v>
      </c>
      <c r="L292" s="1" t="s">
        <v>14</v>
      </c>
    </row>
    <row r="293" spans="1:12" x14ac:dyDescent="0.25">
      <c r="A293" s="1" t="s">
        <v>19</v>
      </c>
      <c r="B293" s="1" t="s">
        <v>20</v>
      </c>
      <c r="C293" s="1">
        <v>2021</v>
      </c>
      <c r="D293" s="1">
        <v>40181</v>
      </c>
      <c r="E293" s="1">
        <v>8.5</v>
      </c>
      <c r="F293" s="1">
        <v>67</v>
      </c>
      <c r="G293" s="1">
        <v>237806698</v>
      </c>
      <c r="H293" s="1">
        <v>59</v>
      </c>
      <c r="I293" s="1">
        <v>18.399999999999999</v>
      </c>
      <c r="J293" s="1">
        <v>77</v>
      </c>
      <c r="K293" s="1">
        <v>84</v>
      </c>
      <c r="L293" s="1" t="s">
        <v>20</v>
      </c>
    </row>
    <row r="294" spans="1:12" x14ac:dyDescent="0.25">
      <c r="A294" s="1" t="s">
        <v>24</v>
      </c>
      <c r="B294" s="1" t="s">
        <v>16</v>
      </c>
      <c r="C294" s="1">
        <v>2021</v>
      </c>
      <c r="D294" s="1">
        <v>51446</v>
      </c>
      <c r="E294" s="1">
        <v>8.1</v>
      </c>
      <c r="F294" s="1">
        <v>66</v>
      </c>
      <c r="G294" s="1">
        <v>226850356</v>
      </c>
      <c r="H294" s="1">
        <v>95</v>
      </c>
      <c r="I294" s="1">
        <v>8.1</v>
      </c>
      <c r="J294" s="1">
        <v>95</v>
      </c>
      <c r="K294" s="1">
        <v>76</v>
      </c>
      <c r="L294" s="1" t="s">
        <v>16</v>
      </c>
    </row>
    <row r="295" spans="1:12" x14ac:dyDescent="0.25">
      <c r="A295" s="1" t="s">
        <v>12</v>
      </c>
      <c r="B295" s="1" t="s">
        <v>13</v>
      </c>
      <c r="C295" s="1">
        <v>2021</v>
      </c>
      <c r="D295" s="1">
        <v>55873</v>
      </c>
      <c r="E295" s="1">
        <v>5.4</v>
      </c>
      <c r="F295" s="1">
        <v>69</v>
      </c>
      <c r="G295" s="1">
        <v>218491208</v>
      </c>
      <c r="H295" s="1">
        <v>94</v>
      </c>
      <c r="I295" s="1">
        <v>16.3</v>
      </c>
      <c r="J295" s="1">
        <v>86</v>
      </c>
      <c r="K295" s="1">
        <v>88</v>
      </c>
      <c r="L295" s="1" t="s">
        <v>14</v>
      </c>
    </row>
    <row r="296" spans="1:12" x14ac:dyDescent="0.25">
      <c r="A296" s="1" t="s">
        <v>25</v>
      </c>
      <c r="B296" s="1" t="s">
        <v>26</v>
      </c>
      <c r="C296" s="1">
        <v>2021</v>
      </c>
      <c r="D296" s="1">
        <v>31117</v>
      </c>
      <c r="E296" s="1">
        <v>13.9</v>
      </c>
      <c r="F296" s="1">
        <v>63</v>
      </c>
      <c r="G296" s="1">
        <v>213430923</v>
      </c>
      <c r="H296" s="1">
        <v>95</v>
      </c>
      <c r="I296" s="1">
        <v>16.3</v>
      </c>
      <c r="J296" s="1">
        <v>72</v>
      </c>
      <c r="K296" s="1">
        <v>31</v>
      </c>
      <c r="L296" s="1" t="s">
        <v>26</v>
      </c>
    </row>
    <row r="297" spans="1:12" x14ac:dyDescent="0.25">
      <c r="A297" s="1" t="s">
        <v>21</v>
      </c>
      <c r="B297" s="1" t="s">
        <v>22</v>
      </c>
      <c r="C297" s="1">
        <v>2021</v>
      </c>
      <c r="D297" s="1">
        <v>67325</v>
      </c>
      <c r="E297" s="1">
        <v>8.8000000000000007</v>
      </c>
      <c r="F297" s="1">
        <v>74</v>
      </c>
      <c r="G297" s="1">
        <v>198751555</v>
      </c>
      <c r="H297" s="1">
        <v>85</v>
      </c>
      <c r="I297" s="1">
        <v>4.3</v>
      </c>
      <c r="J297" s="1">
        <v>76</v>
      </c>
      <c r="K297" s="1">
        <v>53</v>
      </c>
      <c r="L297" s="1" t="s">
        <v>14</v>
      </c>
    </row>
    <row r="298" spans="1:12" x14ac:dyDescent="0.25">
      <c r="A298" s="1" t="s">
        <v>17</v>
      </c>
      <c r="B298" s="1" t="s">
        <v>18</v>
      </c>
      <c r="C298" s="1">
        <v>2021</v>
      </c>
      <c r="D298" s="1">
        <v>9830</v>
      </c>
      <c r="E298" s="1">
        <v>10</v>
      </c>
      <c r="F298" s="1">
        <v>79</v>
      </c>
      <c r="G298" s="1">
        <v>184122617</v>
      </c>
      <c r="H298" s="1">
        <v>76</v>
      </c>
      <c r="I298" s="1">
        <v>7.1</v>
      </c>
      <c r="J298" s="1">
        <v>95</v>
      </c>
      <c r="K298" s="1">
        <v>50</v>
      </c>
      <c r="L298" s="1" t="s">
        <v>18</v>
      </c>
    </row>
    <row r="299" spans="1:12" x14ac:dyDescent="0.25">
      <c r="A299" s="1" t="s">
        <v>21</v>
      </c>
      <c r="B299" s="1" t="s">
        <v>22</v>
      </c>
      <c r="C299" s="1">
        <v>2021</v>
      </c>
      <c r="D299" s="1">
        <v>39651</v>
      </c>
      <c r="E299" s="1">
        <v>3.1</v>
      </c>
      <c r="F299" s="1">
        <v>64</v>
      </c>
      <c r="G299" s="1">
        <v>166171553</v>
      </c>
      <c r="H299" s="1">
        <v>53</v>
      </c>
      <c r="I299" s="1">
        <v>23.5</v>
      </c>
      <c r="J299" s="1">
        <v>74</v>
      </c>
      <c r="K299" s="1">
        <v>37</v>
      </c>
      <c r="L299" s="1" t="s">
        <v>14</v>
      </c>
    </row>
    <row r="300" spans="1:12" x14ac:dyDescent="0.25">
      <c r="A300" s="1" t="s">
        <v>23</v>
      </c>
      <c r="B300" s="1" t="s">
        <v>18</v>
      </c>
      <c r="C300" s="1">
        <v>2021</v>
      </c>
      <c r="D300" s="1">
        <v>28234</v>
      </c>
      <c r="E300" s="1">
        <v>15.1</v>
      </c>
      <c r="F300" s="1">
        <v>70</v>
      </c>
      <c r="G300" s="1">
        <v>154075773</v>
      </c>
      <c r="H300" s="1">
        <v>91</v>
      </c>
      <c r="I300" s="1">
        <v>17.600000000000001</v>
      </c>
      <c r="J300" s="1">
        <v>79</v>
      </c>
      <c r="K300" s="1">
        <v>56</v>
      </c>
      <c r="L300" s="1" t="s">
        <v>18</v>
      </c>
    </row>
    <row r="301" spans="1:12" x14ac:dyDescent="0.25">
      <c r="A301" s="1" t="s">
        <v>15</v>
      </c>
      <c r="B301" s="1" t="s">
        <v>16</v>
      </c>
      <c r="C301" s="1">
        <v>2021</v>
      </c>
      <c r="D301" s="1">
        <v>22895</v>
      </c>
      <c r="E301" s="1">
        <v>7.8</v>
      </c>
      <c r="F301" s="1">
        <v>84</v>
      </c>
      <c r="G301" s="1">
        <v>142579345</v>
      </c>
      <c r="H301" s="1">
        <v>82</v>
      </c>
      <c r="I301" s="1">
        <v>13.5</v>
      </c>
      <c r="J301" s="1">
        <v>71</v>
      </c>
      <c r="K301" s="1">
        <v>85</v>
      </c>
      <c r="L301" s="1" t="s">
        <v>16</v>
      </c>
    </row>
    <row r="302" spans="1:12" x14ac:dyDescent="0.25">
      <c r="A302" s="1" t="s">
        <v>17</v>
      </c>
      <c r="B302" s="1" t="s">
        <v>18</v>
      </c>
      <c r="C302" s="1">
        <v>2021</v>
      </c>
      <c r="D302" s="1">
        <v>6464</v>
      </c>
      <c r="E302" s="1">
        <v>11.6</v>
      </c>
      <c r="F302" s="1">
        <v>69</v>
      </c>
      <c r="G302" s="1">
        <v>127849080</v>
      </c>
      <c r="H302" s="1">
        <v>64</v>
      </c>
      <c r="I302" s="1">
        <v>20.6</v>
      </c>
      <c r="J302" s="1">
        <v>72</v>
      </c>
      <c r="K302" s="1">
        <v>55</v>
      </c>
      <c r="L302" s="1" t="s">
        <v>18</v>
      </c>
    </row>
    <row r="303" spans="1:12" x14ac:dyDescent="0.25">
      <c r="A303" s="1" t="s">
        <v>19</v>
      </c>
      <c r="B303" s="1" t="s">
        <v>20</v>
      </c>
      <c r="C303" s="1">
        <v>2021</v>
      </c>
      <c r="D303" s="1">
        <v>55137</v>
      </c>
      <c r="E303" s="1">
        <v>8.1999999999999993</v>
      </c>
      <c r="F303" s="1">
        <v>67</v>
      </c>
      <c r="G303" s="1">
        <v>127144716</v>
      </c>
      <c r="H303" s="1">
        <v>58</v>
      </c>
      <c r="I303" s="1">
        <v>22.7</v>
      </c>
      <c r="J303" s="1">
        <v>90</v>
      </c>
      <c r="K303" s="1">
        <v>30</v>
      </c>
      <c r="L303" s="1" t="s">
        <v>20</v>
      </c>
    </row>
    <row r="304" spans="1:12" x14ac:dyDescent="0.25">
      <c r="A304" s="1" t="s">
        <v>24</v>
      </c>
      <c r="B304" s="1" t="s">
        <v>16</v>
      </c>
      <c r="C304" s="1">
        <v>2021</v>
      </c>
      <c r="D304" s="1">
        <v>28148</v>
      </c>
      <c r="E304" s="1">
        <v>4.0999999999999996</v>
      </c>
      <c r="F304" s="1">
        <v>70</v>
      </c>
      <c r="G304" s="1">
        <v>108421953</v>
      </c>
      <c r="H304" s="1">
        <v>73</v>
      </c>
      <c r="I304" s="1">
        <v>20</v>
      </c>
      <c r="J304" s="1">
        <v>91</v>
      </c>
      <c r="K304" s="1">
        <v>77</v>
      </c>
      <c r="L304" s="1" t="s">
        <v>16</v>
      </c>
    </row>
    <row r="305" spans="1:12" x14ac:dyDescent="0.25">
      <c r="A305" s="1" t="s">
        <v>19</v>
      </c>
      <c r="B305" s="1" t="s">
        <v>20</v>
      </c>
      <c r="C305" s="1">
        <v>2021</v>
      </c>
      <c r="D305" s="1">
        <v>58738</v>
      </c>
      <c r="E305" s="1">
        <v>6.8</v>
      </c>
      <c r="F305" s="1">
        <v>74</v>
      </c>
      <c r="G305" s="1">
        <v>103091358</v>
      </c>
      <c r="H305" s="1">
        <v>70</v>
      </c>
      <c r="I305" s="1">
        <v>13.3</v>
      </c>
      <c r="J305" s="1">
        <v>90</v>
      </c>
      <c r="K305" s="1">
        <v>68</v>
      </c>
      <c r="L305" s="1" t="s">
        <v>20</v>
      </c>
    </row>
    <row r="306" spans="1:12" x14ac:dyDescent="0.25">
      <c r="A306" s="1" t="s">
        <v>24</v>
      </c>
      <c r="B306" s="1" t="s">
        <v>16</v>
      </c>
      <c r="C306" s="1">
        <v>2021</v>
      </c>
      <c r="D306" s="1">
        <v>7541</v>
      </c>
      <c r="E306" s="1">
        <v>4.5999999999999996</v>
      </c>
      <c r="F306" s="1">
        <v>68</v>
      </c>
      <c r="G306" s="1">
        <v>88977190</v>
      </c>
      <c r="H306" s="1">
        <v>81</v>
      </c>
      <c r="I306" s="1">
        <v>10.4</v>
      </c>
      <c r="J306" s="1">
        <v>90</v>
      </c>
      <c r="K306" s="1">
        <v>74</v>
      </c>
      <c r="L306" s="1" t="s">
        <v>16</v>
      </c>
    </row>
    <row r="307" spans="1:12" x14ac:dyDescent="0.25">
      <c r="A307" s="1" t="s">
        <v>23</v>
      </c>
      <c r="B307" s="1" t="s">
        <v>18</v>
      </c>
      <c r="C307" s="1">
        <v>2021</v>
      </c>
      <c r="D307" s="1">
        <v>60407</v>
      </c>
      <c r="E307" s="1">
        <v>10</v>
      </c>
      <c r="F307" s="1">
        <v>81</v>
      </c>
      <c r="G307" s="1">
        <v>83865122</v>
      </c>
      <c r="H307" s="1">
        <v>60</v>
      </c>
      <c r="I307" s="1">
        <v>10.6</v>
      </c>
      <c r="J307" s="1">
        <v>100</v>
      </c>
      <c r="K307" s="1">
        <v>81</v>
      </c>
      <c r="L307" s="1" t="s">
        <v>18</v>
      </c>
    </row>
    <row r="308" spans="1:12" x14ac:dyDescent="0.25">
      <c r="A308" s="1" t="s">
        <v>12</v>
      </c>
      <c r="B308" s="1" t="s">
        <v>13</v>
      </c>
      <c r="C308" s="1">
        <v>2021</v>
      </c>
      <c r="D308" s="1">
        <v>11334</v>
      </c>
      <c r="E308" s="1">
        <v>3.7</v>
      </c>
      <c r="F308" s="1">
        <v>73</v>
      </c>
      <c r="G308" s="1">
        <v>81671426</v>
      </c>
      <c r="H308" s="1">
        <v>92</v>
      </c>
      <c r="I308" s="1">
        <v>18.7</v>
      </c>
      <c r="J308" s="1">
        <v>73</v>
      </c>
      <c r="K308" s="1">
        <v>65</v>
      </c>
      <c r="L308" s="1" t="s">
        <v>14</v>
      </c>
    </row>
    <row r="309" spans="1:12" x14ac:dyDescent="0.25">
      <c r="A309" s="1" t="s">
        <v>15</v>
      </c>
      <c r="B309" s="1" t="s">
        <v>16</v>
      </c>
      <c r="C309" s="1">
        <v>2021</v>
      </c>
      <c r="D309" s="1">
        <v>61031</v>
      </c>
      <c r="E309" s="1">
        <v>14.2</v>
      </c>
      <c r="F309" s="1">
        <v>62</v>
      </c>
      <c r="G309" s="1">
        <v>66452698</v>
      </c>
      <c r="H309" s="1">
        <v>64</v>
      </c>
      <c r="I309" s="1">
        <v>15.6</v>
      </c>
      <c r="J309" s="1">
        <v>87</v>
      </c>
      <c r="K309" s="1">
        <v>30</v>
      </c>
      <c r="L309" s="1" t="s">
        <v>16</v>
      </c>
    </row>
    <row r="310" spans="1:12" x14ac:dyDescent="0.25">
      <c r="A310" s="1" t="s">
        <v>25</v>
      </c>
      <c r="B310" s="1" t="s">
        <v>26</v>
      </c>
      <c r="C310" s="1">
        <v>2021</v>
      </c>
      <c r="D310" s="1">
        <v>27935</v>
      </c>
      <c r="E310" s="1">
        <v>6.1</v>
      </c>
      <c r="F310" s="1">
        <v>66</v>
      </c>
      <c r="G310" s="1">
        <v>54981057</v>
      </c>
      <c r="H310" s="1">
        <v>90</v>
      </c>
      <c r="I310" s="1">
        <v>22.5</v>
      </c>
      <c r="J310" s="1">
        <v>72</v>
      </c>
      <c r="K310" s="1">
        <v>45</v>
      </c>
      <c r="L310" s="1" t="s">
        <v>26</v>
      </c>
    </row>
    <row r="311" spans="1:12" x14ac:dyDescent="0.25">
      <c r="A311" s="1" t="s">
        <v>25</v>
      </c>
      <c r="B311" s="1" t="s">
        <v>26</v>
      </c>
      <c r="C311" s="1">
        <v>2021</v>
      </c>
      <c r="D311" s="1">
        <v>52755</v>
      </c>
      <c r="E311" s="1">
        <v>6.9</v>
      </c>
      <c r="F311" s="1">
        <v>85</v>
      </c>
      <c r="G311" s="1">
        <v>48594675</v>
      </c>
      <c r="H311" s="1">
        <v>68</v>
      </c>
      <c r="I311" s="1">
        <v>6.8</v>
      </c>
      <c r="J311" s="1">
        <v>71</v>
      </c>
      <c r="K311" s="1">
        <v>43</v>
      </c>
      <c r="L311" s="1" t="s">
        <v>26</v>
      </c>
    </row>
    <row r="312" spans="1:12" x14ac:dyDescent="0.25">
      <c r="A312" s="1" t="s">
        <v>19</v>
      </c>
      <c r="B312" s="1" t="s">
        <v>20</v>
      </c>
      <c r="C312" s="1">
        <v>2021</v>
      </c>
      <c r="D312" s="1">
        <v>4331</v>
      </c>
      <c r="E312" s="1">
        <v>16.3</v>
      </c>
      <c r="F312" s="1">
        <v>74</v>
      </c>
      <c r="G312" s="1">
        <v>47967447</v>
      </c>
      <c r="H312" s="1">
        <v>58</v>
      </c>
      <c r="I312" s="1">
        <v>8.6</v>
      </c>
      <c r="J312" s="1">
        <v>72</v>
      </c>
      <c r="K312" s="1">
        <v>42</v>
      </c>
      <c r="L312" s="1" t="s">
        <v>20</v>
      </c>
    </row>
    <row r="313" spans="1:12" x14ac:dyDescent="0.25">
      <c r="A313" s="1" t="s">
        <v>28</v>
      </c>
      <c r="B313" s="1" t="s">
        <v>29</v>
      </c>
      <c r="C313" s="1">
        <v>2021</v>
      </c>
      <c r="D313" s="1">
        <v>45743</v>
      </c>
      <c r="E313" s="1">
        <v>4.7</v>
      </c>
      <c r="F313" s="1">
        <v>60</v>
      </c>
      <c r="G313" s="1">
        <v>39464577</v>
      </c>
      <c r="H313" s="1">
        <v>69</v>
      </c>
      <c r="I313" s="1">
        <v>13.3</v>
      </c>
      <c r="J313" s="1">
        <v>80</v>
      </c>
      <c r="K313" s="1">
        <v>60</v>
      </c>
      <c r="L313" s="1" t="s">
        <v>29</v>
      </c>
    </row>
    <row r="314" spans="1:12" x14ac:dyDescent="0.25">
      <c r="A314" s="1" t="s">
        <v>28</v>
      </c>
      <c r="B314" s="1" t="s">
        <v>29</v>
      </c>
      <c r="C314" s="1">
        <v>2021</v>
      </c>
      <c r="D314" s="1">
        <v>21162</v>
      </c>
      <c r="E314" s="1">
        <v>6.3</v>
      </c>
      <c r="F314" s="1">
        <v>83</v>
      </c>
      <c r="G314" s="1">
        <v>27917842</v>
      </c>
      <c r="H314" s="1">
        <v>64</v>
      </c>
      <c r="I314" s="1">
        <v>20.5</v>
      </c>
      <c r="J314" s="1">
        <v>100</v>
      </c>
      <c r="K314" s="1">
        <v>74</v>
      </c>
      <c r="L314" s="1" t="s">
        <v>29</v>
      </c>
    </row>
    <row r="315" spans="1:12" x14ac:dyDescent="0.25">
      <c r="A315" s="1" t="s">
        <v>21</v>
      </c>
      <c r="B315" s="1" t="s">
        <v>22</v>
      </c>
      <c r="C315" s="1">
        <v>2021</v>
      </c>
      <c r="D315" s="1">
        <v>69902</v>
      </c>
      <c r="E315" s="1">
        <v>9.9</v>
      </c>
      <c r="F315" s="1">
        <v>63</v>
      </c>
      <c r="G315" s="1">
        <v>22538025</v>
      </c>
      <c r="H315" s="1">
        <v>94</v>
      </c>
      <c r="I315" s="1">
        <v>17.399999999999999</v>
      </c>
      <c r="J315" s="1">
        <v>98</v>
      </c>
      <c r="K315" s="1">
        <v>48</v>
      </c>
      <c r="L315" s="1" t="s">
        <v>14</v>
      </c>
    </row>
    <row r="316" spans="1:12" x14ac:dyDescent="0.25">
      <c r="A316" s="1" t="s">
        <v>25</v>
      </c>
      <c r="B316" s="1" t="s">
        <v>26</v>
      </c>
      <c r="C316" s="1">
        <v>2021</v>
      </c>
      <c r="D316" s="1">
        <v>16882</v>
      </c>
      <c r="E316" s="1">
        <v>3.3</v>
      </c>
      <c r="F316" s="1">
        <v>66</v>
      </c>
      <c r="G316" s="1">
        <v>11015019</v>
      </c>
      <c r="H316" s="1">
        <v>68</v>
      </c>
      <c r="I316" s="1">
        <v>11</v>
      </c>
      <c r="J316" s="1">
        <v>100</v>
      </c>
      <c r="K316" s="1">
        <v>52</v>
      </c>
      <c r="L316" s="1" t="s">
        <v>26</v>
      </c>
    </row>
    <row r="317" spans="1:12" x14ac:dyDescent="0.25">
      <c r="A317" s="1" t="s">
        <v>23</v>
      </c>
      <c r="B317" s="1" t="s">
        <v>18</v>
      </c>
      <c r="C317" s="1">
        <v>2021</v>
      </c>
      <c r="D317" s="1">
        <v>69064</v>
      </c>
      <c r="E317" s="1">
        <v>13.8</v>
      </c>
      <c r="F317" s="1">
        <v>83</v>
      </c>
      <c r="G317" s="1">
        <v>5128754</v>
      </c>
      <c r="H317" s="1">
        <v>61</v>
      </c>
      <c r="I317" s="1">
        <v>20</v>
      </c>
      <c r="J317" s="1">
        <v>86</v>
      </c>
      <c r="K317" s="1">
        <v>50</v>
      </c>
      <c r="L317" s="1" t="s">
        <v>18</v>
      </c>
    </row>
    <row r="318" spans="1:12" x14ac:dyDescent="0.25">
      <c r="A318" s="1" t="s">
        <v>28</v>
      </c>
      <c r="B318" s="1" t="s">
        <v>29</v>
      </c>
      <c r="C318" s="1">
        <v>2021</v>
      </c>
      <c r="D318" s="1">
        <v>42307</v>
      </c>
      <c r="E318" s="1">
        <v>7.7</v>
      </c>
      <c r="F318" s="1">
        <v>71</v>
      </c>
      <c r="G318" s="1">
        <v>2676624</v>
      </c>
      <c r="H318" s="1">
        <v>92</v>
      </c>
      <c r="I318" s="1">
        <v>17.2</v>
      </c>
      <c r="J318" s="1">
        <v>97</v>
      </c>
      <c r="K318" s="1">
        <v>89</v>
      </c>
      <c r="L318" s="1" t="s">
        <v>29</v>
      </c>
    </row>
    <row r="319" spans="1:12" x14ac:dyDescent="0.25">
      <c r="A319" s="1" t="s">
        <v>21</v>
      </c>
      <c r="B319" s="1" t="s">
        <v>22</v>
      </c>
      <c r="C319" s="1">
        <v>2020</v>
      </c>
      <c r="D319" s="1">
        <v>46639</v>
      </c>
      <c r="E319" s="1">
        <v>8.9</v>
      </c>
      <c r="F319" s="1">
        <v>84</v>
      </c>
      <c r="G319" s="1">
        <v>1499869837</v>
      </c>
      <c r="H319" s="1">
        <v>69</v>
      </c>
      <c r="I319" s="1">
        <v>21.1</v>
      </c>
      <c r="J319" s="1">
        <v>84</v>
      </c>
      <c r="K319" s="1">
        <v>47</v>
      </c>
      <c r="L319" s="1" t="s">
        <v>14</v>
      </c>
    </row>
    <row r="320" spans="1:12" x14ac:dyDescent="0.25">
      <c r="A320" s="1" t="s">
        <v>28</v>
      </c>
      <c r="B320" s="1" t="s">
        <v>29</v>
      </c>
      <c r="C320" s="1">
        <v>2020</v>
      </c>
      <c r="D320" s="1">
        <v>49427</v>
      </c>
      <c r="E320" s="1">
        <v>8.9</v>
      </c>
      <c r="F320" s="1">
        <v>80</v>
      </c>
      <c r="G320" s="1">
        <v>1498703110</v>
      </c>
      <c r="H320" s="1">
        <v>91</v>
      </c>
      <c r="I320" s="1">
        <v>21.4</v>
      </c>
      <c r="J320" s="1">
        <v>83</v>
      </c>
      <c r="K320" s="1">
        <v>87</v>
      </c>
      <c r="L320" s="1" t="s">
        <v>29</v>
      </c>
    </row>
    <row r="321" spans="1:12" x14ac:dyDescent="0.25">
      <c r="A321" s="1" t="s">
        <v>15</v>
      </c>
      <c r="B321" s="1" t="s">
        <v>16</v>
      </c>
      <c r="C321" s="1">
        <v>2020</v>
      </c>
      <c r="D321" s="1">
        <v>32580</v>
      </c>
      <c r="E321" s="1">
        <v>8.6999999999999993</v>
      </c>
      <c r="F321" s="1">
        <v>64</v>
      </c>
      <c r="G321" s="1">
        <v>1491550777</v>
      </c>
      <c r="H321" s="1">
        <v>66</v>
      </c>
      <c r="I321" s="1">
        <v>2.2999999999999998</v>
      </c>
      <c r="J321" s="1">
        <v>84</v>
      </c>
      <c r="K321" s="1">
        <v>87</v>
      </c>
      <c r="L321" s="1" t="s">
        <v>16</v>
      </c>
    </row>
    <row r="322" spans="1:12" x14ac:dyDescent="0.25">
      <c r="A322" s="1" t="s">
        <v>25</v>
      </c>
      <c r="B322" s="1" t="s">
        <v>26</v>
      </c>
      <c r="C322" s="1">
        <v>2020</v>
      </c>
      <c r="D322" s="1">
        <v>39090</v>
      </c>
      <c r="E322" s="1">
        <v>6.3</v>
      </c>
      <c r="F322" s="1">
        <v>81</v>
      </c>
      <c r="G322" s="1">
        <v>1476134950</v>
      </c>
      <c r="H322" s="1">
        <v>94</v>
      </c>
      <c r="I322" s="1">
        <v>2.2999999999999998</v>
      </c>
      <c r="J322" s="1">
        <v>88</v>
      </c>
      <c r="K322" s="1">
        <v>67</v>
      </c>
      <c r="L322" s="1" t="s">
        <v>26</v>
      </c>
    </row>
    <row r="323" spans="1:12" x14ac:dyDescent="0.25">
      <c r="A323" s="1" t="s">
        <v>15</v>
      </c>
      <c r="B323" s="1" t="s">
        <v>16</v>
      </c>
      <c r="C323" s="1">
        <v>2020</v>
      </c>
      <c r="D323" s="1">
        <v>68392</v>
      </c>
      <c r="E323" s="1">
        <v>11.2</v>
      </c>
      <c r="F323" s="1">
        <v>63</v>
      </c>
      <c r="G323" s="1">
        <v>1475280515</v>
      </c>
      <c r="H323" s="1">
        <v>73</v>
      </c>
      <c r="I323" s="1">
        <v>21.9</v>
      </c>
      <c r="J323" s="1">
        <v>70</v>
      </c>
      <c r="K323" s="1">
        <v>58</v>
      </c>
      <c r="L323" s="1" t="s">
        <v>16</v>
      </c>
    </row>
    <row r="324" spans="1:12" x14ac:dyDescent="0.25">
      <c r="A324" s="1" t="s">
        <v>15</v>
      </c>
      <c r="B324" s="1" t="s">
        <v>16</v>
      </c>
      <c r="C324" s="1">
        <v>2020</v>
      </c>
      <c r="D324" s="1">
        <v>37761</v>
      </c>
      <c r="E324" s="1">
        <v>11.3</v>
      </c>
      <c r="F324" s="1">
        <v>74</v>
      </c>
      <c r="G324" s="1">
        <v>1464557244</v>
      </c>
      <c r="H324" s="1">
        <v>60</v>
      </c>
      <c r="I324" s="1">
        <v>21</v>
      </c>
      <c r="J324" s="1">
        <v>93</v>
      </c>
      <c r="K324" s="1">
        <v>50</v>
      </c>
      <c r="L324" s="1" t="s">
        <v>16</v>
      </c>
    </row>
    <row r="325" spans="1:12" x14ac:dyDescent="0.25">
      <c r="A325" s="1" t="s">
        <v>17</v>
      </c>
      <c r="B325" s="1" t="s">
        <v>18</v>
      </c>
      <c r="C325" s="1">
        <v>2020</v>
      </c>
      <c r="D325" s="1">
        <v>10534</v>
      </c>
      <c r="E325" s="1">
        <v>13.7</v>
      </c>
      <c r="F325" s="1">
        <v>64</v>
      </c>
      <c r="G325" s="1">
        <v>1452520322</v>
      </c>
      <c r="H325" s="1">
        <v>61</v>
      </c>
      <c r="I325" s="1">
        <v>21.4</v>
      </c>
      <c r="J325" s="1">
        <v>76</v>
      </c>
      <c r="K325" s="1">
        <v>35</v>
      </c>
      <c r="L325" s="1" t="s">
        <v>18</v>
      </c>
    </row>
    <row r="326" spans="1:12" x14ac:dyDescent="0.25">
      <c r="A326" s="1" t="s">
        <v>25</v>
      </c>
      <c r="B326" s="1" t="s">
        <v>26</v>
      </c>
      <c r="C326" s="1">
        <v>2020</v>
      </c>
      <c r="D326" s="1">
        <v>50989</v>
      </c>
      <c r="E326" s="1">
        <v>7.2</v>
      </c>
      <c r="F326" s="1">
        <v>74</v>
      </c>
      <c r="G326" s="1">
        <v>1444144732</v>
      </c>
      <c r="H326" s="1">
        <v>54</v>
      </c>
      <c r="I326" s="1">
        <v>18.2</v>
      </c>
      <c r="J326" s="1">
        <v>83</v>
      </c>
      <c r="K326" s="1">
        <v>35</v>
      </c>
      <c r="L326" s="1" t="s">
        <v>26</v>
      </c>
    </row>
    <row r="327" spans="1:12" x14ac:dyDescent="0.25">
      <c r="A327" s="1" t="s">
        <v>23</v>
      </c>
      <c r="B327" s="1" t="s">
        <v>18</v>
      </c>
      <c r="C327" s="1">
        <v>2020</v>
      </c>
      <c r="D327" s="1">
        <v>23500</v>
      </c>
      <c r="E327" s="1">
        <v>16.899999999999999</v>
      </c>
      <c r="F327" s="1">
        <v>75</v>
      </c>
      <c r="G327" s="1">
        <v>1440086596</v>
      </c>
      <c r="H327" s="1">
        <v>85</v>
      </c>
      <c r="I327" s="1">
        <v>7.2</v>
      </c>
      <c r="J327" s="1">
        <v>83</v>
      </c>
      <c r="K327" s="1">
        <v>39</v>
      </c>
      <c r="L327" s="1" t="s">
        <v>18</v>
      </c>
    </row>
    <row r="328" spans="1:12" x14ac:dyDescent="0.25">
      <c r="A328" s="1" t="s">
        <v>21</v>
      </c>
      <c r="B328" s="1" t="s">
        <v>22</v>
      </c>
      <c r="C328" s="1">
        <v>2020</v>
      </c>
      <c r="D328" s="1">
        <v>61514</v>
      </c>
      <c r="E328" s="1">
        <v>8.6</v>
      </c>
      <c r="F328" s="1">
        <v>79</v>
      </c>
      <c r="G328" s="1">
        <v>1436796278</v>
      </c>
      <c r="H328" s="1">
        <v>61</v>
      </c>
      <c r="I328" s="1">
        <v>22.3</v>
      </c>
      <c r="J328" s="1">
        <v>83</v>
      </c>
      <c r="K328" s="1">
        <v>59</v>
      </c>
      <c r="L328" s="1" t="s">
        <v>14</v>
      </c>
    </row>
    <row r="329" spans="1:12" x14ac:dyDescent="0.25">
      <c r="A329" s="1" t="s">
        <v>12</v>
      </c>
      <c r="B329" s="1" t="s">
        <v>13</v>
      </c>
      <c r="C329" s="1">
        <v>2020</v>
      </c>
      <c r="D329" s="1">
        <v>40243</v>
      </c>
      <c r="E329" s="1">
        <v>9</v>
      </c>
      <c r="F329" s="1">
        <v>66</v>
      </c>
      <c r="G329" s="1">
        <v>1434235431</v>
      </c>
      <c r="H329" s="1">
        <v>76</v>
      </c>
      <c r="I329" s="1">
        <v>15.8</v>
      </c>
      <c r="J329" s="1">
        <v>72</v>
      </c>
      <c r="K329" s="1">
        <v>53</v>
      </c>
      <c r="L329" s="1" t="s">
        <v>14</v>
      </c>
    </row>
    <row r="330" spans="1:12" x14ac:dyDescent="0.25">
      <c r="A330" s="1" t="s">
        <v>24</v>
      </c>
      <c r="B330" s="1" t="s">
        <v>16</v>
      </c>
      <c r="C330" s="1">
        <v>2020</v>
      </c>
      <c r="D330" s="1">
        <v>31218</v>
      </c>
      <c r="E330" s="1">
        <v>4.0999999999999996</v>
      </c>
      <c r="F330" s="1">
        <v>81</v>
      </c>
      <c r="G330" s="1">
        <v>1419675965</v>
      </c>
      <c r="H330" s="1">
        <v>54</v>
      </c>
      <c r="I330" s="1">
        <v>9.1</v>
      </c>
      <c r="J330" s="1">
        <v>73</v>
      </c>
      <c r="K330" s="1">
        <v>66</v>
      </c>
      <c r="L330" s="1" t="s">
        <v>16</v>
      </c>
    </row>
    <row r="331" spans="1:12" x14ac:dyDescent="0.25">
      <c r="A331" s="1" t="s">
        <v>27</v>
      </c>
      <c r="B331" s="1" t="s">
        <v>22</v>
      </c>
      <c r="C331" s="1">
        <v>2020</v>
      </c>
      <c r="D331" s="1">
        <v>57924</v>
      </c>
      <c r="E331" s="1">
        <v>16</v>
      </c>
      <c r="F331" s="1">
        <v>77</v>
      </c>
      <c r="G331" s="1">
        <v>1413813761</v>
      </c>
      <c r="H331" s="1">
        <v>58</v>
      </c>
      <c r="I331" s="1">
        <v>20.7</v>
      </c>
      <c r="J331" s="1">
        <v>74</v>
      </c>
      <c r="K331" s="1">
        <v>40</v>
      </c>
      <c r="L331" s="1" t="s">
        <v>14</v>
      </c>
    </row>
    <row r="332" spans="1:12" x14ac:dyDescent="0.25">
      <c r="A332" s="1" t="s">
        <v>27</v>
      </c>
      <c r="B332" s="1" t="s">
        <v>22</v>
      </c>
      <c r="C332" s="1">
        <v>2020</v>
      </c>
      <c r="D332" s="1">
        <v>64276</v>
      </c>
      <c r="E332" s="1">
        <v>8.9</v>
      </c>
      <c r="F332" s="1">
        <v>76</v>
      </c>
      <c r="G332" s="1">
        <v>1411748390</v>
      </c>
      <c r="H332" s="1">
        <v>82</v>
      </c>
      <c r="I332" s="1">
        <v>10.8</v>
      </c>
      <c r="J332" s="1">
        <v>86</v>
      </c>
      <c r="K332" s="1">
        <v>36</v>
      </c>
      <c r="L332" s="1" t="s">
        <v>14</v>
      </c>
    </row>
    <row r="333" spans="1:12" x14ac:dyDescent="0.25">
      <c r="A333" s="1" t="s">
        <v>27</v>
      </c>
      <c r="B333" s="1" t="s">
        <v>22</v>
      </c>
      <c r="C333" s="1">
        <v>2020</v>
      </c>
      <c r="D333" s="1">
        <v>16498</v>
      </c>
      <c r="E333" s="1">
        <v>5.4</v>
      </c>
      <c r="F333" s="1">
        <v>85</v>
      </c>
      <c r="G333" s="1">
        <v>1397611416</v>
      </c>
      <c r="H333" s="1">
        <v>63</v>
      </c>
      <c r="I333" s="1">
        <v>6.2</v>
      </c>
      <c r="J333" s="1">
        <v>83</v>
      </c>
      <c r="K333" s="1">
        <v>90</v>
      </c>
      <c r="L333" s="1" t="s">
        <v>14</v>
      </c>
    </row>
    <row r="334" spans="1:12" x14ac:dyDescent="0.25">
      <c r="A334" s="1" t="s">
        <v>28</v>
      </c>
      <c r="B334" s="1" t="s">
        <v>29</v>
      </c>
      <c r="C334" s="1">
        <v>2020</v>
      </c>
      <c r="D334" s="1">
        <v>28071</v>
      </c>
      <c r="E334" s="1">
        <v>3.7</v>
      </c>
      <c r="F334" s="1">
        <v>82</v>
      </c>
      <c r="G334" s="1">
        <v>1366450380</v>
      </c>
      <c r="H334" s="1">
        <v>65</v>
      </c>
      <c r="I334" s="1">
        <v>9.1999999999999993</v>
      </c>
      <c r="J334" s="1">
        <v>82</v>
      </c>
      <c r="K334" s="1">
        <v>44</v>
      </c>
      <c r="L334" s="1" t="s">
        <v>29</v>
      </c>
    </row>
    <row r="335" spans="1:12" x14ac:dyDescent="0.25">
      <c r="A335" s="1" t="s">
        <v>28</v>
      </c>
      <c r="B335" s="1" t="s">
        <v>29</v>
      </c>
      <c r="C335" s="1">
        <v>2020</v>
      </c>
      <c r="D335" s="1">
        <v>52971</v>
      </c>
      <c r="E335" s="1">
        <v>5.0999999999999996</v>
      </c>
      <c r="F335" s="1">
        <v>73</v>
      </c>
      <c r="G335" s="1">
        <v>1361638540</v>
      </c>
      <c r="H335" s="1">
        <v>55</v>
      </c>
      <c r="I335" s="1">
        <v>17.7</v>
      </c>
      <c r="J335" s="1">
        <v>83</v>
      </c>
      <c r="K335" s="1">
        <v>60</v>
      </c>
      <c r="L335" s="1" t="s">
        <v>29</v>
      </c>
    </row>
    <row r="336" spans="1:12" x14ac:dyDescent="0.25">
      <c r="A336" s="1" t="s">
        <v>27</v>
      </c>
      <c r="B336" s="1" t="s">
        <v>22</v>
      </c>
      <c r="C336" s="1">
        <v>2020</v>
      </c>
      <c r="D336" s="1">
        <v>44194</v>
      </c>
      <c r="E336" s="1">
        <v>4.4000000000000004</v>
      </c>
      <c r="F336" s="1">
        <v>78</v>
      </c>
      <c r="G336" s="1">
        <v>1361478031</v>
      </c>
      <c r="H336" s="1">
        <v>71</v>
      </c>
      <c r="I336" s="1">
        <v>3.3</v>
      </c>
      <c r="J336" s="1">
        <v>94</v>
      </c>
      <c r="K336" s="1">
        <v>50</v>
      </c>
      <c r="L336" s="1" t="s">
        <v>14</v>
      </c>
    </row>
    <row r="337" spans="1:12" x14ac:dyDescent="0.25">
      <c r="A337" s="1" t="s">
        <v>21</v>
      </c>
      <c r="B337" s="1" t="s">
        <v>22</v>
      </c>
      <c r="C337" s="1">
        <v>2020</v>
      </c>
      <c r="D337" s="1">
        <v>31723</v>
      </c>
      <c r="E337" s="1">
        <v>14.9</v>
      </c>
      <c r="F337" s="1">
        <v>82</v>
      </c>
      <c r="G337" s="1">
        <v>1357989704</v>
      </c>
      <c r="H337" s="1">
        <v>59</v>
      </c>
      <c r="I337" s="1">
        <v>24.2</v>
      </c>
      <c r="J337" s="1">
        <v>74</v>
      </c>
      <c r="K337" s="1">
        <v>60</v>
      </c>
      <c r="L337" s="1" t="s">
        <v>14</v>
      </c>
    </row>
    <row r="338" spans="1:12" x14ac:dyDescent="0.25">
      <c r="A338" s="1" t="s">
        <v>27</v>
      </c>
      <c r="B338" s="1" t="s">
        <v>22</v>
      </c>
      <c r="C338" s="1">
        <v>2020</v>
      </c>
      <c r="D338" s="1">
        <v>51440</v>
      </c>
      <c r="E338" s="1">
        <v>12.7</v>
      </c>
      <c r="F338" s="1">
        <v>70</v>
      </c>
      <c r="G338" s="1">
        <v>1357629067</v>
      </c>
      <c r="H338" s="1">
        <v>51</v>
      </c>
      <c r="I338" s="1">
        <v>16</v>
      </c>
      <c r="J338" s="1">
        <v>83</v>
      </c>
      <c r="K338" s="1">
        <v>54</v>
      </c>
      <c r="L338" s="1" t="s">
        <v>14</v>
      </c>
    </row>
    <row r="339" spans="1:12" x14ac:dyDescent="0.25">
      <c r="A339" s="1" t="s">
        <v>19</v>
      </c>
      <c r="B339" s="1" t="s">
        <v>20</v>
      </c>
      <c r="C339" s="1">
        <v>2020</v>
      </c>
      <c r="D339" s="1">
        <v>17074</v>
      </c>
      <c r="E339" s="1">
        <v>3.6</v>
      </c>
      <c r="F339" s="1">
        <v>79</v>
      </c>
      <c r="G339" s="1">
        <v>1354307721</v>
      </c>
      <c r="H339" s="1">
        <v>51</v>
      </c>
      <c r="I339" s="1">
        <v>11.1</v>
      </c>
      <c r="J339" s="1">
        <v>84</v>
      </c>
      <c r="K339" s="1">
        <v>74</v>
      </c>
      <c r="L339" s="1" t="s">
        <v>20</v>
      </c>
    </row>
    <row r="340" spans="1:12" x14ac:dyDescent="0.25">
      <c r="A340" s="1" t="s">
        <v>23</v>
      </c>
      <c r="B340" s="1" t="s">
        <v>18</v>
      </c>
      <c r="C340" s="1">
        <v>2020</v>
      </c>
      <c r="D340" s="1">
        <v>4479</v>
      </c>
      <c r="E340" s="1">
        <v>12.2</v>
      </c>
      <c r="F340" s="1">
        <v>74</v>
      </c>
      <c r="G340" s="1">
        <v>1352400045</v>
      </c>
      <c r="H340" s="1">
        <v>51</v>
      </c>
      <c r="I340" s="1">
        <v>23.1</v>
      </c>
      <c r="J340" s="1">
        <v>76</v>
      </c>
      <c r="K340" s="1">
        <v>69</v>
      </c>
      <c r="L340" s="1" t="s">
        <v>18</v>
      </c>
    </row>
    <row r="341" spans="1:12" x14ac:dyDescent="0.25">
      <c r="A341" s="1" t="s">
        <v>15</v>
      </c>
      <c r="B341" s="1" t="s">
        <v>16</v>
      </c>
      <c r="C341" s="1">
        <v>2020</v>
      </c>
      <c r="D341" s="1">
        <v>68846</v>
      </c>
      <c r="E341" s="1">
        <v>15.4</v>
      </c>
      <c r="F341" s="1">
        <v>61</v>
      </c>
      <c r="G341" s="1">
        <v>1335714048</v>
      </c>
      <c r="H341" s="1">
        <v>90</v>
      </c>
      <c r="I341" s="1">
        <v>12.4</v>
      </c>
      <c r="J341" s="1">
        <v>95</v>
      </c>
      <c r="K341" s="1">
        <v>37</v>
      </c>
      <c r="L341" s="1" t="s">
        <v>16</v>
      </c>
    </row>
    <row r="342" spans="1:12" x14ac:dyDescent="0.25">
      <c r="A342" s="1" t="s">
        <v>25</v>
      </c>
      <c r="B342" s="1" t="s">
        <v>26</v>
      </c>
      <c r="C342" s="1">
        <v>2020</v>
      </c>
      <c r="D342" s="1">
        <v>61612</v>
      </c>
      <c r="E342" s="1">
        <v>6.8</v>
      </c>
      <c r="F342" s="1">
        <v>84</v>
      </c>
      <c r="G342" s="1">
        <v>1335176541</v>
      </c>
      <c r="H342" s="1">
        <v>63</v>
      </c>
      <c r="I342" s="1">
        <v>14.9</v>
      </c>
      <c r="J342" s="1">
        <v>73</v>
      </c>
      <c r="K342" s="1">
        <v>69</v>
      </c>
      <c r="L342" s="1" t="s">
        <v>26</v>
      </c>
    </row>
    <row r="343" spans="1:12" x14ac:dyDescent="0.25">
      <c r="A343" s="1" t="s">
        <v>15</v>
      </c>
      <c r="B343" s="1" t="s">
        <v>16</v>
      </c>
      <c r="C343" s="1">
        <v>2020</v>
      </c>
      <c r="D343" s="1">
        <v>65393</v>
      </c>
      <c r="E343" s="1">
        <v>13.9</v>
      </c>
      <c r="F343" s="1">
        <v>66</v>
      </c>
      <c r="G343" s="1">
        <v>1311001448</v>
      </c>
      <c r="H343" s="1">
        <v>50</v>
      </c>
      <c r="I343" s="1">
        <v>6.7</v>
      </c>
      <c r="J343" s="1">
        <v>78</v>
      </c>
      <c r="K343" s="1">
        <v>87</v>
      </c>
      <c r="L343" s="1" t="s">
        <v>16</v>
      </c>
    </row>
    <row r="344" spans="1:12" x14ac:dyDescent="0.25">
      <c r="A344" s="1" t="s">
        <v>21</v>
      </c>
      <c r="B344" s="1" t="s">
        <v>22</v>
      </c>
      <c r="C344" s="1">
        <v>2020</v>
      </c>
      <c r="D344" s="1">
        <v>32996</v>
      </c>
      <c r="E344" s="1">
        <v>13.1</v>
      </c>
      <c r="F344" s="1">
        <v>62</v>
      </c>
      <c r="G344" s="1">
        <v>1300724914</v>
      </c>
      <c r="H344" s="1">
        <v>54</v>
      </c>
      <c r="I344" s="1">
        <v>19.3</v>
      </c>
      <c r="J344" s="1">
        <v>84</v>
      </c>
      <c r="K344" s="1">
        <v>63</v>
      </c>
      <c r="L344" s="1" t="s">
        <v>14</v>
      </c>
    </row>
    <row r="345" spans="1:12" x14ac:dyDescent="0.25">
      <c r="A345" s="1" t="s">
        <v>17</v>
      </c>
      <c r="B345" s="1" t="s">
        <v>18</v>
      </c>
      <c r="C345" s="1">
        <v>2020</v>
      </c>
      <c r="D345" s="1">
        <v>59630</v>
      </c>
      <c r="E345" s="1">
        <v>11.1</v>
      </c>
      <c r="F345" s="1">
        <v>82</v>
      </c>
      <c r="G345" s="1">
        <v>1296401631</v>
      </c>
      <c r="H345" s="1">
        <v>77</v>
      </c>
      <c r="I345" s="1">
        <v>12.1</v>
      </c>
      <c r="J345" s="1">
        <v>92</v>
      </c>
      <c r="K345" s="1">
        <v>55</v>
      </c>
      <c r="L345" s="1" t="s">
        <v>18</v>
      </c>
    </row>
    <row r="346" spans="1:12" x14ac:dyDescent="0.25">
      <c r="A346" s="1" t="s">
        <v>15</v>
      </c>
      <c r="B346" s="1" t="s">
        <v>16</v>
      </c>
      <c r="C346" s="1">
        <v>2020</v>
      </c>
      <c r="D346" s="1">
        <v>65194</v>
      </c>
      <c r="E346" s="1">
        <v>8.9</v>
      </c>
      <c r="F346" s="1">
        <v>66</v>
      </c>
      <c r="G346" s="1">
        <v>1294675280</v>
      </c>
      <c r="H346" s="1">
        <v>58</v>
      </c>
      <c r="I346" s="1">
        <v>22.9</v>
      </c>
      <c r="J346" s="1">
        <v>94</v>
      </c>
      <c r="K346" s="1">
        <v>71</v>
      </c>
      <c r="L346" s="1" t="s">
        <v>16</v>
      </c>
    </row>
    <row r="347" spans="1:12" x14ac:dyDescent="0.25">
      <c r="A347" s="1" t="s">
        <v>23</v>
      </c>
      <c r="B347" s="1" t="s">
        <v>18</v>
      </c>
      <c r="C347" s="1">
        <v>2020</v>
      </c>
      <c r="D347" s="1">
        <v>42051</v>
      </c>
      <c r="E347" s="1">
        <v>3.3</v>
      </c>
      <c r="F347" s="1">
        <v>71</v>
      </c>
      <c r="G347" s="1">
        <v>1292519312</v>
      </c>
      <c r="H347" s="1">
        <v>65</v>
      </c>
      <c r="I347" s="1">
        <v>13.2</v>
      </c>
      <c r="J347" s="1">
        <v>87</v>
      </c>
      <c r="K347" s="1">
        <v>63</v>
      </c>
      <c r="L347" s="1" t="s">
        <v>18</v>
      </c>
    </row>
    <row r="348" spans="1:12" x14ac:dyDescent="0.25">
      <c r="A348" s="1" t="s">
        <v>28</v>
      </c>
      <c r="B348" s="1" t="s">
        <v>29</v>
      </c>
      <c r="C348" s="1">
        <v>2020</v>
      </c>
      <c r="D348" s="1">
        <v>54920</v>
      </c>
      <c r="E348" s="1">
        <v>16.399999999999999</v>
      </c>
      <c r="F348" s="1">
        <v>75</v>
      </c>
      <c r="G348" s="1">
        <v>1286446927</v>
      </c>
      <c r="H348" s="1">
        <v>72</v>
      </c>
      <c r="I348" s="1">
        <v>10.4</v>
      </c>
      <c r="J348" s="1">
        <v>95</v>
      </c>
      <c r="K348" s="1">
        <v>83</v>
      </c>
      <c r="L348" s="1" t="s">
        <v>29</v>
      </c>
    </row>
    <row r="349" spans="1:12" x14ac:dyDescent="0.25">
      <c r="A349" s="1" t="s">
        <v>23</v>
      </c>
      <c r="B349" s="1" t="s">
        <v>18</v>
      </c>
      <c r="C349" s="1">
        <v>2020</v>
      </c>
      <c r="D349" s="1">
        <v>30004</v>
      </c>
      <c r="E349" s="1">
        <v>11.9</v>
      </c>
      <c r="F349" s="1">
        <v>67</v>
      </c>
      <c r="G349" s="1">
        <v>1284232344</v>
      </c>
      <c r="H349" s="1">
        <v>71</v>
      </c>
      <c r="I349" s="1">
        <v>4.5</v>
      </c>
      <c r="J349" s="1">
        <v>91</v>
      </c>
      <c r="K349" s="1">
        <v>50</v>
      </c>
      <c r="L349" s="1" t="s">
        <v>18</v>
      </c>
    </row>
    <row r="350" spans="1:12" x14ac:dyDescent="0.25">
      <c r="A350" s="1" t="s">
        <v>12</v>
      </c>
      <c r="B350" s="1" t="s">
        <v>13</v>
      </c>
      <c r="C350" s="1">
        <v>2020</v>
      </c>
      <c r="D350" s="1">
        <v>50989</v>
      </c>
      <c r="E350" s="1">
        <v>12.6</v>
      </c>
      <c r="F350" s="1">
        <v>70</v>
      </c>
      <c r="G350" s="1">
        <v>1267573118</v>
      </c>
      <c r="H350" s="1">
        <v>88</v>
      </c>
      <c r="I350" s="1">
        <v>12.2</v>
      </c>
      <c r="J350" s="1">
        <v>78</v>
      </c>
      <c r="K350" s="1">
        <v>82</v>
      </c>
      <c r="L350" s="1" t="s">
        <v>14</v>
      </c>
    </row>
    <row r="351" spans="1:12" x14ac:dyDescent="0.25">
      <c r="A351" s="1" t="s">
        <v>23</v>
      </c>
      <c r="B351" s="1" t="s">
        <v>18</v>
      </c>
      <c r="C351" s="1">
        <v>2020</v>
      </c>
      <c r="D351" s="1">
        <v>26649</v>
      </c>
      <c r="E351" s="1">
        <v>14.5</v>
      </c>
      <c r="F351" s="1">
        <v>60</v>
      </c>
      <c r="G351" s="1">
        <v>1266988135</v>
      </c>
      <c r="H351" s="1">
        <v>59</v>
      </c>
      <c r="I351" s="1">
        <v>7.3</v>
      </c>
      <c r="J351" s="1">
        <v>95</v>
      </c>
      <c r="K351" s="1">
        <v>39</v>
      </c>
      <c r="L351" s="1" t="s">
        <v>18</v>
      </c>
    </row>
    <row r="352" spans="1:12" x14ac:dyDescent="0.25">
      <c r="A352" s="1" t="s">
        <v>12</v>
      </c>
      <c r="B352" s="1" t="s">
        <v>13</v>
      </c>
      <c r="C352" s="1">
        <v>2020</v>
      </c>
      <c r="D352" s="1">
        <v>40859</v>
      </c>
      <c r="E352" s="1">
        <v>4.9000000000000004</v>
      </c>
      <c r="F352" s="1">
        <v>70</v>
      </c>
      <c r="G352" s="1">
        <v>1265409244</v>
      </c>
      <c r="H352" s="1">
        <v>69</v>
      </c>
      <c r="I352" s="1">
        <v>14.4</v>
      </c>
      <c r="J352" s="1">
        <v>86</v>
      </c>
      <c r="K352" s="1">
        <v>33</v>
      </c>
      <c r="L352" s="1" t="s">
        <v>14</v>
      </c>
    </row>
    <row r="353" spans="1:12" x14ac:dyDescent="0.25">
      <c r="A353" s="1" t="s">
        <v>17</v>
      </c>
      <c r="B353" s="1" t="s">
        <v>18</v>
      </c>
      <c r="C353" s="1">
        <v>2020</v>
      </c>
      <c r="D353" s="1">
        <v>15283</v>
      </c>
      <c r="E353" s="1">
        <v>3.2</v>
      </c>
      <c r="F353" s="1">
        <v>62</v>
      </c>
      <c r="G353" s="1">
        <v>1261381907</v>
      </c>
      <c r="H353" s="1">
        <v>77</v>
      </c>
      <c r="I353" s="1">
        <v>21.8</v>
      </c>
      <c r="J353" s="1">
        <v>95</v>
      </c>
      <c r="K353" s="1">
        <v>31</v>
      </c>
      <c r="L353" s="1" t="s">
        <v>18</v>
      </c>
    </row>
    <row r="354" spans="1:12" x14ac:dyDescent="0.25">
      <c r="A354" s="1" t="s">
        <v>23</v>
      </c>
      <c r="B354" s="1" t="s">
        <v>18</v>
      </c>
      <c r="C354" s="1">
        <v>2020</v>
      </c>
      <c r="D354" s="1">
        <v>22854</v>
      </c>
      <c r="E354" s="1">
        <v>11</v>
      </c>
      <c r="F354" s="1">
        <v>84</v>
      </c>
      <c r="G354" s="1">
        <v>1247965140</v>
      </c>
      <c r="H354" s="1">
        <v>84</v>
      </c>
      <c r="I354" s="1">
        <v>2.4</v>
      </c>
      <c r="J354" s="1">
        <v>70</v>
      </c>
      <c r="K354" s="1">
        <v>75</v>
      </c>
      <c r="L354" s="1" t="s">
        <v>18</v>
      </c>
    </row>
    <row r="355" spans="1:12" x14ac:dyDescent="0.25">
      <c r="A355" s="1" t="s">
        <v>17</v>
      </c>
      <c r="B355" s="1" t="s">
        <v>18</v>
      </c>
      <c r="C355" s="1">
        <v>2020</v>
      </c>
      <c r="D355" s="1">
        <v>25129</v>
      </c>
      <c r="E355" s="1">
        <v>9.5</v>
      </c>
      <c r="F355" s="1">
        <v>69</v>
      </c>
      <c r="G355" s="1">
        <v>1244586459</v>
      </c>
      <c r="H355" s="1">
        <v>58</v>
      </c>
      <c r="I355" s="1">
        <v>21.2</v>
      </c>
      <c r="J355" s="1">
        <v>96</v>
      </c>
      <c r="K355" s="1">
        <v>59</v>
      </c>
      <c r="L355" s="1" t="s">
        <v>18</v>
      </c>
    </row>
    <row r="356" spans="1:12" x14ac:dyDescent="0.25">
      <c r="A356" s="1" t="s">
        <v>27</v>
      </c>
      <c r="B356" s="1" t="s">
        <v>22</v>
      </c>
      <c r="C356" s="1">
        <v>2020</v>
      </c>
      <c r="D356" s="1">
        <v>67116</v>
      </c>
      <c r="E356" s="1">
        <v>15.6</v>
      </c>
      <c r="F356" s="1">
        <v>72</v>
      </c>
      <c r="G356" s="1">
        <v>1227974417</v>
      </c>
      <c r="H356" s="1">
        <v>76</v>
      </c>
      <c r="I356" s="1">
        <v>7.4</v>
      </c>
      <c r="J356" s="1">
        <v>92</v>
      </c>
      <c r="K356" s="1">
        <v>86</v>
      </c>
      <c r="L356" s="1" t="s">
        <v>14</v>
      </c>
    </row>
    <row r="357" spans="1:12" x14ac:dyDescent="0.25">
      <c r="A357" s="1" t="s">
        <v>27</v>
      </c>
      <c r="B357" s="1" t="s">
        <v>22</v>
      </c>
      <c r="C357" s="1">
        <v>2020</v>
      </c>
      <c r="D357" s="1">
        <v>14242</v>
      </c>
      <c r="E357" s="1">
        <v>5</v>
      </c>
      <c r="F357" s="1">
        <v>84</v>
      </c>
      <c r="G357" s="1">
        <v>1205376478</v>
      </c>
      <c r="H357" s="1">
        <v>81</v>
      </c>
      <c r="I357" s="1">
        <v>7.1</v>
      </c>
      <c r="J357" s="1">
        <v>87</v>
      </c>
      <c r="K357" s="1">
        <v>84</v>
      </c>
      <c r="L357" s="1" t="s">
        <v>14</v>
      </c>
    </row>
    <row r="358" spans="1:12" x14ac:dyDescent="0.25">
      <c r="A358" s="1" t="s">
        <v>27</v>
      </c>
      <c r="B358" s="1" t="s">
        <v>22</v>
      </c>
      <c r="C358" s="1">
        <v>2020</v>
      </c>
      <c r="D358" s="1">
        <v>9430</v>
      </c>
      <c r="E358" s="1">
        <v>4</v>
      </c>
      <c r="F358" s="1">
        <v>83</v>
      </c>
      <c r="G358" s="1">
        <v>1189693714</v>
      </c>
      <c r="H358" s="1">
        <v>50</v>
      </c>
      <c r="I358" s="1">
        <v>24.8</v>
      </c>
      <c r="J358" s="1">
        <v>75</v>
      </c>
      <c r="K358" s="1">
        <v>74</v>
      </c>
      <c r="L358" s="1" t="s">
        <v>14</v>
      </c>
    </row>
    <row r="359" spans="1:12" x14ac:dyDescent="0.25">
      <c r="A359" s="1" t="s">
        <v>27</v>
      </c>
      <c r="B359" s="1" t="s">
        <v>22</v>
      </c>
      <c r="C359" s="1">
        <v>2020</v>
      </c>
      <c r="D359" s="1">
        <v>19002</v>
      </c>
      <c r="E359" s="1">
        <v>12.5</v>
      </c>
      <c r="F359" s="1">
        <v>74</v>
      </c>
      <c r="G359" s="1">
        <v>1176849241</v>
      </c>
      <c r="H359" s="1">
        <v>92</v>
      </c>
      <c r="I359" s="1">
        <v>14.8</v>
      </c>
      <c r="J359" s="1">
        <v>97</v>
      </c>
      <c r="K359" s="1">
        <v>32</v>
      </c>
      <c r="L359" s="1" t="s">
        <v>14</v>
      </c>
    </row>
    <row r="360" spans="1:12" x14ac:dyDescent="0.25">
      <c r="A360" s="1" t="s">
        <v>17</v>
      </c>
      <c r="B360" s="1" t="s">
        <v>18</v>
      </c>
      <c r="C360" s="1">
        <v>2020</v>
      </c>
      <c r="D360" s="1">
        <v>36010</v>
      </c>
      <c r="E360" s="1">
        <v>3.9</v>
      </c>
      <c r="F360" s="1">
        <v>75</v>
      </c>
      <c r="G360" s="1">
        <v>1174036680</v>
      </c>
      <c r="H360" s="1">
        <v>93</v>
      </c>
      <c r="I360" s="1">
        <v>15.5</v>
      </c>
      <c r="J360" s="1">
        <v>83</v>
      </c>
      <c r="K360" s="1">
        <v>67</v>
      </c>
      <c r="L360" s="1" t="s">
        <v>18</v>
      </c>
    </row>
    <row r="361" spans="1:12" x14ac:dyDescent="0.25">
      <c r="A361" s="1" t="s">
        <v>21</v>
      </c>
      <c r="B361" s="1" t="s">
        <v>22</v>
      </c>
      <c r="C361" s="1">
        <v>2020</v>
      </c>
      <c r="D361" s="1">
        <v>16623</v>
      </c>
      <c r="E361" s="1">
        <v>7.1</v>
      </c>
      <c r="F361" s="1">
        <v>63</v>
      </c>
      <c r="G361" s="1">
        <v>1153026740</v>
      </c>
      <c r="H361" s="1">
        <v>67</v>
      </c>
      <c r="I361" s="1">
        <v>18.3</v>
      </c>
      <c r="J361" s="1">
        <v>70</v>
      </c>
      <c r="K361" s="1">
        <v>60</v>
      </c>
      <c r="L361" s="1" t="s">
        <v>14</v>
      </c>
    </row>
    <row r="362" spans="1:12" x14ac:dyDescent="0.25">
      <c r="A362" s="1" t="s">
        <v>28</v>
      </c>
      <c r="B362" s="1" t="s">
        <v>29</v>
      </c>
      <c r="C362" s="1">
        <v>2020</v>
      </c>
      <c r="D362" s="1">
        <v>49580</v>
      </c>
      <c r="E362" s="1">
        <v>11.3</v>
      </c>
      <c r="F362" s="1">
        <v>65</v>
      </c>
      <c r="G362" s="1">
        <v>1150916965</v>
      </c>
      <c r="H362" s="1">
        <v>94</v>
      </c>
      <c r="I362" s="1">
        <v>7.7</v>
      </c>
      <c r="J362" s="1">
        <v>76</v>
      </c>
      <c r="K362" s="1">
        <v>65</v>
      </c>
      <c r="L362" s="1" t="s">
        <v>29</v>
      </c>
    </row>
    <row r="363" spans="1:12" x14ac:dyDescent="0.25">
      <c r="A363" s="1" t="s">
        <v>27</v>
      </c>
      <c r="B363" s="1" t="s">
        <v>22</v>
      </c>
      <c r="C363" s="1">
        <v>2020</v>
      </c>
      <c r="D363" s="1">
        <v>62496</v>
      </c>
      <c r="E363" s="1">
        <v>4.7</v>
      </c>
      <c r="F363" s="1">
        <v>76</v>
      </c>
      <c r="G363" s="1">
        <v>1143301030</v>
      </c>
      <c r="H363" s="1">
        <v>76</v>
      </c>
      <c r="I363" s="1">
        <v>24.8</v>
      </c>
      <c r="J363" s="1">
        <v>84</v>
      </c>
      <c r="K363" s="1">
        <v>64</v>
      </c>
      <c r="L363" s="1" t="s">
        <v>14</v>
      </c>
    </row>
    <row r="364" spans="1:12" x14ac:dyDescent="0.25">
      <c r="A364" s="1" t="s">
        <v>28</v>
      </c>
      <c r="B364" s="1" t="s">
        <v>29</v>
      </c>
      <c r="C364" s="1">
        <v>2020</v>
      </c>
      <c r="D364" s="1">
        <v>56144</v>
      </c>
      <c r="E364" s="1">
        <v>7.1</v>
      </c>
      <c r="F364" s="1">
        <v>70</v>
      </c>
      <c r="G364" s="1">
        <v>1136140974</v>
      </c>
      <c r="H364" s="1">
        <v>60</v>
      </c>
      <c r="I364" s="1">
        <v>8</v>
      </c>
      <c r="J364" s="1">
        <v>88</v>
      </c>
      <c r="K364" s="1">
        <v>61</v>
      </c>
      <c r="L364" s="1" t="s">
        <v>29</v>
      </c>
    </row>
    <row r="365" spans="1:12" x14ac:dyDescent="0.25">
      <c r="A365" s="1" t="s">
        <v>28</v>
      </c>
      <c r="B365" s="1" t="s">
        <v>29</v>
      </c>
      <c r="C365" s="1">
        <v>2020</v>
      </c>
      <c r="D365" s="1">
        <v>5647</v>
      </c>
      <c r="E365" s="1">
        <v>16</v>
      </c>
      <c r="F365" s="1">
        <v>81</v>
      </c>
      <c r="G365" s="1">
        <v>1128296545</v>
      </c>
      <c r="H365" s="1">
        <v>61</v>
      </c>
      <c r="I365" s="1">
        <v>4.5</v>
      </c>
      <c r="J365" s="1">
        <v>82</v>
      </c>
      <c r="K365" s="1">
        <v>35</v>
      </c>
      <c r="L365" s="1" t="s">
        <v>29</v>
      </c>
    </row>
    <row r="366" spans="1:12" x14ac:dyDescent="0.25">
      <c r="A366" s="1" t="s">
        <v>17</v>
      </c>
      <c r="B366" s="1" t="s">
        <v>18</v>
      </c>
      <c r="C366" s="1">
        <v>2020</v>
      </c>
      <c r="D366" s="1">
        <v>67637</v>
      </c>
      <c r="E366" s="1">
        <v>9.8000000000000007</v>
      </c>
      <c r="F366" s="1">
        <v>82</v>
      </c>
      <c r="G366" s="1">
        <v>1122339088</v>
      </c>
      <c r="H366" s="1">
        <v>52</v>
      </c>
      <c r="I366" s="1">
        <v>23.4</v>
      </c>
      <c r="J366" s="1">
        <v>85</v>
      </c>
      <c r="K366" s="1">
        <v>86</v>
      </c>
      <c r="L366" s="1" t="s">
        <v>18</v>
      </c>
    </row>
    <row r="367" spans="1:12" x14ac:dyDescent="0.25">
      <c r="A367" s="1" t="s">
        <v>25</v>
      </c>
      <c r="B367" s="1" t="s">
        <v>26</v>
      </c>
      <c r="C367" s="1">
        <v>2020</v>
      </c>
      <c r="D367" s="1">
        <v>9212</v>
      </c>
      <c r="E367" s="1">
        <v>8.1999999999999993</v>
      </c>
      <c r="F367" s="1">
        <v>81</v>
      </c>
      <c r="G367" s="1">
        <v>1116574399</v>
      </c>
      <c r="H367" s="1">
        <v>83</v>
      </c>
      <c r="I367" s="1">
        <v>2.4</v>
      </c>
      <c r="J367" s="1">
        <v>95</v>
      </c>
      <c r="K367" s="1">
        <v>31</v>
      </c>
      <c r="L367" s="1" t="s">
        <v>26</v>
      </c>
    </row>
    <row r="368" spans="1:12" x14ac:dyDescent="0.25">
      <c r="A368" s="1" t="s">
        <v>12</v>
      </c>
      <c r="B368" s="1" t="s">
        <v>13</v>
      </c>
      <c r="C368" s="1">
        <v>2020</v>
      </c>
      <c r="D368" s="1">
        <v>61989</v>
      </c>
      <c r="E368" s="1">
        <v>11</v>
      </c>
      <c r="F368" s="1">
        <v>73</v>
      </c>
      <c r="G368" s="1">
        <v>1102453617</v>
      </c>
      <c r="H368" s="1">
        <v>60</v>
      </c>
      <c r="I368" s="1">
        <v>21.4</v>
      </c>
      <c r="J368" s="1">
        <v>75</v>
      </c>
      <c r="K368" s="1">
        <v>64</v>
      </c>
      <c r="L368" s="1" t="s">
        <v>14</v>
      </c>
    </row>
    <row r="369" spans="1:12" x14ac:dyDescent="0.25">
      <c r="A369" s="1" t="s">
        <v>21</v>
      </c>
      <c r="B369" s="1" t="s">
        <v>22</v>
      </c>
      <c r="C369" s="1">
        <v>2020</v>
      </c>
      <c r="D369" s="1">
        <v>49810</v>
      </c>
      <c r="E369" s="1">
        <v>10.4</v>
      </c>
      <c r="F369" s="1">
        <v>73</v>
      </c>
      <c r="G369" s="1">
        <v>1099672665</v>
      </c>
      <c r="H369" s="1">
        <v>78</v>
      </c>
      <c r="I369" s="1">
        <v>9.8000000000000007</v>
      </c>
      <c r="J369" s="1">
        <v>71</v>
      </c>
      <c r="K369" s="1">
        <v>58</v>
      </c>
      <c r="L369" s="1" t="s">
        <v>14</v>
      </c>
    </row>
    <row r="370" spans="1:12" x14ac:dyDescent="0.25">
      <c r="A370" s="1" t="s">
        <v>27</v>
      </c>
      <c r="B370" s="1" t="s">
        <v>22</v>
      </c>
      <c r="C370" s="1">
        <v>2020</v>
      </c>
      <c r="D370" s="1">
        <v>29364</v>
      </c>
      <c r="E370" s="1">
        <v>14</v>
      </c>
      <c r="F370" s="1">
        <v>84</v>
      </c>
      <c r="G370" s="1">
        <v>1098239651</v>
      </c>
      <c r="H370" s="1">
        <v>51</v>
      </c>
      <c r="I370" s="1">
        <v>14.1</v>
      </c>
      <c r="J370" s="1">
        <v>91</v>
      </c>
      <c r="K370" s="1">
        <v>72</v>
      </c>
      <c r="L370" s="1" t="s">
        <v>14</v>
      </c>
    </row>
    <row r="371" spans="1:12" x14ac:dyDescent="0.25">
      <c r="A371" s="1" t="s">
        <v>12</v>
      </c>
      <c r="B371" s="1" t="s">
        <v>13</v>
      </c>
      <c r="C371" s="1">
        <v>2020</v>
      </c>
      <c r="D371" s="1">
        <v>19507</v>
      </c>
      <c r="E371" s="1">
        <v>7.3</v>
      </c>
      <c r="F371" s="1">
        <v>78</v>
      </c>
      <c r="G371" s="1">
        <v>1096584543</v>
      </c>
      <c r="H371" s="1">
        <v>76</v>
      </c>
      <c r="I371" s="1">
        <v>3.7</v>
      </c>
      <c r="J371" s="1">
        <v>77</v>
      </c>
      <c r="K371" s="1">
        <v>63</v>
      </c>
      <c r="L371" s="1" t="s">
        <v>14</v>
      </c>
    </row>
    <row r="372" spans="1:12" x14ac:dyDescent="0.25">
      <c r="A372" s="1" t="s">
        <v>28</v>
      </c>
      <c r="B372" s="1" t="s">
        <v>29</v>
      </c>
      <c r="C372" s="1">
        <v>2020</v>
      </c>
      <c r="D372" s="1">
        <v>22293</v>
      </c>
      <c r="E372" s="1">
        <v>9.1</v>
      </c>
      <c r="F372" s="1">
        <v>65</v>
      </c>
      <c r="G372" s="1">
        <v>1094174729</v>
      </c>
      <c r="H372" s="1">
        <v>67</v>
      </c>
      <c r="I372" s="1">
        <v>16.3</v>
      </c>
      <c r="J372" s="1">
        <v>79</v>
      </c>
      <c r="K372" s="1">
        <v>88</v>
      </c>
      <c r="L372" s="1" t="s">
        <v>29</v>
      </c>
    </row>
    <row r="373" spans="1:12" x14ac:dyDescent="0.25">
      <c r="A373" s="1" t="s">
        <v>23</v>
      </c>
      <c r="B373" s="1" t="s">
        <v>18</v>
      </c>
      <c r="C373" s="1">
        <v>2020</v>
      </c>
      <c r="D373" s="1">
        <v>31409</v>
      </c>
      <c r="E373" s="1">
        <v>11.3</v>
      </c>
      <c r="F373" s="1">
        <v>77</v>
      </c>
      <c r="G373" s="1">
        <v>1081171979</v>
      </c>
      <c r="H373" s="1">
        <v>52</v>
      </c>
      <c r="I373" s="1">
        <v>8.9</v>
      </c>
      <c r="J373" s="1">
        <v>80</v>
      </c>
      <c r="K373" s="1">
        <v>47</v>
      </c>
      <c r="L373" s="1" t="s">
        <v>18</v>
      </c>
    </row>
    <row r="374" spans="1:12" x14ac:dyDescent="0.25">
      <c r="A374" s="1" t="s">
        <v>27</v>
      </c>
      <c r="B374" s="1" t="s">
        <v>22</v>
      </c>
      <c r="C374" s="1">
        <v>2020</v>
      </c>
      <c r="D374" s="1">
        <v>34002</v>
      </c>
      <c r="E374" s="1">
        <v>14.4</v>
      </c>
      <c r="F374" s="1">
        <v>62</v>
      </c>
      <c r="G374" s="1">
        <v>1072320280</v>
      </c>
      <c r="H374" s="1">
        <v>76</v>
      </c>
      <c r="I374" s="1">
        <v>5.9</v>
      </c>
      <c r="J374" s="1">
        <v>95</v>
      </c>
      <c r="K374" s="1">
        <v>60</v>
      </c>
      <c r="L374" s="1" t="s">
        <v>14</v>
      </c>
    </row>
    <row r="375" spans="1:12" x14ac:dyDescent="0.25">
      <c r="A375" s="1" t="s">
        <v>15</v>
      </c>
      <c r="B375" s="1" t="s">
        <v>16</v>
      </c>
      <c r="C375" s="1">
        <v>2020</v>
      </c>
      <c r="D375" s="1">
        <v>45491</v>
      </c>
      <c r="E375" s="1">
        <v>7.4</v>
      </c>
      <c r="F375" s="1">
        <v>61</v>
      </c>
      <c r="G375" s="1">
        <v>1066551966</v>
      </c>
      <c r="H375" s="1">
        <v>76</v>
      </c>
      <c r="I375" s="1">
        <v>15.2</v>
      </c>
      <c r="J375" s="1">
        <v>86</v>
      </c>
      <c r="K375" s="1">
        <v>38</v>
      </c>
      <c r="L375" s="1" t="s">
        <v>16</v>
      </c>
    </row>
    <row r="376" spans="1:12" x14ac:dyDescent="0.25">
      <c r="A376" s="1" t="s">
        <v>17</v>
      </c>
      <c r="B376" s="1" t="s">
        <v>18</v>
      </c>
      <c r="C376" s="1">
        <v>2020</v>
      </c>
      <c r="D376" s="1">
        <v>27111</v>
      </c>
      <c r="E376" s="1">
        <v>14.4</v>
      </c>
      <c r="F376" s="1">
        <v>82</v>
      </c>
      <c r="G376" s="1">
        <v>1059301565</v>
      </c>
      <c r="H376" s="1">
        <v>53</v>
      </c>
      <c r="I376" s="1">
        <v>5.0999999999999996</v>
      </c>
      <c r="J376" s="1">
        <v>97</v>
      </c>
      <c r="K376" s="1">
        <v>53</v>
      </c>
      <c r="L376" s="1" t="s">
        <v>18</v>
      </c>
    </row>
    <row r="377" spans="1:12" x14ac:dyDescent="0.25">
      <c r="A377" s="1" t="s">
        <v>24</v>
      </c>
      <c r="B377" s="1" t="s">
        <v>16</v>
      </c>
      <c r="C377" s="1">
        <v>2020</v>
      </c>
      <c r="D377" s="1">
        <v>33608</v>
      </c>
      <c r="E377" s="1">
        <v>9.6999999999999993</v>
      </c>
      <c r="F377" s="1">
        <v>69</v>
      </c>
      <c r="G377" s="1">
        <v>1058080092</v>
      </c>
      <c r="H377" s="1">
        <v>78</v>
      </c>
      <c r="I377" s="1">
        <v>14</v>
      </c>
      <c r="J377" s="1">
        <v>72</v>
      </c>
      <c r="K377" s="1">
        <v>53</v>
      </c>
      <c r="L377" s="1" t="s">
        <v>16</v>
      </c>
    </row>
    <row r="378" spans="1:12" x14ac:dyDescent="0.25">
      <c r="A378" s="1" t="s">
        <v>24</v>
      </c>
      <c r="B378" s="1" t="s">
        <v>16</v>
      </c>
      <c r="C378" s="1">
        <v>2020</v>
      </c>
      <c r="D378" s="1">
        <v>69528</v>
      </c>
      <c r="E378" s="1">
        <v>5.9</v>
      </c>
      <c r="F378" s="1">
        <v>75</v>
      </c>
      <c r="G378" s="1">
        <v>1043953467</v>
      </c>
      <c r="H378" s="1">
        <v>88</v>
      </c>
      <c r="I378" s="1">
        <v>19.100000000000001</v>
      </c>
      <c r="J378" s="1">
        <v>100</v>
      </c>
      <c r="K378" s="1">
        <v>46</v>
      </c>
      <c r="L378" s="1" t="s">
        <v>16</v>
      </c>
    </row>
    <row r="379" spans="1:12" x14ac:dyDescent="0.25">
      <c r="A379" s="1" t="s">
        <v>15</v>
      </c>
      <c r="B379" s="1" t="s">
        <v>16</v>
      </c>
      <c r="C379" s="1">
        <v>2020</v>
      </c>
      <c r="D379" s="1">
        <v>25811</v>
      </c>
      <c r="E379" s="1">
        <v>5.2</v>
      </c>
      <c r="F379" s="1">
        <v>61</v>
      </c>
      <c r="G379" s="1">
        <v>1040959128</v>
      </c>
      <c r="H379" s="1">
        <v>72</v>
      </c>
      <c r="I379" s="1">
        <v>19.3</v>
      </c>
      <c r="J379" s="1">
        <v>70</v>
      </c>
      <c r="K379" s="1">
        <v>85</v>
      </c>
      <c r="L379" s="1" t="s">
        <v>16</v>
      </c>
    </row>
    <row r="380" spans="1:12" x14ac:dyDescent="0.25">
      <c r="A380" s="1" t="s">
        <v>12</v>
      </c>
      <c r="B380" s="1" t="s">
        <v>13</v>
      </c>
      <c r="C380" s="1">
        <v>2020</v>
      </c>
      <c r="D380" s="1">
        <v>44970</v>
      </c>
      <c r="E380" s="1">
        <v>5.7</v>
      </c>
      <c r="F380" s="1">
        <v>71</v>
      </c>
      <c r="G380" s="1">
        <v>1040378217</v>
      </c>
      <c r="H380" s="1">
        <v>76</v>
      </c>
      <c r="I380" s="1">
        <v>12.6</v>
      </c>
      <c r="J380" s="1">
        <v>98</v>
      </c>
      <c r="K380" s="1">
        <v>37</v>
      </c>
      <c r="L380" s="1" t="s">
        <v>14</v>
      </c>
    </row>
    <row r="381" spans="1:12" x14ac:dyDescent="0.25">
      <c r="A381" s="1" t="s">
        <v>21</v>
      </c>
      <c r="B381" s="1" t="s">
        <v>22</v>
      </c>
      <c r="C381" s="1">
        <v>2020</v>
      </c>
      <c r="D381" s="1">
        <v>17879</v>
      </c>
      <c r="E381" s="1">
        <v>10.5</v>
      </c>
      <c r="F381" s="1">
        <v>61</v>
      </c>
      <c r="G381" s="1">
        <v>1022788930</v>
      </c>
      <c r="H381" s="1">
        <v>60</v>
      </c>
      <c r="I381" s="1">
        <v>18.2</v>
      </c>
      <c r="J381" s="1">
        <v>82</v>
      </c>
      <c r="K381" s="1">
        <v>89</v>
      </c>
      <c r="L381" s="1" t="s">
        <v>14</v>
      </c>
    </row>
    <row r="382" spans="1:12" x14ac:dyDescent="0.25">
      <c r="A382" s="1" t="s">
        <v>24</v>
      </c>
      <c r="B382" s="1" t="s">
        <v>16</v>
      </c>
      <c r="C382" s="1">
        <v>2020</v>
      </c>
      <c r="D382" s="1">
        <v>63160</v>
      </c>
      <c r="E382" s="1">
        <v>12.3</v>
      </c>
      <c r="F382" s="1">
        <v>83</v>
      </c>
      <c r="G382" s="1">
        <v>1020747967</v>
      </c>
      <c r="H382" s="1">
        <v>63</v>
      </c>
      <c r="I382" s="1">
        <v>10.3</v>
      </c>
      <c r="J382" s="1">
        <v>79</v>
      </c>
      <c r="K382" s="1">
        <v>66</v>
      </c>
      <c r="L382" s="1" t="s">
        <v>16</v>
      </c>
    </row>
    <row r="383" spans="1:12" x14ac:dyDescent="0.25">
      <c r="A383" s="1" t="s">
        <v>23</v>
      </c>
      <c r="B383" s="1" t="s">
        <v>18</v>
      </c>
      <c r="C383" s="1">
        <v>2020</v>
      </c>
      <c r="D383" s="1">
        <v>59393</v>
      </c>
      <c r="E383" s="1">
        <v>6.9</v>
      </c>
      <c r="F383" s="1">
        <v>64</v>
      </c>
      <c r="G383" s="1">
        <v>1018071697</v>
      </c>
      <c r="H383" s="1">
        <v>93</v>
      </c>
      <c r="I383" s="1">
        <v>24.4</v>
      </c>
      <c r="J383" s="1">
        <v>91</v>
      </c>
      <c r="K383" s="1">
        <v>57</v>
      </c>
      <c r="L383" s="1" t="s">
        <v>18</v>
      </c>
    </row>
    <row r="384" spans="1:12" x14ac:dyDescent="0.25">
      <c r="A384" s="1" t="s">
        <v>24</v>
      </c>
      <c r="B384" s="1" t="s">
        <v>16</v>
      </c>
      <c r="C384" s="1">
        <v>2020</v>
      </c>
      <c r="D384" s="1">
        <v>33558</v>
      </c>
      <c r="E384" s="1">
        <v>8.6999999999999993</v>
      </c>
      <c r="F384" s="1">
        <v>74</v>
      </c>
      <c r="G384" s="1">
        <v>1014884760</v>
      </c>
      <c r="H384" s="1">
        <v>58</v>
      </c>
      <c r="I384" s="1">
        <v>21.6</v>
      </c>
      <c r="J384" s="1">
        <v>74</v>
      </c>
      <c r="K384" s="1">
        <v>62</v>
      </c>
      <c r="L384" s="1" t="s">
        <v>16</v>
      </c>
    </row>
    <row r="385" spans="1:12" x14ac:dyDescent="0.25">
      <c r="A385" s="1" t="s">
        <v>25</v>
      </c>
      <c r="B385" s="1" t="s">
        <v>26</v>
      </c>
      <c r="C385" s="1">
        <v>2020</v>
      </c>
      <c r="D385" s="1">
        <v>10570</v>
      </c>
      <c r="E385" s="1">
        <v>3.6</v>
      </c>
      <c r="F385" s="1">
        <v>65</v>
      </c>
      <c r="G385" s="1">
        <v>997939555</v>
      </c>
      <c r="H385" s="1">
        <v>91</v>
      </c>
      <c r="I385" s="1">
        <v>20.9</v>
      </c>
      <c r="J385" s="1">
        <v>75</v>
      </c>
      <c r="K385" s="1">
        <v>56</v>
      </c>
      <c r="L385" s="1" t="s">
        <v>26</v>
      </c>
    </row>
    <row r="386" spans="1:12" x14ac:dyDescent="0.25">
      <c r="A386" s="1" t="s">
        <v>25</v>
      </c>
      <c r="B386" s="1" t="s">
        <v>26</v>
      </c>
      <c r="C386" s="1">
        <v>2020</v>
      </c>
      <c r="D386" s="1">
        <v>33504</v>
      </c>
      <c r="E386" s="1">
        <v>9.9</v>
      </c>
      <c r="F386" s="1">
        <v>71</v>
      </c>
      <c r="G386" s="1">
        <v>997430905</v>
      </c>
      <c r="H386" s="1">
        <v>84</v>
      </c>
      <c r="I386" s="1">
        <v>6.4</v>
      </c>
      <c r="J386" s="1">
        <v>96</v>
      </c>
      <c r="K386" s="1">
        <v>64</v>
      </c>
      <c r="L386" s="1" t="s">
        <v>26</v>
      </c>
    </row>
    <row r="387" spans="1:12" x14ac:dyDescent="0.25">
      <c r="A387" s="1" t="s">
        <v>15</v>
      </c>
      <c r="B387" s="1" t="s">
        <v>16</v>
      </c>
      <c r="C387" s="1">
        <v>2020</v>
      </c>
      <c r="D387" s="1">
        <v>58516</v>
      </c>
      <c r="E387" s="1">
        <v>7.2</v>
      </c>
      <c r="F387" s="1">
        <v>76</v>
      </c>
      <c r="G387" s="1">
        <v>982998397</v>
      </c>
      <c r="H387" s="1">
        <v>54</v>
      </c>
      <c r="I387" s="1">
        <v>17.899999999999999</v>
      </c>
      <c r="J387" s="1">
        <v>100</v>
      </c>
      <c r="K387" s="1">
        <v>78</v>
      </c>
      <c r="L387" s="1" t="s">
        <v>16</v>
      </c>
    </row>
    <row r="388" spans="1:12" x14ac:dyDescent="0.25">
      <c r="A388" s="1" t="s">
        <v>19</v>
      </c>
      <c r="B388" s="1" t="s">
        <v>20</v>
      </c>
      <c r="C388" s="1">
        <v>2020</v>
      </c>
      <c r="D388" s="1">
        <v>66826</v>
      </c>
      <c r="E388" s="1">
        <v>12.2</v>
      </c>
      <c r="F388" s="1">
        <v>76</v>
      </c>
      <c r="G388" s="1">
        <v>977544151</v>
      </c>
      <c r="H388" s="1">
        <v>63</v>
      </c>
      <c r="I388" s="1">
        <v>17</v>
      </c>
      <c r="J388" s="1">
        <v>84</v>
      </c>
      <c r="K388" s="1">
        <v>51</v>
      </c>
      <c r="L388" s="1" t="s">
        <v>20</v>
      </c>
    </row>
    <row r="389" spans="1:12" x14ac:dyDescent="0.25">
      <c r="A389" s="1" t="s">
        <v>15</v>
      </c>
      <c r="B389" s="1" t="s">
        <v>16</v>
      </c>
      <c r="C389" s="1">
        <v>2020</v>
      </c>
      <c r="D389" s="1">
        <v>48486</v>
      </c>
      <c r="E389" s="1">
        <v>5</v>
      </c>
      <c r="F389" s="1">
        <v>62</v>
      </c>
      <c r="G389" s="1">
        <v>963163747</v>
      </c>
      <c r="H389" s="1">
        <v>50</v>
      </c>
      <c r="I389" s="1">
        <v>6.8</v>
      </c>
      <c r="J389" s="1">
        <v>86</v>
      </c>
      <c r="K389" s="1">
        <v>85</v>
      </c>
      <c r="L389" s="1" t="s">
        <v>16</v>
      </c>
    </row>
    <row r="390" spans="1:12" x14ac:dyDescent="0.25">
      <c r="A390" s="1" t="s">
        <v>21</v>
      </c>
      <c r="B390" s="1" t="s">
        <v>22</v>
      </c>
      <c r="C390" s="1">
        <v>2020</v>
      </c>
      <c r="D390" s="1">
        <v>3463</v>
      </c>
      <c r="E390" s="1">
        <v>13.1</v>
      </c>
      <c r="F390" s="1">
        <v>71</v>
      </c>
      <c r="G390" s="1">
        <v>961353170</v>
      </c>
      <c r="H390" s="1">
        <v>54</v>
      </c>
      <c r="I390" s="1">
        <v>19.2</v>
      </c>
      <c r="J390" s="1">
        <v>79</v>
      </c>
      <c r="K390" s="1">
        <v>53</v>
      </c>
      <c r="L390" s="1" t="s">
        <v>14</v>
      </c>
    </row>
    <row r="391" spans="1:12" x14ac:dyDescent="0.25">
      <c r="A391" s="1" t="s">
        <v>24</v>
      </c>
      <c r="B391" s="1" t="s">
        <v>16</v>
      </c>
      <c r="C391" s="1">
        <v>2020</v>
      </c>
      <c r="D391" s="1">
        <v>20070</v>
      </c>
      <c r="E391" s="1">
        <v>11.9</v>
      </c>
      <c r="F391" s="1">
        <v>72</v>
      </c>
      <c r="G391" s="1">
        <v>936085937</v>
      </c>
      <c r="H391" s="1">
        <v>80</v>
      </c>
      <c r="I391" s="1">
        <v>14.2</v>
      </c>
      <c r="J391" s="1">
        <v>98</v>
      </c>
      <c r="K391" s="1">
        <v>66</v>
      </c>
      <c r="L391" s="1" t="s">
        <v>16</v>
      </c>
    </row>
    <row r="392" spans="1:12" x14ac:dyDescent="0.25">
      <c r="A392" s="1" t="s">
        <v>24</v>
      </c>
      <c r="B392" s="1" t="s">
        <v>16</v>
      </c>
      <c r="C392" s="1">
        <v>2020</v>
      </c>
      <c r="D392" s="1">
        <v>29118</v>
      </c>
      <c r="E392" s="1">
        <v>9.6999999999999993</v>
      </c>
      <c r="F392" s="1">
        <v>75</v>
      </c>
      <c r="G392" s="1">
        <v>918107039</v>
      </c>
      <c r="H392" s="1">
        <v>69</v>
      </c>
      <c r="I392" s="1">
        <v>8.3000000000000007</v>
      </c>
      <c r="J392" s="1">
        <v>80</v>
      </c>
      <c r="K392" s="1">
        <v>70</v>
      </c>
      <c r="L392" s="1" t="s">
        <v>16</v>
      </c>
    </row>
    <row r="393" spans="1:12" x14ac:dyDescent="0.25">
      <c r="A393" s="1" t="s">
        <v>17</v>
      </c>
      <c r="B393" s="1" t="s">
        <v>18</v>
      </c>
      <c r="C393" s="1">
        <v>2020</v>
      </c>
      <c r="D393" s="1">
        <v>14552</v>
      </c>
      <c r="E393" s="1">
        <v>16.7</v>
      </c>
      <c r="F393" s="1">
        <v>76</v>
      </c>
      <c r="G393" s="1">
        <v>916954073</v>
      </c>
      <c r="H393" s="1">
        <v>70</v>
      </c>
      <c r="I393" s="1">
        <v>7.9</v>
      </c>
      <c r="J393" s="1">
        <v>77</v>
      </c>
      <c r="K393" s="1">
        <v>49</v>
      </c>
      <c r="L393" s="1" t="s">
        <v>18</v>
      </c>
    </row>
    <row r="394" spans="1:12" x14ac:dyDescent="0.25">
      <c r="A394" s="1" t="s">
        <v>19</v>
      </c>
      <c r="B394" s="1" t="s">
        <v>20</v>
      </c>
      <c r="C394" s="1">
        <v>2020</v>
      </c>
      <c r="D394" s="1">
        <v>49753</v>
      </c>
      <c r="E394" s="1">
        <v>8</v>
      </c>
      <c r="F394" s="1">
        <v>69</v>
      </c>
      <c r="G394" s="1">
        <v>912188017</v>
      </c>
      <c r="H394" s="1">
        <v>78</v>
      </c>
      <c r="I394" s="1">
        <v>10.1</v>
      </c>
      <c r="J394" s="1">
        <v>91</v>
      </c>
      <c r="K394" s="1">
        <v>59</v>
      </c>
      <c r="L394" s="1" t="s">
        <v>20</v>
      </c>
    </row>
    <row r="395" spans="1:12" x14ac:dyDescent="0.25">
      <c r="A395" s="1" t="s">
        <v>12</v>
      </c>
      <c r="B395" s="1" t="s">
        <v>13</v>
      </c>
      <c r="C395" s="1">
        <v>2020</v>
      </c>
      <c r="D395" s="1">
        <v>16565</v>
      </c>
      <c r="E395" s="1">
        <v>4.5</v>
      </c>
      <c r="F395" s="1">
        <v>80</v>
      </c>
      <c r="G395" s="1">
        <v>906211892</v>
      </c>
      <c r="H395" s="1">
        <v>66</v>
      </c>
      <c r="I395" s="1">
        <v>16.2</v>
      </c>
      <c r="J395" s="1">
        <v>98</v>
      </c>
      <c r="K395" s="1">
        <v>78</v>
      </c>
      <c r="L395" s="1" t="s">
        <v>14</v>
      </c>
    </row>
    <row r="396" spans="1:12" x14ac:dyDescent="0.25">
      <c r="A396" s="1" t="s">
        <v>12</v>
      </c>
      <c r="B396" s="1" t="s">
        <v>13</v>
      </c>
      <c r="C396" s="1">
        <v>2020</v>
      </c>
      <c r="D396" s="1">
        <v>66065</v>
      </c>
      <c r="E396" s="1">
        <v>6</v>
      </c>
      <c r="F396" s="1">
        <v>69</v>
      </c>
      <c r="G396" s="1">
        <v>906207894</v>
      </c>
      <c r="H396" s="1">
        <v>88</v>
      </c>
      <c r="I396" s="1">
        <v>9.1</v>
      </c>
      <c r="J396" s="1">
        <v>70</v>
      </c>
      <c r="K396" s="1">
        <v>79</v>
      </c>
      <c r="L396" s="1" t="s">
        <v>14</v>
      </c>
    </row>
    <row r="397" spans="1:12" x14ac:dyDescent="0.25">
      <c r="A397" s="1" t="s">
        <v>19</v>
      </c>
      <c r="B397" s="1" t="s">
        <v>20</v>
      </c>
      <c r="C397" s="1">
        <v>2020</v>
      </c>
      <c r="D397" s="1">
        <v>5969</v>
      </c>
      <c r="E397" s="1">
        <v>7.6</v>
      </c>
      <c r="F397" s="1">
        <v>66</v>
      </c>
      <c r="G397" s="1">
        <v>900636370</v>
      </c>
      <c r="H397" s="1">
        <v>62</v>
      </c>
      <c r="I397" s="1">
        <v>4.2</v>
      </c>
      <c r="J397" s="1">
        <v>72</v>
      </c>
      <c r="K397" s="1">
        <v>50</v>
      </c>
      <c r="L397" s="1" t="s">
        <v>20</v>
      </c>
    </row>
    <row r="398" spans="1:12" x14ac:dyDescent="0.25">
      <c r="A398" s="1" t="s">
        <v>24</v>
      </c>
      <c r="B398" s="1" t="s">
        <v>16</v>
      </c>
      <c r="C398" s="1">
        <v>2020</v>
      </c>
      <c r="D398" s="1">
        <v>53818</v>
      </c>
      <c r="E398" s="1">
        <v>7.6</v>
      </c>
      <c r="F398" s="1">
        <v>63</v>
      </c>
      <c r="G398" s="1">
        <v>898957493</v>
      </c>
      <c r="H398" s="1">
        <v>60</v>
      </c>
      <c r="I398" s="1">
        <v>15.4</v>
      </c>
      <c r="J398" s="1">
        <v>71</v>
      </c>
      <c r="K398" s="1">
        <v>76</v>
      </c>
      <c r="L398" s="1" t="s">
        <v>16</v>
      </c>
    </row>
    <row r="399" spans="1:12" x14ac:dyDescent="0.25">
      <c r="A399" s="1" t="s">
        <v>17</v>
      </c>
      <c r="B399" s="1" t="s">
        <v>18</v>
      </c>
      <c r="C399" s="1">
        <v>2020</v>
      </c>
      <c r="D399" s="1">
        <v>66912</v>
      </c>
      <c r="E399" s="1">
        <v>14</v>
      </c>
      <c r="F399" s="1">
        <v>70</v>
      </c>
      <c r="G399" s="1">
        <v>893992750</v>
      </c>
      <c r="H399" s="1">
        <v>58</v>
      </c>
      <c r="I399" s="1">
        <v>3.6</v>
      </c>
      <c r="J399" s="1">
        <v>94</v>
      </c>
      <c r="K399" s="1">
        <v>58</v>
      </c>
      <c r="L399" s="1" t="s">
        <v>18</v>
      </c>
    </row>
    <row r="400" spans="1:12" x14ac:dyDescent="0.25">
      <c r="A400" s="1" t="s">
        <v>25</v>
      </c>
      <c r="B400" s="1" t="s">
        <v>26</v>
      </c>
      <c r="C400" s="1">
        <v>2020</v>
      </c>
      <c r="D400" s="1">
        <v>45313</v>
      </c>
      <c r="E400" s="1">
        <v>3.6</v>
      </c>
      <c r="F400" s="1">
        <v>77</v>
      </c>
      <c r="G400" s="1">
        <v>880496248</v>
      </c>
      <c r="H400" s="1">
        <v>86</v>
      </c>
      <c r="I400" s="1">
        <v>20.9</v>
      </c>
      <c r="J400" s="1">
        <v>82</v>
      </c>
      <c r="K400" s="1">
        <v>35</v>
      </c>
      <c r="L400" s="1" t="s">
        <v>26</v>
      </c>
    </row>
    <row r="401" spans="1:12" x14ac:dyDescent="0.25">
      <c r="A401" s="1" t="s">
        <v>28</v>
      </c>
      <c r="B401" s="1" t="s">
        <v>29</v>
      </c>
      <c r="C401" s="1">
        <v>2020</v>
      </c>
      <c r="D401" s="1">
        <v>19879</v>
      </c>
      <c r="E401" s="1">
        <v>10.5</v>
      </c>
      <c r="F401" s="1">
        <v>66</v>
      </c>
      <c r="G401" s="1">
        <v>876409362</v>
      </c>
      <c r="H401" s="1">
        <v>90</v>
      </c>
      <c r="I401" s="1">
        <v>23.3</v>
      </c>
      <c r="J401" s="1">
        <v>79</v>
      </c>
      <c r="K401" s="1">
        <v>70</v>
      </c>
      <c r="L401" s="1" t="s">
        <v>29</v>
      </c>
    </row>
    <row r="402" spans="1:12" x14ac:dyDescent="0.25">
      <c r="A402" s="1" t="s">
        <v>12</v>
      </c>
      <c r="B402" s="1" t="s">
        <v>13</v>
      </c>
      <c r="C402" s="1">
        <v>2020</v>
      </c>
      <c r="D402" s="1">
        <v>23478</v>
      </c>
      <c r="E402" s="1">
        <v>8.5</v>
      </c>
      <c r="F402" s="1">
        <v>64</v>
      </c>
      <c r="G402" s="1">
        <v>856670434</v>
      </c>
      <c r="H402" s="1">
        <v>69</v>
      </c>
      <c r="I402" s="1">
        <v>15.8</v>
      </c>
      <c r="J402" s="1">
        <v>75</v>
      </c>
      <c r="K402" s="1">
        <v>69</v>
      </c>
      <c r="L402" s="1" t="s">
        <v>14</v>
      </c>
    </row>
    <row r="403" spans="1:12" x14ac:dyDescent="0.25">
      <c r="A403" s="1" t="s">
        <v>28</v>
      </c>
      <c r="B403" s="1" t="s">
        <v>29</v>
      </c>
      <c r="C403" s="1">
        <v>2020</v>
      </c>
      <c r="D403" s="1">
        <v>50244</v>
      </c>
      <c r="E403" s="1">
        <v>16.8</v>
      </c>
      <c r="F403" s="1">
        <v>60</v>
      </c>
      <c r="G403" s="1">
        <v>848454583</v>
      </c>
      <c r="H403" s="1">
        <v>61</v>
      </c>
      <c r="I403" s="1">
        <v>20.399999999999999</v>
      </c>
      <c r="J403" s="1">
        <v>77</v>
      </c>
      <c r="K403" s="1">
        <v>31</v>
      </c>
      <c r="L403" s="1" t="s">
        <v>29</v>
      </c>
    </row>
    <row r="404" spans="1:12" x14ac:dyDescent="0.25">
      <c r="A404" s="1" t="s">
        <v>17</v>
      </c>
      <c r="B404" s="1" t="s">
        <v>18</v>
      </c>
      <c r="C404" s="1">
        <v>2020</v>
      </c>
      <c r="D404" s="1">
        <v>62631</v>
      </c>
      <c r="E404" s="1">
        <v>3.4</v>
      </c>
      <c r="F404" s="1">
        <v>74</v>
      </c>
      <c r="G404" s="1">
        <v>845115978</v>
      </c>
      <c r="H404" s="1">
        <v>65</v>
      </c>
      <c r="I404" s="1">
        <v>20.5</v>
      </c>
      <c r="J404" s="1">
        <v>84</v>
      </c>
      <c r="K404" s="1">
        <v>82</v>
      </c>
      <c r="L404" s="1" t="s">
        <v>18</v>
      </c>
    </row>
    <row r="405" spans="1:12" x14ac:dyDescent="0.25">
      <c r="A405" s="1" t="s">
        <v>23</v>
      </c>
      <c r="B405" s="1" t="s">
        <v>18</v>
      </c>
      <c r="C405" s="1">
        <v>2020</v>
      </c>
      <c r="D405" s="1">
        <v>69721</v>
      </c>
      <c r="E405" s="1">
        <v>15.7</v>
      </c>
      <c r="F405" s="1">
        <v>66</v>
      </c>
      <c r="G405" s="1">
        <v>833608980</v>
      </c>
      <c r="H405" s="1">
        <v>77</v>
      </c>
      <c r="I405" s="1">
        <v>21.7</v>
      </c>
      <c r="J405" s="1">
        <v>98</v>
      </c>
      <c r="K405" s="1">
        <v>86</v>
      </c>
      <c r="L405" s="1" t="s">
        <v>18</v>
      </c>
    </row>
    <row r="406" spans="1:12" x14ac:dyDescent="0.25">
      <c r="A406" s="1" t="s">
        <v>15</v>
      </c>
      <c r="B406" s="1" t="s">
        <v>16</v>
      </c>
      <c r="C406" s="1">
        <v>2020</v>
      </c>
      <c r="D406" s="1">
        <v>20949</v>
      </c>
      <c r="E406" s="1">
        <v>16.2</v>
      </c>
      <c r="F406" s="1">
        <v>75</v>
      </c>
      <c r="G406" s="1">
        <v>830554157</v>
      </c>
      <c r="H406" s="1">
        <v>94</v>
      </c>
      <c r="I406" s="1">
        <v>11.5</v>
      </c>
      <c r="J406" s="1">
        <v>76</v>
      </c>
      <c r="K406" s="1">
        <v>84</v>
      </c>
      <c r="L406" s="1" t="s">
        <v>16</v>
      </c>
    </row>
    <row r="407" spans="1:12" x14ac:dyDescent="0.25">
      <c r="A407" s="1" t="s">
        <v>19</v>
      </c>
      <c r="B407" s="1" t="s">
        <v>20</v>
      </c>
      <c r="C407" s="1">
        <v>2020</v>
      </c>
      <c r="D407" s="1">
        <v>32588</v>
      </c>
      <c r="E407" s="1">
        <v>5.8</v>
      </c>
      <c r="F407" s="1">
        <v>61</v>
      </c>
      <c r="G407" s="1">
        <v>827223739</v>
      </c>
      <c r="H407" s="1">
        <v>59</v>
      </c>
      <c r="I407" s="1">
        <v>19.399999999999999</v>
      </c>
      <c r="J407" s="1">
        <v>73</v>
      </c>
      <c r="K407" s="1">
        <v>47</v>
      </c>
      <c r="L407" s="1" t="s">
        <v>20</v>
      </c>
    </row>
    <row r="408" spans="1:12" x14ac:dyDescent="0.25">
      <c r="A408" s="1" t="s">
        <v>21</v>
      </c>
      <c r="B408" s="1" t="s">
        <v>22</v>
      </c>
      <c r="C408" s="1">
        <v>2020</v>
      </c>
      <c r="D408" s="1">
        <v>14361</v>
      </c>
      <c r="E408" s="1">
        <v>15.8</v>
      </c>
      <c r="F408" s="1">
        <v>75</v>
      </c>
      <c r="G408" s="1">
        <v>826168098</v>
      </c>
      <c r="H408" s="1">
        <v>61</v>
      </c>
      <c r="I408" s="1">
        <v>17.399999999999999</v>
      </c>
      <c r="J408" s="1">
        <v>74</v>
      </c>
      <c r="K408" s="1">
        <v>77</v>
      </c>
      <c r="L408" s="1" t="s">
        <v>14</v>
      </c>
    </row>
    <row r="409" spans="1:12" x14ac:dyDescent="0.25">
      <c r="A409" s="1" t="s">
        <v>15</v>
      </c>
      <c r="B409" s="1" t="s">
        <v>16</v>
      </c>
      <c r="C409" s="1">
        <v>2020</v>
      </c>
      <c r="D409" s="1">
        <v>57055</v>
      </c>
      <c r="E409" s="1">
        <v>12.4</v>
      </c>
      <c r="F409" s="1">
        <v>63</v>
      </c>
      <c r="G409" s="1">
        <v>825895517</v>
      </c>
      <c r="H409" s="1">
        <v>76</v>
      </c>
      <c r="I409" s="1">
        <v>20.2</v>
      </c>
      <c r="J409" s="1">
        <v>86</v>
      </c>
      <c r="K409" s="1">
        <v>65</v>
      </c>
      <c r="L409" s="1" t="s">
        <v>16</v>
      </c>
    </row>
    <row r="410" spans="1:12" x14ac:dyDescent="0.25">
      <c r="A410" s="1" t="s">
        <v>27</v>
      </c>
      <c r="B410" s="1" t="s">
        <v>22</v>
      </c>
      <c r="C410" s="1">
        <v>2020</v>
      </c>
      <c r="D410" s="1">
        <v>13090</v>
      </c>
      <c r="E410" s="1">
        <v>12.9</v>
      </c>
      <c r="F410" s="1">
        <v>62</v>
      </c>
      <c r="G410" s="1">
        <v>805568777</v>
      </c>
      <c r="H410" s="1">
        <v>69</v>
      </c>
      <c r="I410" s="1">
        <v>13</v>
      </c>
      <c r="J410" s="1">
        <v>70</v>
      </c>
      <c r="K410" s="1">
        <v>33</v>
      </c>
      <c r="L410" s="1" t="s">
        <v>14</v>
      </c>
    </row>
    <row r="411" spans="1:12" x14ac:dyDescent="0.25">
      <c r="A411" s="1" t="s">
        <v>24</v>
      </c>
      <c r="B411" s="1" t="s">
        <v>16</v>
      </c>
      <c r="C411" s="1">
        <v>2020</v>
      </c>
      <c r="D411" s="1">
        <v>64203</v>
      </c>
      <c r="E411" s="1">
        <v>9.1999999999999993</v>
      </c>
      <c r="F411" s="1">
        <v>62</v>
      </c>
      <c r="G411" s="1">
        <v>804347792</v>
      </c>
      <c r="H411" s="1">
        <v>58</v>
      </c>
      <c r="I411" s="1">
        <v>6.9</v>
      </c>
      <c r="J411" s="1">
        <v>75</v>
      </c>
      <c r="K411" s="1">
        <v>45</v>
      </c>
      <c r="L411" s="1" t="s">
        <v>16</v>
      </c>
    </row>
    <row r="412" spans="1:12" x14ac:dyDescent="0.25">
      <c r="A412" s="1" t="s">
        <v>28</v>
      </c>
      <c r="B412" s="1" t="s">
        <v>29</v>
      </c>
      <c r="C412" s="1">
        <v>2020</v>
      </c>
      <c r="D412" s="1">
        <v>54686</v>
      </c>
      <c r="E412" s="1">
        <v>4</v>
      </c>
      <c r="F412" s="1">
        <v>84</v>
      </c>
      <c r="G412" s="1">
        <v>785066722</v>
      </c>
      <c r="H412" s="1">
        <v>60</v>
      </c>
      <c r="I412" s="1">
        <v>24.6</v>
      </c>
      <c r="J412" s="1">
        <v>81</v>
      </c>
      <c r="K412" s="1">
        <v>37</v>
      </c>
      <c r="L412" s="1" t="s">
        <v>29</v>
      </c>
    </row>
    <row r="413" spans="1:12" x14ac:dyDescent="0.25">
      <c r="A413" s="1" t="s">
        <v>23</v>
      </c>
      <c r="B413" s="1" t="s">
        <v>18</v>
      </c>
      <c r="C413" s="1">
        <v>2020</v>
      </c>
      <c r="D413" s="1">
        <v>6442</v>
      </c>
      <c r="E413" s="1">
        <v>16.899999999999999</v>
      </c>
      <c r="F413" s="1">
        <v>85</v>
      </c>
      <c r="G413" s="1">
        <v>778481685</v>
      </c>
      <c r="H413" s="1">
        <v>82</v>
      </c>
      <c r="I413" s="1">
        <v>5</v>
      </c>
      <c r="J413" s="1">
        <v>72</v>
      </c>
      <c r="K413" s="1">
        <v>52</v>
      </c>
      <c r="L413" s="1" t="s">
        <v>18</v>
      </c>
    </row>
    <row r="414" spans="1:12" x14ac:dyDescent="0.25">
      <c r="A414" s="1" t="s">
        <v>17</v>
      </c>
      <c r="B414" s="1" t="s">
        <v>18</v>
      </c>
      <c r="C414" s="1">
        <v>2020</v>
      </c>
      <c r="D414" s="1">
        <v>44913</v>
      </c>
      <c r="E414" s="1">
        <v>15.5</v>
      </c>
      <c r="F414" s="1">
        <v>71</v>
      </c>
      <c r="G414" s="1">
        <v>768731173</v>
      </c>
      <c r="H414" s="1">
        <v>57</v>
      </c>
      <c r="I414" s="1">
        <v>9.9</v>
      </c>
      <c r="J414" s="1">
        <v>79</v>
      </c>
      <c r="K414" s="1">
        <v>44</v>
      </c>
      <c r="L414" s="1" t="s">
        <v>18</v>
      </c>
    </row>
    <row r="415" spans="1:12" x14ac:dyDescent="0.25">
      <c r="A415" s="1" t="s">
        <v>12</v>
      </c>
      <c r="B415" s="1" t="s">
        <v>13</v>
      </c>
      <c r="C415" s="1">
        <v>2020</v>
      </c>
      <c r="D415" s="1">
        <v>43675</v>
      </c>
      <c r="E415" s="1">
        <v>5.7</v>
      </c>
      <c r="F415" s="1">
        <v>62</v>
      </c>
      <c r="G415" s="1">
        <v>762571734</v>
      </c>
      <c r="H415" s="1">
        <v>75</v>
      </c>
      <c r="I415" s="1">
        <v>5.9</v>
      </c>
      <c r="J415" s="1">
        <v>87</v>
      </c>
      <c r="K415" s="1">
        <v>39</v>
      </c>
      <c r="L415" s="1" t="s">
        <v>14</v>
      </c>
    </row>
    <row r="416" spans="1:12" x14ac:dyDescent="0.25">
      <c r="A416" s="1" t="s">
        <v>21</v>
      </c>
      <c r="B416" s="1" t="s">
        <v>22</v>
      </c>
      <c r="C416" s="1">
        <v>2020</v>
      </c>
      <c r="D416" s="1">
        <v>61427</v>
      </c>
      <c r="E416" s="1">
        <v>12.9</v>
      </c>
      <c r="F416" s="1">
        <v>81</v>
      </c>
      <c r="G416" s="1">
        <v>736445689</v>
      </c>
      <c r="H416" s="1">
        <v>73</v>
      </c>
      <c r="I416" s="1">
        <v>15.5</v>
      </c>
      <c r="J416" s="1">
        <v>87</v>
      </c>
      <c r="K416" s="1">
        <v>48</v>
      </c>
      <c r="L416" s="1" t="s">
        <v>14</v>
      </c>
    </row>
    <row r="417" spans="1:12" x14ac:dyDescent="0.25">
      <c r="A417" s="1" t="s">
        <v>15</v>
      </c>
      <c r="B417" s="1" t="s">
        <v>16</v>
      </c>
      <c r="C417" s="1">
        <v>2020</v>
      </c>
      <c r="D417" s="1">
        <v>12092</v>
      </c>
      <c r="E417" s="1">
        <v>5.6</v>
      </c>
      <c r="F417" s="1">
        <v>76</v>
      </c>
      <c r="G417" s="1">
        <v>728503315</v>
      </c>
      <c r="H417" s="1">
        <v>53</v>
      </c>
      <c r="I417" s="1">
        <v>15.3</v>
      </c>
      <c r="J417" s="1">
        <v>96</v>
      </c>
      <c r="K417" s="1">
        <v>61</v>
      </c>
      <c r="L417" s="1" t="s">
        <v>16</v>
      </c>
    </row>
    <row r="418" spans="1:12" x14ac:dyDescent="0.25">
      <c r="A418" s="1" t="s">
        <v>27</v>
      </c>
      <c r="B418" s="1" t="s">
        <v>22</v>
      </c>
      <c r="C418" s="1">
        <v>2020</v>
      </c>
      <c r="D418" s="1">
        <v>7477</v>
      </c>
      <c r="E418" s="1">
        <v>10.1</v>
      </c>
      <c r="F418" s="1">
        <v>80</v>
      </c>
      <c r="G418" s="1">
        <v>727464879</v>
      </c>
      <c r="H418" s="1">
        <v>91</v>
      </c>
      <c r="I418" s="1">
        <v>15.8</v>
      </c>
      <c r="J418" s="1">
        <v>97</v>
      </c>
      <c r="K418" s="1">
        <v>44</v>
      </c>
      <c r="L418" s="1" t="s">
        <v>14</v>
      </c>
    </row>
    <row r="419" spans="1:12" x14ac:dyDescent="0.25">
      <c r="A419" s="1" t="s">
        <v>24</v>
      </c>
      <c r="B419" s="1" t="s">
        <v>16</v>
      </c>
      <c r="C419" s="1">
        <v>2020</v>
      </c>
      <c r="D419" s="1">
        <v>69497</v>
      </c>
      <c r="E419" s="1">
        <v>10.6</v>
      </c>
      <c r="F419" s="1">
        <v>61</v>
      </c>
      <c r="G419" s="1">
        <v>709057763</v>
      </c>
      <c r="H419" s="1">
        <v>68</v>
      </c>
      <c r="I419" s="1">
        <v>6.7</v>
      </c>
      <c r="J419" s="1">
        <v>89</v>
      </c>
      <c r="K419" s="1">
        <v>36</v>
      </c>
      <c r="L419" s="1" t="s">
        <v>16</v>
      </c>
    </row>
    <row r="420" spans="1:12" x14ac:dyDescent="0.25">
      <c r="A420" s="1" t="s">
        <v>17</v>
      </c>
      <c r="B420" s="1" t="s">
        <v>18</v>
      </c>
      <c r="C420" s="1">
        <v>2020</v>
      </c>
      <c r="D420" s="1">
        <v>19510</v>
      </c>
      <c r="E420" s="1">
        <v>4.2</v>
      </c>
      <c r="F420" s="1">
        <v>83</v>
      </c>
      <c r="G420" s="1">
        <v>706334425</v>
      </c>
      <c r="H420" s="1">
        <v>59</v>
      </c>
      <c r="I420" s="1">
        <v>9.1</v>
      </c>
      <c r="J420" s="1">
        <v>86</v>
      </c>
      <c r="K420" s="1">
        <v>41</v>
      </c>
      <c r="L420" s="1" t="s">
        <v>18</v>
      </c>
    </row>
    <row r="421" spans="1:12" x14ac:dyDescent="0.25">
      <c r="A421" s="1" t="s">
        <v>21</v>
      </c>
      <c r="B421" s="1" t="s">
        <v>22</v>
      </c>
      <c r="C421" s="1">
        <v>2020</v>
      </c>
      <c r="D421" s="1">
        <v>24162</v>
      </c>
      <c r="E421" s="1">
        <v>12.5</v>
      </c>
      <c r="F421" s="1">
        <v>68</v>
      </c>
      <c r="G421" s="1">
        <v>699868506</v>
      </c>
      <c r="H421" s="1">
        <v>68</v>
      </c>
      <c r="I421" s="1">
        <v>20.3</v>
      </c>
      <c r="J421" s="1">
        <v>81</v>
      </c>
      <c r="K421" s="1">
        <v>76</v>
      </c>
      <c r="L421" s="1" t="s">
        <v>14</v>
      </c>
    </row>
    <row r="422" spans="1:12" x14ac:dyDescent="0.25">
      <c r="A422" s="1" t="s">
        <v>15</v>
      </c>
      <c r="B422" s="1" t="s">
        <v>16</v>
      </c>
      <c r="C422" s="1">
        <v>2020</v>
      </c>
      <c r="D422" s="1">
        <v>31517</v>
      </c>
      <c r="E422" s="1">
        <v>6.3</v>
      </c>
      <c r="F422" s="1">
        <v>83</v>
      </c>
      <c r="G422" s="1">
        <v>699552144</v>
      </c>
      <c r="H422" s="1">
        <v>79</v>
      </c>
      <c r="I422" s="1">
        <v>11.4</v>
      </c>
      <c r="J422" s="1">
        <v>95</v>
      </c>
      <c r="K422" s="1">
        <v>85</v>
      </c>
      <c r="L422" s="1" t="s">
        <v>16</v>
      </c>
    </row>
    <row r="423" spans="1:12" x14ac:dyDescent="0.25">
      <c r="A423" s="1" t="s">
        <v>24</v>
      </c>
      <c r="B423" s="1" t="s">
        <v>16</v>
      </c>
      <c r="C423" s="1">
        <v>2020</v>
      </c>
      <c r="D423" s="1">
        <v>35456</v>
      </c>
      <c r="E423" s="1">
        <v>15.2</v>
      </c>
      <c r="F423" s="1">
        <v>82</v>
      </c>
      <c r="G423" s="1">
        <v>692897189</v>
      </c>
      <c r="H423" s="1">
        <v>61</v>
      </c>
      <c r="I423" s="1">
        <v>3.6</v>
      </c>
      <c r="J423" s="1">
        <v>91</v>
      </c>
      <c r="K423" s="1">
        <v>37</v>
      </c>
      <c r="L423" s="1" t="s">
        <v>16</v>
      </c>
    </row>
    <row r="424" spans="1:12" x14ac:dyDescent="0.25">
      <c r="A424" s="1" t="s">
        <v>21</v>
      </c>
      <c r="B424" s="1" t="s">
        <v>22</v>
      </c>
      <c r="C424" s="1">
        <v>2020</v>
      </c>
      <c r="D424" s="1">
        <v>2363</v>
      </c>
      <c r="E424" s="1">
        <v>6</v>
      </c>
      <c r="F424" s="1">
        <v>79</v>
      </c>
      <c r="G424" s="1">
        <v>680837925</v>
      </c>
      <c r="H424" s="1">
        <v>65</v>
      </c>
      <c r="I424" s="1">
        <v>21.8</v>
      </c>
      <c r="J424" s="1">
        <v>100</v>
      </c>
      <c r="K424" s="1">
        <v>90</v>
      </c>
      <c r="L424" s="1" t="s">
        <v>14</v>
      </c>
    </row>
    <row r="425" spans="1:12" x14ac:dyDescent="0.25">
      <c r="A425" s="1" t="s">
        <v>25</v>
      </c>
      <c r="B425" s="1" t="s">
        <v>26</v>
      </c>
      <c r="C425" s="1">
        <v>2020</v>
      </c>
      <c r="D425" s="1">
        <v>11110</v>
      </c>
      <c r="E425" s="1">
        <v>14.3</v>
      </c>
      <c r="F425" s="1">
        <v>66</v>
      </c>
      <c r="G425" s="1">
        <v>656298314</v>
      </c>
      <c r="H425" s="1">
        <v>88</v>
      </c>
      <c r="I425" s="1">
        <v>14.7</v>
      </c>
      <c r="J425" s="1">
        <v>79</v>
      </c>
      <c r="K425" s="1">
        <v>52</v>
      </c>
      <c r="L425" s="1" t="s">
        <v>26</v>
      </c>
    </row>
    <row r="426" spans="1:12" x14ac:dyDescent="0.25">
      <c r="A426" s="1" t="s">
        <v>24</v>
      </c>
      <c r="B426" s="1" t="s">
        <v>16</v>
      </c>
      <c r="C426" s="1">
        <v>2020</v>
      </c>
      <c r="D426" s="1">
        <v>47826</v>
      </c>
      <c r="E426" s="1">
        <v>7.2</v>
      </c>
      <c r="F426" s="1">
        <v>83</v>
      </c>
      <c r="G426" s="1">
        <v>655753625</v>
      </c>
      <c r="H426" s="1">
        <v>58</v>
      </c>
      <c r="I426" s="1">
        <v>16.3</v>
      </c>
      <c r="J426" s="1">
        <v>71</v>
      </c>
      <c r="K426" s="1">
        <v>69</v>
      </c>
      <c r="L426" s="1" t="s">
        <v>16</v>
      </c>
    </row>
    <row r="427" spans="1:12" x14ac:dyDescent="0.25">
      <c r="A427" s="1" t="s">
        <v>19</v>
      </c>
      <c r="B427" s="1" t="s">
        <v>20</v>
      </c>
      <c r="C427" s="1">
        <v>2020</v>
      </c>
      <c r="D427" s="1">
        <v>34100</v>
      </c>
      <c r="E427" s="1">
        <v>10</v>
      </c>
      <c r="F427" s="1">
        <v>66</v>
      </c>
      <c r="G427" s="1">
        <v>653937643</v>
      </c>
      <c r="H427" s="1">
        <v>95</v>
      </c>
      <c r="I427" s="1">
        <v>21.5</v>
      </c>
      <c r="J427" s="1">
        <v>91</v>
      </c>
      <c r="K427" s="1">
        <v>41</v>
      </c>
      <c r="L427" s="1" t="s">
        <v>20</v>
      </c>
    </row>
    <row r="428" spans="1:12" x14ac:dyDescent="0.25">
      <c r="A428" s="1" t="s">
        <v>23</v>
      </c>
      <c r="B428" s="1" t="s">
        <v>18</v>
      </c>
      <c r="C428" s="1">
        <v>2020</v>
      </c>
      <c r="D428" s="1">
        <v>47638</v>
      </c>
      <c r="E428" s="1">
        <v>16.7</v>
      </c>
      <c r="F428" s="1">
        <v>84</v>
      </c>
      <c r="G428" s="1">
        <v>653352950</v>
      </c>
      <c r="H428" s="1">
        <v>77</v>
      </c>
      <c r="I428" s="1">
        <v>20.6</v>
      </c>
      <c r="J428" s="1">
        <v>70</v>
      </c>
      <c r="K428" s="1">
        <v>36</v>
      </c>
      <c r="L428" s="1" t="s">
        <v>18</v>
      </c>
    </row>
    <row r="429" spans="1:12" x14ac:dyDescent="0.25">
      <c r="A429" s="1" t="s">
        <v>21</v>
      </c>
      <c r="B429" s="1" t="s">
        <v>22</v>
      </c>
      <c r="C429" s="1">
        <v>2020</v>
      </c>
      <c r="D429" s="1">
        <v>25323</v>
      </c>
      <c r="E429" s="1">
        <v>11.6</v>
      </c>
      <c r="F429" s="1">
        <v>63</v>
      </c>
      <c r="G429" s="1">
        <v>645067425</v>
      </c>
      <c r="H429" s="1">
        <v>94</v>
      </c>
      <c r="I429" s="1">
        <v>16.8</v>
      </c>
      <c r="J429" s="1">
        <v>91</v>
      </c>
      <c r="K429" s="1">
        <v>62</v>
      </c>
      <c r="L429" s="1" t="s">
        <v>14</v>
      </c>
    </row>
    <row r="430" spans="1:12" x14ac:dyDescent="0.25">
      <c r="A430" s="1" t="s">
        <v>12</v>
      </c>
      <c r="B430" s="1" t="s">
        <v>13</v>
      </c>
      <c r="C430" s="1">
        <v>2020</v>
      </c>
      <c r="D430" s="1">
        <v>37447</v>
      </c>
      <c r="E430" s="1">
        <v>7.5</v>
      </c>
      <c r="F430" s="1">
        <v>61</v>
      </c>
      <c r="G430" s="1">
        <v>643543016</v>
      </c>
      <c r="H430" s="1">
        <v>85</v>
      </c>
      <c r="I430" s="1">
        <v>19.899999999999999</v>
      </c>
      <c r="J430" s="1">
        <v>89</v>
      </c>
      <c r="K430" s="1">
        <v>42</v>
      </c>
      <c r="L430" s="1" t="s">
        <v>14</v>
      </c>
    </row>
    <row r="431" spans="1:12" x14ac:dyDescent="0.25">
      <c r="A431" s="1" t="s">
        <v>21</v>
      </c>
      <c r="B431" s="1" t="s">
        <v>22</v>
      </c>
      <c r="C431" s="1">
        <v>2020</v>
      </c>
      <c r="D431" s="1">
        <v>59521</v>
      </c>
      <c r="E431" s="1">
        <v>14.9</v>
      </c>
      <c r="F431" s="1">
        <v>68</v>
      </c>
      <c r="G431" s="1">
        <v>632459210</v>
      </c>
      <c r="H431" s="1">
        <v>92</v>
      </c>
      <c r="I431" s="1">
        <v>2.6</v>
      </c>
      <c r="J431" s="1">
        <v>78</v>
      </c>
      <c r="K431" s="1">
        <v>57</v>
      </c>
      <c r="L431" s="1" t="s">
        <v>14</v>
      </c>
    </row>
    <row r="432" spans="1:12" x14ac:dyDescent="0.25">
      <c r="A432" s="1" t="s">
        <v>19</v>
      </c>
      <c r="B432" s="1" t="s">
        <v>20</v>
      </c>
      <c r="C432" s="1">
        <v>2020</v>
      </c>
      <c r="D432" s="1">
        <v>55986</v>
      </c>
      <c r="E432" s="1">
        <v>15</v>
      </c>
      <c r="F432" s="1">
        <v>73</v>
      </c>
      <c r="G432" s="1">
        <v>628325803</v>
      </c>
      <c r="H432" s="1">
        <v>66</v>
      </c>
      <c r="I432" s="1">
        <v>8.1999999999999993</v>
      </c>
      <c r="J432" s="1">
        <v>85</v>
      </c>
      <c r="K432" s="1">
        <v>46</v>
      </c>
      <c r="L432" s="1" t="s">
        <v>20</v>
      </c>
    </row>
    <row r="433" spans="1:12" x14ac:dyDescent="0.25">
      <c r="A433" s="1" t="s">
        <v>21</v>
      </c>
      <c r="B433" s="1" t="s">
        <v>22</v>
      </c>
      <c r="C433" s="1">
        <v>2020</v>
      </c>
      <c r="D433" s="1">
        <v>46512</v>
      </c>
      <c r="E433" s="1">
        <v>13.6</v>
      </c>
      <c r="F433" s="1">
        <v>71</v>
      </c>
      <c r="G433" s="1">
        <v>624229972</v>
      </c>
      <c r="H433" s="1">
        <v>81</v>
      </c>
      <c r="I433" s="1">
        <v>11.7</v>
      </c>
      <c r="J433" s="1">
        <v>92</v>
      </c>
      <c r="K433" s="1">
        <v>45</v>
      </c>
      <c r="L433" s="1" t="s">
        <v>14</v>
      </c>
    </row>
    <row r="434" spans="1:12" x14ac:dyDescent="0.25">
      <c r="A434" s="1" t="s">
        <v>19</v>
      </c>
      <c r="B434" s="1" t="s">
        <v>20</v>
      </c>
      <c r="C434" s="1">
        <v>2020</v>
      </c>
      <c r="D434" s="1">
        <v>17314</v>
      </c>
      <c r="E434" s="1">
        <v>10.7</v>
      </c>
      <c r="F434" s="1">
        <v>84</v>
      </c>
      <c r="G434" s="1">
        <v>609840573</v>
      </c>
      <c r="H434" s="1">
        <v>70</v>
      </c>
      <c r="I434" s="1">
        <v>23.8</v>
      </c>
      <c r="J434" s="1">
        <v>79</v>
      </c>
      <c r="K434" s="1">
        <v>74</v>
      </c>
      <c r="L434" s="1" t="s">
        <v>20</v>
      </c>
    </row>
    <row r="435" spans="1:12" x14ac:dyDescent="0.25">
      <c r="A435" s="1" t="s">
        <v>23</v>
      </c>
      <c r="B435" s="1" t="s">
        <v>18</v>
      </c>
      <c r="C435" s="1">
        <v>2020</v>
      </c>
      <c r="D435" s="1">
        <v>20870</v>
      </c>
      <c r="E435" s="1">
        <v>9.1</v>
      </c>
      <c r="F435" s="1">
        <v>84</v>
      </c>
      <c r="G435" s="1">
        <v>604185716</v>
      </c>
      <c r="H435" s="1">
        <v>73</v>
      </c>
      <c r="I435" s="1">
        <v>8.6999999999999993</v>
      </c>
      <c r="J435" s="1">
        <v>97</v>
      </c>
      <c r="K435" s="1">
        <v>46</v>
      </c>
      <c r="L435" s="1" t="s">
        <v>18</v>
      </c>
    </row>
    <row r="436" spans="1:12" x14ac:dyDescent="0.25">
      <c r="A436" s="1" t="s">
        <v>27</v>
      </c>
      <c r="B436" s="1" t="s">
        <v>22</v>
      </c>
      <c r="C436" s="1">
        <v>2020</v>
      </c>
      <c r="D436" s="1">
        <v>20794</v>
      </c>
      <c r="E436" s="1">
        <v>16.899999999999999</v>
      </c>
      <c r="F436" s="1">
        <v>82</v>
      </c>
      <c r="G436" s="1">
        <v>593687566</v>
      </c>
      <c r="H436" s="1">
        <v>54</v>
      </c>
      <c r="I436" s="1">
        <v>14.7</v>
      </c>
      <c r="J436" s="1">
        <v>91</v>
      </c>
      <c r="K436" s="1">
        <v>55</v>
      </c>
      <c r="L436" s="1" t="s">
        <v>14</v>
      </c>
    </row>
    <row r="437" spans="1:12" x14ac:dyDescent="0.25">
      <c r="A437" s="1" t="s">
        <v>28</v>
      </c>
      <c r="B437" s="1" t="s">
        <v>29</v>
      </c>
      <c r="C437" s="1">
        <v>2020</v>
      </c>
      <c r="D437" s="1">
        <v>64269</v>
      </c>
      <c r="E437" s="1">
        <v>4.5999999999999996</v>
      </c>
      <c r="F437" s="1">
        <v>63</v>
      </c>
      <c r="G437" s="1">
        <v>591421225</v>
      </c>
      <c r="H437" s="1">
        <v>51</v>
      </c>
      <c r="I437" s="1">
        <v>9.3000000000000007</v>
      </c>
      <c r="J437" s="1">
        <v>81</v>
      </c>
      <c r="K437" s="1">
        <v>51</v>
      </c>
      <c r="L437" s="1" t="s">
        <v>29</v>
      </c>
    </row>
    <row r="438" spans="1:12" x14ac:dyDescent="0.25">
      <c r="A438" s="1" t="s">
        <v>28</v>
      </c>
      <c r="B438" s="1" t="s">
        <v>29</v>
      </c>
      <c r="C438" s="1">
        <v>2020</v>
      </c>
      <c r="D438" s="1">
        <v>66545</v>
      </c>
      <c r="E438" s="1">
        <v>13.8</v>
      </c>
      <c r="F438" s="1">
        <v>67</v>
      </c>
      <c r="G438" s="1">
        <v>589885790</v>
      </c>
      <c r="H438" s="1">
        <v>63</v>
      </c>
      <c r="I438" s="1">
        <v>3.6</v>
      </c>
      <c r="J438" s="1">
        <v>75</v>
      </c>
      <c r="K438" s="1">
        <v>89</v>
      </c>
      <c r="L438" s="1" t="s">
        <v>29</v>
      </c>
    </row>
    <row r="439" spans="1:12" x14ac:dyDescent="0.25">
      <c r="A439" s="1" t="s">
        <v>27</v>
      </c>
      <c r="B439" s="1" t="s">
        <v>22</v>
      </c>
      <c r="C439" s="1">
        <v>2020</v>
      </c>
      <c r="D439" s="1">
        <v>54027</v>
      </c>
      <c r="E439" s="1">
        <v>16.2</v>
      </c>
      <c r="F439" s="1">
        <v>78</v>
      </c>
      <c r="G439" s="1">
        <v>579162748</v>
      </c>
      <c r="H439" s="1">
        <v>76</v>
      </c>
      <c r="I439" s="1">
        <v>21.2</v>
      </c>
      <c r="J439" s="1">
        <v>88</v>
      </c>
      <c r="K439" s="1">
        <v>47</v>
      </c>
      <c r="L439" s="1" t="s">
        <v>14</v>
      </c>
    </row>
    <row r="440" spans="1:12" x14ac:dyDescent="0.25">
      <c r="A440" s="1" t="s">
        <v>28</v>
      </c>
      <c r="B440" s="1" t="s">
        <v>29</v>
      </c>
      <c r="C440" s="1">
        <v>2020</v>
      </c>
      <c r="D440" s="1">
        <v>2872</v>
      </c>
      <c r="E440" s="1">
        <v>11.4</v>
      </c>
      <c r="F440" s="1">
        <v>75</v>
      </c>
      <c r="G440" s="1">
        <v>573038213</v>
      </c>
      <c r="H440" s="1">
        <v>81</v>
      </c>
      <c r="I440" s="1">
        <v>24.7</v>
      </c>
      <c r="J440" s="1">
        <v>78</v>
      </c>
      <c r="K440" s="1">
        <v>41</v>
      </c>
      <c r="L440" s="1" t="s">
        <v>29</v>
      </c>
    </row>
    <row r="441" spans="1:12" x14ac:dyDescent="0.25">
      <c r="A441" s="1" t="s">
        <v>27</v>
      </c>
      <c r="B441" s="1" t="s">
        <v>22</v>
      </c>
      <c r="C441" s="1">
        <v>2020</v>
      </c>
      <c r="D441" s="1">
        <v>65388</v>
      </c>
      <c r="E441" s="1">
        <v>15.3</v>
      </c>
      <c r="F441" s="1">
        <v>64</v>
      </c>
      <c r="G441" s="1">
        <v>571665392</v>
      </c>
      <c r="H441" s="1">
        <v>71</v>
      </c>
      <c r="I441" s="1">
        <v>24.9</v>
      </c>
      <c r="J441" s="1">
        <v>96</v>
      </c>
      <c r="K441" s="1">
        <v>38</v>
      </c>
      <c r="L441" s="1" t="s">
        <v>14</v>
      </c>
    </row>
    <row r="442" spans="1:12" x14ac:dyDescent="0.25">
      <c r="A442" s="1" t="s">
        <v>21</v>
      </c>
      <c r="B442" s="1" t="s">
        <v>22</v>
      </c>
      <c r="C442" s="1">
        <v>2020</v>
      </c>
      <c r="D442" s="1">
        <v>63215</v>
      </c>
      <c r="E442" s="1">
        <v>7.4</v>
      </c>
      <c r="F442" s="1">
        <v>72</v>
      </c>
      <c r="G442" s="1">
        <v>558355032</v>
      </c>
      <c r="H442" s="1">
        <v>67</v>
      </c>
      <c r="I442" s="1">
        <v>15.8</v>
      </c>
      <c r="J442" s="1">
        <v>86</v>
      </c>
      <c r="K442" s="1">
        <v>87</v>
      </c>
      <c r="L442" s="1" t="s">
        <v>14</v>
      </c>
    </row>
    <row r="443" spans="1:12" x14ac:dyDescent="0.25">
      <c r="A443" s="1" t="s">
        <v>17</v>
      </c>
      <c r="B443" s="1" t="s">
        <v>18</v>
      </c>
      <c r="C443" s="1">
        <v>2020</v>
      </c>
      <c r="D443" s="1">
        <v>28685</v>
      </c>
      <c r="E443" s="1">
        <v>6.9</v>
      </c>
      <c r="F443" s="1">
        <v>67</v>
      </c>
      <c r="G443" s="1">
        <v>553857175</v>
      </c>
      <c r="H443" s="1">
        <v>83</v>
      </c>
      <c r="I443" s="1">
        <v>21.1</v>
      </c>
      <c r="J443" s="1">
        <v>97</v>
      </c>
      <c r="K443" s="1">
        <v>67</v>
      </c>
      <c r="L443" s="1" t="s">
        <v>18</v>
      </c>
    </row>
    <row r="444" spans="1:12" x14ac:dyDescent="0.25">
      <c r="A444" s="1" t="s">
        <v>25</v>
      </c>
      <c r="B444" s="1" t="s">
        <v>26</v>
      </c>
      <c r="C444" s="1">
        <v>2020</v>
      </c>
      <c r="D444" s="1">
        <v>61636</v>
      </c>
      <c r="E444" s="1">
        <v>8.3000000000000007</v>
      </c>
      <c r="F444" s="1">
        <v>62</v>
      </c>
      <c r="G444" s="1">
        <v>536876061</v>
      </c>
      <c r="H444" s="1">
        <v>70</v>
      </c>
      <c r="I444" s="1">
        <v>20.6</v>
      </c>
      <c r="J444" s="1">
        <v>91</v>
      </c>
      <c r="K444" s="1">
        <v>90</v>
      </c>
      <c r="L444" s="1" t="s">
        <v>26</v>
      </c>
    </row>
    <row r="445" spans="1:12" x14ac:dyDescent="0.25">
      <c r="A445" s="1" t="s">
        <v>15</v>
      </c>
      <c r="B445" s="1" t="s">
        <v>16</v>
      </c>
      <c r="C445" s="1">
        <v>2020</v>
      </c>
      <c r="D445" s="1">
        <v>52254</v>
      </c>
      <c r="E445" s="1">
        <v>14.7</v>
      </c>
      <c r="F445" s="1">
        <v>71</v>
      </c>
      <c r="G445" s="1">
        <v>536167628</v>
      </c>
      <c r="H445" s="1">
        <v>51</v>
      </c>
      <c r="I445" s="1">
        <v>7.5</v>
      </c>
      <c r="J445" s="1">
        <v>98</v>
      </c>
      <c r="K445" s="1">
        <v>55</v>
      </c>
      <c r="L445" s="1" t="s">
        <v>16</v>
      </c>
    </row>
    <row r="446" spans="1:12" x14ac:dyDescent="0.25">
      <c r="A446" s="1" t="s">
        <v>28</v>
      </c>
      <c r="B446" s="1" t="s">
        <v>29</v>
      </c>
      <c r="C446" s="1">
        <v>2020</v>
      </c>
      <c r="D446" s="1">
        <v>24879</v>
      </c>
      <c r="E446" s="1">
        <v>4.0999999999999996</v>
      </c>
      <c r="F446" s="1">
        <v>74</v>
      </c>
      <c r="G446" s="1">
        <v>527359192</v>
      </c>
      <c r="H446" s="1">
        <v>72</v>
      </c>
      <c r="I446" s="1">
        <v>19.600000000000001</v>
      </c>
      <c r="J446" s="1">
        <v>87</v>
      </c>
      <c r="K446" s="1">
        <v>83</v>
      </c>
      <c r="L446" s="1" t="s">
        <v>29</v>
      </c>
    </row>
    <row r="447" spans="1:12" x14ac:dyDescent="0.25">
      <c r="A447" s="1" t="s">
        <v>15</v>
      </c>
      <c r="B447" s="1" t="s">
        <v>16</v>
      </c>
      <c r="C447" s="1">
        <v>2020</v>
      </c>
      <c r="D447" s="1">
        <v>59402</v>
      </c>
      <c r="E447" s="1">
        <v>13.1</v>
      </c>
      <c r="F447" s="1">
        <v>62</v>
      </c>
      <c r="G447" s="1">
        <v>527223019</v>
      </c>
      <c r="H447" s="1">
        <v>51</v>
      </c>
      <c r="I447" s="1">
        <v>17.7</v>
      </c>
      <c r="J447" s="1">
        <v>94</v>
      </c>
      <c r="K447" s="1">
        <v>32</v>
      </c>
      <c r="L447" s="1" t="s">
        <v>16</v>
      </c>
    </row>
    <row r="448" spans="1:12" x14ac:dyDescent="0.25">
      <c r="A448" s="1" t="s">
        <v>17</v>
      </c>
      <c r="B448" s="1" t="s">
        <v>18</v>
      </c>
      <c r="C448" s="1">
        <v>2020</v>
      </c>
      <c r="D448" s="1">
        <v>15020</v>
      </c>
      <c r="E448" s="1">
        <v>4.9000000000000004</v>
      </c>
      <c r="F448" s="1">
        <v>70</v>
      </c>
      <c r="G448" s="1">
        <v>506526463</v>
      </c>
      <c r="H448" s="1">
        <v>65</v>
      </c>
      <c r="I448" s="1">
        <v>15</v>
      </c>
      <c r="J448" s="1">
        <v>78</v>
      </c>
      <c r="K448" s="1">
        <v>46</v>
      </c>
      <c r="L448" s="1" t="s">
        <v>18</v>
      </c>
    </row>
    <row r="449" spans="1:12" x14ac:dyDescent="0.25">
      <c r="A449" s="1" t="s">
        <v>17</v>
      </c>
      <c r="B449" s="1" t="s">
        <v>18</v>
      </c>
      <c r="C449" s="1">
        <v>2020</v>
      </c>
      <c r="D449" s="1">
        <v>65349</v>
      </c>
      <c r="E449" s="1">
        <v>6.8</v>
      </c>
      <c r="F449" s="1">
        <v>75</v>
      </c>
      <c r="G449" s="1">
        <v>506013176</v>
      </c>
      <c r="H449" s="1">
        <v>82</v>
      </c>
      <c r="I449" s="1">
        <v>23.9</v>
      </c>
      <c r="J449" s="1">
        <v>100</v>
      </c>
      <c r="K449" s="1">
        <v>50</v>
      </c>
      <c r="L449" s="1" t="s">
        <v>18</v>
      </c>
    </row>
    <row r="450" spans="1:12" x14ac:dyDescent="0.25">
      <c r="A450" s="1" t="s">
        <v>12</v>
      </c>
      <c r="B450" s="1" t="s">
        <v>13</v>
      </c>
      <c r="C450" s="1">
        <v>2020</v>
      </c>
      <c r="D450" s="1">
        <v>2518</v>
      </c>
      <c r="E450" s="1">
        <v>10.8</v>
      </c>
      <c r="F450" s="1">
        <v>85</v>
      </c>
      <c r="G450" s="1">
        <v>496945704</v>
      </c>
      <c r="H450" s="1">
        <v>87</v>
      </c>
      <c r="I450" s="1">
        <v>9.5</v>
      </c>
      <c r="J450" s="1">
        <v>95</v>
      </c>
      <c r="K450" s="1">
        <v>87</v>
      </c>
      <c r="L450" s="1" t="s">
        <v>14</v>
      </c>
    </row>
    <row r="451" spans="1:12" x14ac:dyDescent="0.25">
      <c r="A451" s="1" t="s">
        <v>28</v>
      </c>
      <c r="B451" s="1" t="s">
        <v>29</v>
      </c>
      <c r="C451" s="1">
        <v>2020</v>
      </c>
      <c r="D451" s="1">
        <v>51044</v>
      </c>
      <c r="E451" s="1">
        <v>15.9</v>
      </c>
      <c r="F451" s="1">
        <v>82</v>
      </c>
      <c r="G451" s="1">
        <v>476370662</v>
      </c>
      <c r="H451" s="1">
        <v>94</v>
      </c>
      <c r="I451" s="1">
        <v>21.9</v>
      </c>
      <c r="J451" s="1">
        <v>87</v>
      </c>
      <c r="K451" s="1">
        <v>44</v>
      </c>
      <c r="L451" s="1" t="s">
        <v>29</v>
      </c>
    </row>
    <row r="452" spans="1:12" x14ac:dyDescent="0.25">
      <c r="A452" s="1" t="s">
        <v>27</v>
      </c>
      <c r="B452" s="1" t="s">
        <v>22</v>
      </c>
      <c r="C452" s="1">
        <v>2020</v>
      </c>
      <c r="D452" s="1">
        <v>40722</v>
      </c>
      <c r="E452" s="1">
        <v>7.3</v>
      </c>
      <c r="F452" s="1">
        <v>75</v>
      </c>
      <c r="G452" s="1">
        <v>469191272</v>
      </c>
      <c r="H452" s="1">
        <v>51</v>
      </c>
      <c r="I452" s="1">
        <v>22</v>
      </c>
      <c r="J452" s="1">
        <v>86</v>
      </c>
      <c r="K452" s="1">
        <v>42</v>
      </c>
      <c r="L452" s="1" t="s">
        <v>14</v>
      </c>
    </row>
    <row r="453" spans="1:12" x14ac:dyDescent="0.25">
      <c r="A453" s="1" t="s">
        <v>24</v>
      </c>
      <c r="B453" s="1" t="s">
        <v>16</v>
      </c>
      <c r="C453" s="1">
        <v>2020</v>
      </c>
      <c r="D453" s="1">
        <v>25144</v>
      </c>
      <c r="E453" s="1">
        <v>10.9</v>
      </c>
      <c r="F453" s="1">
        <v>66</v>
      </c>
      <c r="G453" s="1">
        <v>463168449</v>
      </c>
      <c r="H453" s="1">
        <v>57</v>
      </c>
      <c r="I453" s="1">
        <v>12.8</v>
      </c>
      <c r="J453" s="1">
        <v>70</v>
      </c>
      <c r="K453" s="1">
        <v>39</v>
      </c>
      <c r="L453" s="1" t="s">
        <v>16</v>
      </c>
    </row>
    <row r="454" spans="1:12" x14ac:dyDescent="0.25">
      <c r="A454" s="1" t="s">
        <v>28</v>
      </c>
      <c r="B454" s="1" t="s">
        <v>29</v>
      </c>
      <c r="C454" s="1">
        <v>2020</v>
      </c>
      <c r="D454" s="1">
        <v>10134</v>
      </c>
      <c r="E454" s="1">
        <v>12.1</v>
      </c>
      <c r="F454" s="1">
        <v>69</v>
      </c>
      <c r="G454" s="1">
        <v>456672586</v>
      </c>
      <c r="H454" s="1">
        <v>84</v>
      </c>
      <c r="I454" s="1">
        <v>12.3</v>
      </c>
      <c r="J454" s="1">
        <v>93</v>
      </c>
      <c r="K454" s="1">
        <v>62</v>
      </c>
      <c r="L454" s="1" t="s">
        <v>29</v>
      </c>
    </row>
    <row r="455" spans="1:12" x14ac:dyDescent="0.25">
      <c r="A455" s="1" t="s">
        <v>23</v>
      </c>
      <c r="B455" s="1" t="s">
        <v>18</v>
      </c>
      <c r="C455" s="1">
        <v>2020</v>
      </c>
      <c r="D455" s="1">
        <v>64150</v>
      </c>
      <c r="E455" s="1">
        <v>11.6</v>
      </c>
      <c r="F455" s="1">
        <v>77</v>
      </c>
      <c r="G455" s="1">
        <v>451311215</v>
      </c>
      <c r="H455" s="1">
        <v>90</v>
      </c>
      <c r="I455" s="1">
        <v>17.7</v>
      </c>
      <c r="J455" s="1">
        <v>96</v>
      </c>
      <c r="K455" s="1">
        <v>58</v>
      </c>
      <c r="L455" s="1" t="s">
        <v>18</v>
      </c>
    </row>
    <row r="456" spans="1:12" x14ac:dyDescent="0.25">
      <c r="A456" s="1" t="s">
        <v>24</v>
      </c>
      <c r="B456" s="1" t="s">
        <v>16</v>
      </c>
      <c r="C456" s="1">
        <v>2020</v>
      </c>
      <c r="D456" s="1">
        <v>67212</v>
      </c>
      <c r="E456" s="1">
        <v>10.4</v>
      </c>
      <c r="F456" s="1">
        <v>81</v>
      </c>
      <c r="G456" s="1">
        <v>443057589</v>
      </c>
      <c r="H456" s="1">
        <v>52</v>
      </c>
      <c r="I456" s="1">
        <v>19.899999999999999</v>
      </c>
      <c r="J456" s="1">
        <v>78</v>
      </c>
      <c r="K456" s="1">
        <v>85</v>
      </c>
      <c r="L456" s="1" t="s">
        <v>16</v>
      </c>
    </row>
    <row r="457" spans="1:12" x14ac:dyDescent="0.25">
      <c r="A457" s="1" t="s">
        <v>23</v>
      </c>
      <c r="B457" s="1" t="s">
        <v>18</v>
      </c>
      <c r="C457" s="1">
        <v>2020</v>
      </c>
      <c r="D457" s="1">
        <v>16904</v>
      </c>
      <c r="E457" s="1">
        <v>12.5</v>
      </c>
      <c r="F457" s="1">
        <v>63</v>
      </c>
      <c r="G457" s="1">
        <v>440790761</v>
      </c>
      <c r="H457" s="1">
        <v>81</v>
      </c>
      <c r="I457" s="1">
        <v>23</v>
      </c>
      <c r="J457" s="1">
        <v>87</v>
      </c>
      <c r="K457" s="1">
        <v>62</v>
      </c>
      <c r="L457" s="1" t="s">
        <v>18</v>
      </c>
    </row>
    <row r="458" spans="1:12" x14ac:dyDescent="0.25">
      <c r="A458" s="1" t="s">
        <v>15</v>
      </c>
      <c r="B458" s="1" t="s">
        <v>16</v>
      </c>
      <c r="C458" s="1">
        <v>2020</v>
      </c>
      <c r="D458" s="1">
        <v>66404</v>
      </c>
      <c r="E458" s="1">
        <v>13.5</v>
      </c>
      <c r="F458" s="1">
        <v>75</v>
      </c>
      <c r="G458" s="1">
        <v>425886178</v>
      </c>
      <c r="H458" s="1">
        <v>64</v>
      </c>
      <c r="I458" s="1">
        <v>15.6</v>
      </c>
      <c r="J458" s="1">
        <v>79</v>
      </c>
      <c r="K458" s="1">
        <v>74</v>
      </c>
      <c r="L458" s="1" t="s">
        <v>16</v>
      </c>
    </row>
    <row r="459" spans="1:12" x14ac:dyDescent="0.25">
      <c r="A459" s="1" t="s">
        <v>27</v>
      </c>
      <c r="B459" s="1" t="s">
        <v>22</v>
      </c>
      <c r="C459" s="1">
        <v>2020</v>
      </c>
      <c r="D459" s="1">
        <v>30208</v>
      </c>
      <c r="E459" s="1">
        <v>16.100000000000001</v>
      </c>
      <c r="F459" s="1">
        <v>61</v>
      </c>
      <c r="G459" s="1">
        <v>418676513</v>
      </c>
      <c r="H459" s="1">
        <v>71</v>
      </c>
      <c r="I459" s="1">
        <v>5</v>
      </c>
      <c r="J459" s="1">
        <v>87</v>
      </c>
      <c r="K459" s="1">
        <v>46</v>
      </c>
      <c r="L459" s="1" t="s">
        <v>14</v>
      </c>
    </row>
    <row r="460" spans="1:12" x14ac:dyDescent="0.25">
      <c r="A460" s="1" t="s">
        <v>28</v>
      </c>
      <c r="B460" s="1" t="s">
        <v>29</v>
      </c>
      <c r="C460" s="1">
        <v>2020</v>
      </c>
      <c r="D460" s="1">
        <v>19980</v>
      </c>
      <c r="E460" s="1">
        <v>3.4</v>
      </c>
      <c r="F460" s="1">
        <v>67</v>
      </c>
      <c r="G460" s="1">
        <v>392211162</v>
      </c>
      <c r="H460" s="1">
        <v>53</v>
      </c>
      <c r="I460" s="1">
        <v>17.5</v>
      </c>
      <c r="J460" s="1">
        <v>73</v>
      </c>
      <c r="K460" s="1">
        <v>88</v>
      </c>
      <c r="L460" s="1" t="s">
        <v>29</v>
      </c>
    </row>
    <row r="461" spans="1:12" x14ac:dyDescent="0.25">
      <c r="A461" s="1" t="s">
        <v>27</v>
      </c>
      <c r="B461" s="1" t="s">
        <v>22</v>
      </c>
      <c r="C461" s="1">
        <v>2020</v>
      </c>
      <c r="D461" s="1">
        <v>40599</v>
      </c>
      <c r="E461" s="1">
        <v>12.8</v>
      </c>
      <c r="F461" s="1">
        <v>68</v>
      </c>
      <c r="G461" s="1">
        <v>388891570</v>
      </c>
      <c r="H461" s="1">
        <v>92</v>
      </c>
      <c r="I461" s="1">
        <v>24.3</v>
      </c>
      <c r="J461" s="1">
        <v>92</v>
      </c>
      <c r="K461" s="1">
        <v>82</v>
      </c>
      <c r="L461" s="1" t="s">
        <v>14</v>
      </c>
    </row>
    <row r="462" spans="1:12" x14ac:dyDescent="0.25">
      <c r="A462" s="1" t="s">
        <v>28</v>
      </c>
      <c r="B462" s="1" t="s">
        <v>29</v>
      </c>
      <c r="C462" s="1">
        <v>2020</v>
      </c>
      <c r="D462" s="1">
        <v>66881</v>
      </c>
      <c r="E462" s="1">
        <v>7</v>
      </c>
      <c r="F462" s="1">
        <v>70</v>
      </c>
      <c r="G462" s="1">
        <v>378577359</v>
      </c>
      <c r="H462" s="1">
        <v>77</v>
      </c>
      <c r="I462" s="1">
        <v>2.5</v>
      </c>
      <c r="J462" s="1">
        <v>98</v>
      </c>
      <c r="K462" s="1">
        <v>36</v>
      </c>
      <c r="L462" s="1" t="s">
        <v>29</v>
      </c>
    </row>
    <row r="463" spans="1:12" x14ac:dyDescent="0.25">
      <c r="A463" s="1" t="s">
        <v>27</v>
      </c>
      <c r="B463" s="1" t="s">
        <v>22</v>
      </c>
      <c r="C463" s="1">
        <v>2020</v>
      </c>
      <c r="D463" s="1">
        <v>12268</v>
      </c>
      <c r="E463" s="1">
        <v>12.4</v>
      </c>
      <c r="F463" s="1">
        <v>79</v>
      </c>
      <c r="G463" s="1">
        <v>376091310</v>
      </c>
      <c r="H463" s="1">
        <v>58</v>
      </c>
      <c r="I463" s="1">
        <v>15.8</v>
      </c>
      <c r="J463" s="1">
        <v>82</v>
      </c>
      <c r="K463" s="1">
        <v>80</v>
      </c>
      <c r="L463" s="1" t="s">
        <v>14</v>
      </c>
    </row>
    <row r="464" spans="1:12" x14ac:dyDescent="0.25">
      <c r="A464" s="1" t="s">
        <v>19</v>
      </c>
      <c r="B464" s="1" t="s">
        <v>20</v>
      </c>
      <c r="C464" s="1">
        <v>2020</v>
      </c>
      <c r="D464" s="1">
        <v>47147</v>
      </c>
      <c r="E464" s="1">
        <v>8.6999999999999993</v>
      </c>
      <c r="F464" s="1">
        <v>66</v>
      </c>
      <c r="G464" s="1">
        <v>375225188</v>
      </c>
      <c r="H464" s="1">
        <v>77</v>
      </c>
      <c r="I464" s="1">
        <v>7.3</v>
      </c>
      <c r="J464" s="1">
        <v>80</v>
      </c>
      <c r="K464" s="1">
        <v>75</v>
      </c>
      <c r="L464" s="1" t="s">
        <v>20</v>
      </c>
    </row>
    <row r="465" spans="1:12" x14ac:dyDescent="0.25">
      <c r="A465" s="1" t="s">
        <v>19</v>
      </c>
      <c r="B465" s="1" t="s">
        <v>20</v>
      </c>
      <c r="C465" s="1">
        <v>2020</v>
      </c>
      <c r="D465" s="1">
        <v>36987</v>
      </c>
      <c r="E465" s="1">
        <v>6.1</v>
      </c>
      <c r="F465" s="1">
        <v>62</v>
      </c>
      <c r="G465" s="1">
        <v>341643496</v>
      </c>
      <c r="H465" s="1">
        <v>79</v>
      </c>
      <c r="I465" s="1">
        <v>15.5</v>
      </c>
      <c r="J465" s="1">
        <v>91</v>
      </c>
      <c r="K465" s="1">
        <v>64</v>
      </c>
      <c r="L465" s="1" t="s">
        <v>20</v>
      </c>
    </row>
    <row r="466" spans="1:12" x14ac:dyDescent="0.25">
      <c r="A466" s="1" t="s">
        <v>24</v>
      </c>
      <c r="B466" s="1" t="s">
        <v>16</v>
      </c>
      <c r="C466" s="1">
        <v>2020</v>
      </c>
      <c r="D466" s="1">
        <v>28708</v>
      </c>
      <c r="E466" s="1">
        <v>4.0999999999999996</v>
      </c>
      <c r="F466" s="1">
        <v>78</v>
      </c>
      <c r="G466" s="1">
        <v>340827256</v>
      </c>
      <c r="H466" s="1">
        <v>77</v>
      </c>
      <c r="I466" s="1">
        <v>5.7</v>
      </c>
      <c r="J466" s="1">
        <v>97</v>
      </c>
      <c r="K466" s="1">
        <v>63</v>
      </c>
      <c r="L466" s="1" t="s">
        <v>16</v>
      </c>
    </row>
    <row r="467" spans="1:12" x14ac:dyDescent="0.25">
      <c r="A467" s="1" t="s">
        <v>12</v>
      </c>
      <c r="B467" s="1" t="s">
        <v>13</v>
      </c>
      <c r="C467" s="1">
        <v>2020</v>
      </c>
      <c r="D467" s="1">
        <v>31732</v>
      </c>
      <c r="E467" s="1">
        <v>10.9</v>
      </c>
      <c r="F467" s="1">
        <v>62</v>
      </c>
      <c r="G467" s="1">
        <v>338686805</v>
      </c>
      <c r="H467" s="1">
        <v>73</v>
      </c>
      <c r="I467" s="1">
        <v>4</v>
      </c>
      <c r="J467" s="1">
        <v>94</v>
      </c>
      <c r="K467" s="1">
        <v>55</v>
      </c>
      <c r="L467" s="1" t="s">
        <v>14</v>
      </c>
    </row>
    <row r="468" spans="1:12" x14ac:dyDescent="0.25">
      <c r="A468" s="1" t="s">
        <v>24</v>
      </c>
      <c r="B468" s="1" t="s">
        <v>16</v>
      </c>
      <c r="C468" s="1">
        <v>2020</v>
      </c>
      <c r="D468" s="1">
        <v>30158</v>
      </c>
      <c r="E468" s="1">
        <v>15.2</v>
      </c>
      <c r="F468" s="1">
        <v>63</v>
      </c>
      <c r="G468" s="1">
        <v>331730279</v>
      </c>
      <c r="H468" s="1">
        <v>52</v>
      </c>
      <c r="I468" s="1">
        <v>13.4</v>
      </c>
      <c r="J468" s="1">
        <v>71</v>
      </c>
      <c r="K468" s="1">
        <v>83</v>
      </c>
      <c r="L468" s="1" t="s">
        <v>16</v>
      </c>
    </row>
    <row r="469" spans="1:12" x14ac:dyDescent="0.25">
      <c r="A469" s="1" t="s">
        <v>17</v>
      </c>
      <c r="B469" s="1" t="s">
        <v>18</v>
      </c>
      <c r="C469" s="1">
        <v>2020</v>
      </c>
      <c r="D469" s="1">
        <v>34752</v>
      </c>
      <c r="E469" s="1">
        <v>4.2</v>
      </c>
      <c r="F469" s="1">
        <v>73</v>
      </c>
      <c r="G469" s="1">
        <v>325689953</v>
      </c>
      <c r="H469" s="1">
        <v>61</v>
      </c>
      <c r="I469" s="1">
        <v>8.5</v>
      </c>
      <c r="J469" s="1">
        <v>73</v>
      </c>
      <c r="K469" s="1">
        <v>72</v>
      </c>
      <c r="L469" s="1" t="s">
        <v>18</v>
      </c>
    </row>
    <row r="470" spans="1:12" x14ac:dyDescent="0.25">
      <c r="A470" s="1" t="s">
        <v>27</v>
      </c>
      <c r="B470" s="1" t="s">
        <v>22</v>
      </c>
      <c r="C470" s="1">
        <v>2020</v>
      </c>
      <c r="D470" s="1">
        <v>12135</v>
      </c>
      <c r="E470" s="1">
        <v>7.1</v>
      </c>
      <c r="F470" s="1">
        <v>70</v>
      </c>
      <c r="G470" s="1">
        <v>312512490</v>
      </c>
      <c r="H470" s="1">
        <v>60</v>
      </c>
      <c r="I470" s="1">
        <v>17.600000000000001</v>
      </c>
      <c r="J470" s="1">
        <v>79</v>
      </c>
      <c r="K470" s="1">
        <v>74</v>
      </c>
      <c r="L470" s="1" t="s">
        <v>14</v>
      </c>
    </row>
    <row r="471" spans="1:12" x14ac:dyDescent="0.25">
      <c r="A471" s="1" t="s">
        <v>28</v>
      </c>
      <c r="B471" s="1" t="s">
        <v>29</v>
      </c>
      <c r="C471" s="1">
        <v>2020</v>
      </c>
      <c r="D471" s="1">
        <v>59875</v>
      </c>
      <c r="E471" s="1">
        <v>15.5</v>
      </c>
      <c r="F471" s="1">
        <v>79</v>
      </c>
      <c r="G471" s="1">
        <v>289188078</v>
      </c>
      <c r="H471" s="1">
        <v>62</v>
      </c>
      <c r="I471" s="1">
        <v>6.5</v>
      </c>
      <c r="J471" s="1">
        <v>100</v>
      </c>
      <c r="K471" s="1">
        <v>43</v>
      </c>
      <c r="L471" s="1" t="s">
        <v>29</v>
      </c>
    </row>
    <row r="472" spans="1:12" x14ac:dyDescent="0.25">
      <c r="A472" s="1" t="s">
        <v>27</v>
      </c>
      <c r="B472" s="1" t="s">
        <v>22</v>
      </c>
      <c r="C472" s="1">
        <v>2020</v>
      </c>
      <c r="D472" s="1">
        <v>61326</v>
      </c>
      <c r="E472" s="1">
        <v>14.3</v>
      </c>
      <c r="F472" s="1">
        <v>71</v>
      </c>
      <c r="G472" s="1">
        <v>286281086</v>
      </c>
      <c r="H472" s="1">
        <v>57</v>
      </c>
      <c r="I472" s="1">
        <v>11</v>
      </c>
      <c r="J472" s="1">
        <v>70</v>
      </c>
      <c r="K472" s="1">
        <v>75</v>
      </c>
      <c r="L472" s="1" t="s">
        <v>14</v>
      </c>
    </row>
    <row r="473" spans="1:12" x14ac:dyDescent="0.25">
      <c r="A473" s="1" t="s">
        <v>15</v>
      </c>
      <c r="B473" s="1" t="s">
        <v>16</v>
      </c>
      <c r="C473" s="1">
        <v>2020</v>
      </c>
      <c r="D473" s="1">
        <v>23422</v>
      </c>
      <c r="E473" s="1">
        <v>10.8</v>
      </c>
      <c r="F473" s="1">
        <v>75</v>
      </c>
      <c r="G473" s="1">
        <v>278348910</v>
      </c>
      <c r="H473" s="1">
        <v>86</v>
      </c>
      <c r="I473" s="1">
        <v>23.4</v>
      </c>
      <c r="J473" s="1">
        <v>82</v>
      </c>
      <c r="K473" s="1">
        <v>40</v>
      </c>
      <c r="L473" s="1" t="s">
        <v>16</v>
      </c>
    </row>
    <row r="474" spans="1:12" x14ac:dyDescent="0.25">
      <c r="A474" s="1" t="s">
        <v>15</v>
      </c>
      <c r="B474" s="1" t="s">
        <v>16</v>
      </c>
      <c r="C474" s="1">
        <v>2020</v>
      </c>
      <c r="D474" s="1">
        <v>41992</v>
      </c>
      <c r="E474" s="1">
        <v>12.8</v>
      </c>
      <c r="F474" s="1">
        <v>64</v>
      </c>
      <c r="G474" s="1">
        <v>243962397</v>
      </c>
      <c r="H474" s="1">
        <v>95</v>
      </c>
      <c r="I474" s="1">
        <v>16</v>
      </c>
      <c r="J474" s="1">
        <v>96</v>
      </c>
      <c r="K474" s="1">
        <v>49</v>
      </c>
      <c r="L474" s="1" t="s">
        <v>16</v>
      </c>
    </row>
    <row r="475" spans="1:12" x14ac:dyDescent="0.25">
      <c r="A475" s="1" t="s">
        <v>21</v>
      </c>
      <c r="B475" s="1" t="s">
        <v>22</v>
      </c>
      <c r="C475" s="1">
        <v>2020</v>
      </c>
      <c r="D475" s="1">
        <v>13503</v>
      </c>
      <c r="E475" s="1">
        <v>4.7</v>
      </c>
      <c r="F475" s="1">
        <v>81</v>
      </c>
      <c r="G475" s="1">
        <v>236743613</v>
      </c>
      <c r="H475" s="1">
        <v>81</v>
      </c>
      <c r="I475" s="1">
        <v>20.2</v>
      </c>
      <c r="J475" s="1">
        <v>71</v>
      </c>
      <c r="K475" s="1">
        <v>71</v>
      </c>
      <c r="L475" s="1" t="s">
        <v>14</v>
      </c>
    </row>
    <row r="476" spans="1:12" x14ac:dyDescent="0.25">
      <c r="A476" s="1" t="s">
        <v>25</v>
      </c>
      <c r="B476" s="1" t="s">
        <v>26</v>
      </c>
      <c r="C476" s="1">
        <v>2020</v>
      </c>
      <c r="D476" s="1">
        <v>48363</v>
      </c>
      <c r="E476" s="1">
        <v>9.3000000000000007</v>
      </c>
      <c r="F476" s="1">
        <v>61</v>
      </c>
      <c r="G476" s="1">
        <v>236721507</v>
      </c>
      <c r="H476" s="1">
        <v>78</v>
      </c>
      <c r="I476" s="1">
        <v>5.2</v>
      </c>
      <c r="J476" s="1">
        <v>79</v>
      </c>
      <c r="K476" s="1">
        <v>81</v>
      </c>
      <c r="L476" s="1" t="s">
        <v>26</v>
      </c>
    </row>
    <row r="477" spans="1:12" x14ac:dyDescent="0.25">
      <c r="A477" s="1" t="s">
        <v>23</v>
      </c>
      <c r="B477" s="1" t="s">
        <v>18</v>
      </c>
      <c r="C477" s="1">
        <v>2020</v>
      </c>
      <c r="D477" s="1">
        <v>53760</v>
      </c>
      <c r="E477" s="1">
        <v>13.9</v>
      </c>
      <c r="F477" s="1">
        <v>65</v>
      </c>
      <c r="G477" s="1">
        <v>225142920</v>
      </c>
      <c r="H477" s="1">
        <v>80</v>
      </c>
      <c r="I477" s="1">
        <v>4</v>
      </c>
      <c r="J477" s="1">
        <v>92</v>
      </c>
      <c r="K477" s="1">
        <v>39</v>
      </c>
      <c r="L477" s="1" t="s">
        <v>18</v>
      </c>
    </row>
    <row r="478" spans="1:12" x14ac:dyDescent="0.25">
      <c r="A478" s="1" t="s">
        <v>15</v>
      </c>
      <c r="B478" s="1" t="s">
        <v>16</v>
      </c>
      <c r="C478" s="1">
        <v>2020</v>
      </c>
      <c r="D478" s="1">
        <v>55057</v>
      </c>
      <c r="E478" s="1">
        <v>15.6</v>
      </c>
      <c r="F478" s="1">
        <v>72</v>
      </c>
      <c r="G478" s="1">
        <v>221324641</v>
      </c>
      <c r="H478" s="1">
        <v>59</v>
      </c>
      <c r="I478" s="1">
        <v>15.8</v>
      </c>
      <c r="J478" s="1">
        <v>86</v>
      </c>
      <c r="K478" s="1">
        <v>88</v>
      </c>
      <c r="L478" s="1" t="s">
        <v>16</v>
      </c>
    </row>
    <row r="479" spans="1:12" x14ac:dyDescent="0.25">
      <c r="A479" s="1" t="s">
        <v>23</v>
      </c>
      <c r="B479" s="1" t="s">
        <v>18</v>
      </c>
      <c r="C479" s="1">
        <v>2020</v>
      </c>
      <c r="D479" s="1">
        <v>3780</v>
      </c>
      <c r="E479" s="1">
        <v>3</v>
      </c>
      <c r="F479" s="1">
        <v>78</v>
      </c>
      <c r="G479" s="1">
        <v>212496804</v>
      </c>
      <c r="H479" s="1">
        <v>75</v>
      </c>
      <c r="I479" s="1">
        <v>13.1</v>
      </c>
      <c r="J479" s="1">
        <v>77</v>
      </c>
      <c r="K479" s="1">
        <v>48</v>
      </c>
      <c r="L479" s="1" t="s">
        <v>18</v>
      </c>
    </row>
    <row r="480" spans="1:12" x14ac:dyDescent="0.25">
      <c r="A480" s="1" t="s">
        <v>25</v>
      </c>
      <c r="B480" s="1" t="s">
        <v>26</v>
      </c>
      <c r="C480" s="1">
        <v>2020</v>
      </c>
      <c r="D480" s="1">
        <v>28417</v>
      </c>
      <c r="E480" s="1">
        <v>13.3</v>
      </c>
      <c r="F480" s="1">
        <v>81</v>
      </c>
      <c r="G480" s="1">
        <v>207120040</v>
      </c>
      <c r="H480" s="1">
        <v>83</v>
      </c>
      <c r="I480" s="1">
        <v>15.7</v>
      </c>
      <c r="J480" s="1">
        <v>87</v>
      </c>
      <c r="K480" s="1">
        <v>83</v>
      </c>
      <c r="L480" s="1" t="s">
        <v>26</v>
      </c>
    </row>
    <row r="481" spans="1:12" x14ac:dyDescent="0.25">
      <c r="A481" s="1" t="s">
        <v>19</v>
      </c>
      <c r="B481" s="1" t="s">
        <v>20</v>
      </c>
      <c r="C481" s="1">
        <v>2020</v>
      </c>
      <c r="D481" s="1">
        <v>58248</v>
      </c>
      <c r="E481" s="1">
        <v>11.4</v>
      </c>
      <c r="F481" s="1">
        <v>79</v>
      </c>
      <c r="G481" s="1">
        <v>206197457</v>
      </c>
      <c r="H481" s="1">
        <v>93</v>
      </c>
      <c r="I481" s="1">
        <v>22.1</v>
      </c>
      <c r="J481" s="1">
        <v>84</v>
      </c>
      <c r="K481" s="1">
        <v>61</v>
      </c>
      <c r="L481" s="1" t="s">
        <v>20</v>
      </c>
    </row>
    <row r="482" spans="1:12" x14ac:dyDescent="0.25">
      <c r="A482" s="1" t="s">
        <v>21</v>
      </c>
      <c r="B482" s="1" t="s">
        <v>22</v>
      </c>
      <c r="C482" s="1">
        <v>2020</v>
      </c>
      <c r="D482" s="1">
        <v>29396</v>
      </c>
      <c r="E482" s="1">
        <v>8.9</v>
      </c>
      <c r="F482" s="1">
        <v>82</v>
      </c>
      <c r="G482" s="1">
        <v>199492409</v>
      </c>
      <c r="H482" s="1">
        <v>82</v>
      </c>
      <c r="I482" s="1">
        <v>8.8000000000000007</v>
      </c>
      <c r="J482" s="1">
        <v>83</v>
      </c>
      <c r="K482" s="1">
        <v>58</v>
      </c>
      <c r="L482" s="1" t="s">
        <v>14</v>
      </c>
    </row>
    <row r="483" spans="1:12" x14ac:dyDescent="0.25">
      <c r="A483" s="1" t="s">
        <v>12</v>
      </c>
      <c r="B483" s="1" t="s">
        <v>13</v>
      </c>
      <c r="C483" s="1">
        <v>2020</v>
      </c>
      <c r="D483" s="1">
        <v>68223</v>
      </c>
      <c r="E483" s="1">
        <v>3.2</v>
      </c>
      <c r="F483" s="1">
        <v>72</v>
      </c>
      <c r="G483" s="1">
        <v>189284618</v>
      </c>
      <c r="H483" s="1">
        <v>58</v>
      </c>
      <c r="I483" s="1">
        <v>3.1</v>
      </c>
      <c r="J483" s="1">
        <v>82</v>
      </c>
      <c r="K483" s="1">
        <v>40</v>
      </c>
      <c r="L483" s="1" t="s">
        <v>14</v>
      </c>
    </row>
    <row r="484" spans="1:12" x14ac:dyDescent="0.25">
      <c r="A484" s="1" t="s">
        <v>21</v>
      </c>
      <c r="B484" s="1" t="s">
        <v>22</v>
      </c>
      <c r="C484" s="1">
        <v>2020</v>
      </c>
      <c r="D484" s="1">
        <v>25281</v>
      </c>
      <c r="E484" s="1">
        <v>9.6</v>
      </c>
      <c r="F484" s="1">
        <v>66</v>
      </c>
      <c r="G484" s="1">
        <v>186912023</v>
      </c>
      <c r="H484" s="1">
        <v>75</v>
      </c>
      <c r="I484" s="1">
        <v>4.8</v>
      </c>
      <c r="J484" s="1">
        <v>85</v>
      </c>
      <c r="K484" s="1">
        <v>60</v>
      </c>
      <c r="L484" s="1" t="s">
        <v>14</v>
      </c>
    </row>
    <row r="485" spans="1:12" x14ac:dyDescent="0.25">
      <c r="A485" s="1" t="s">
        <v>28</v>
      </c>
      <c r="B485" s="1" t="s">
        <v>29</v>
      </c>
      <c r="C485" s="1">
        <v>2020</v>
      </c>
      <c r="D485" s="1">
        <v>58145</v>
      </c>
      <c r="E485" s="1">
        <v>3.7</v>
      </c>
      <c r="F485" s="1">
        <v>84</v>
      </c>
      <c r="G485" s="1">
        <v>178559054</v>
      </c>
      <c r="H485" s="1">
        <v>80</v>
      </c>
      <c r="I485" s="1">
        <v>20</v>
      </c>
      <c r="J485" s="1">
        <v>95</v>
      </c>
      <c r="K485" s="1">
        <v>31</v>
      </c>
      <c r="L485" s="1" t="s">
        <v>29</v>
      </c>
    </row>
    <row r="486" spans="1:12" x14ac:dyDescent="0.25">
      <c r="A486" s="1" t="s">
        <v>24</v>
      </c>
      <c r="B486" s="1" t="s">
        <v>16</v>
      </c>
      <c r="C486" s="1">
        <v>2020</v>
      </c>
      <c r="D486" s="1">
        <v>19868</v>
      </c>
      <c r="E486" s="1">
        <v>6.8</v>
      </c>
      <c r="F486" s="1">
        <v>75</v>
      </c>
      <c r="G486" s="1">
        <v>173123625</v>
      </c>
      <c r="H486" s="1">
        <v>68</v>
      </c>
      <c r="I486" s="1">
        <v>16.600000000000001</v>
      </c>
      <c r="J486" s="1">
        <v>75</v>
      </c>
      <c r="K486" s="1">
        <v>32</v>
      </c>
      <c r="L486" s="1" t="s">
        <v>16</v>
      </c>
    </row>
    <row r="487" spans="1:12" x14ac:dyDescent="0.25">
      <c r="A487" s="1" t="s">
        <v>19</v>
      </c>
      <c r="B487" s="1" t="s">
        <v>20</v>
      </c>
      <c r="C487" s="1">
        <v>2020</v>
      </c>
      <c r="D487" s="1">
        <v>15625</v>
      </c>
      <c r="E487" s="1">
        <v>9.9</v>
      </c>
      <c r="F487" s="1">
        <v>75</v>
      </c>
      <c r="G487" s="1">
        <v>164323180</v>
      </c>
      <c r="H487" s="1">
        <v>86</v>
      </c>
      <c r="I487" s="1">
        <v>7.9</v>
      </c>
      <c r="J487" s="1">
        <v>71</v>
      </c>
      <c r="K487" s="1">
        <v>36</v>
      </c>
      <c r="L487" s="1" t="s">
        <v>20</v>
      </c>
    </row>
    <row r="488" spans="1:12" x14ac:dyDescent="0.25">
      <c r="A488" s="1" t="s">
        <v>25</v>
      </c>
      <c r="B488" s="1" t="s">
        <v>26</v>
      </c>
      <c r="C488" s="1">
        <v>2020</v>
      </c>
      <c r="D488" s="1">
        <v>20686</v>
      </c>
      <c r="E488" s="1">
        <v>9.1</v>
      </c>
      <c r="F488" s="1">
        <v>62</v>
      </c>
      <c r="G488" s="1">
        <v>157876896</v>
      </c>
      <c r="H488" s="1">
        <v>64</v>
      </c>
      <c r="I488" s="1">
        <v>5.3</v>
      </c>
      <c r="J488" s="1">
        <v>85</v>
      </c>
      <c r="K488" s="1">
        <v>67</v>
      </c>
      <c r="L488" s="1" t="s">
        <v>26</v>
      </c>
    </row>
    <row r="489" spans="1:12" x14ac:dyDescent="0.25">
      <c r="A489" s="1" t="s">
        <v>12</v>
      </c>
      <c r="B489" s="1" t="s">
        <v>13</v>
      </c>
      <c r="C489" s="1">
        <v>2020</v>
      </c>
      <c r="D489" s="1">
        <v>50070</v>
      </c>
      <c r="E489" s="1">
        <v>6.6</v>
      </c>
      <c r="F489" s="1">
        <v>70</v>
      </c>
      <c r="G489" s="1">
        <v>132933727</v>
      </c>
      <c r="H489" s="1">
        <v>51</v>
      </c>
      <c r="I489" s="1">
        <v>10.9</v>
      </c>
      <c r="J489" s="1">
        <v>82</v>
      </c>
      <c r="K489" s="1">
        <v>73</v>
      </c>
      <c r="L489" s="1" t="s">
        <v>14</v>
      </c>
    </row>
    <row r="490" spans="1:12" x14ac:dyDescent="0.25">
      <c r="A490" s="1" t="s">
        <v>23</v>
      </c>
      <c r="B490" s="1" t="s">
        <v>18</v>
      </c>
      <c r="C490" s="1">
        <v>2020</v>
      </c>
      <c r="D490" s="1">
        <v>33367</v>
      </c>
      <c r="E490" s="1">
        <v>11.4</v>
      </c>
      <c r="F490" s="1">
        <v>69</v>
      </c>
      <c r="G490" s="1">
        <v>119689761</v>
      </c>
      <c r="H490" s="1">
        <v>84</v>
      </c>
      <c r="I490" s="1">
        <v>9</v>
      </c>
      <c r="J490" s="1">
        <v>91</v>
      </c>
      <c r="K490" s="1">
        <v>73</v>
      </c>
      <c r="L490" s="1" t="s">
        <v>18</v>
      </c>
    </row>
    <row r="491" spans="1:12" x14ac:dyDescent="0.25">
      <c r="A491" s="1" t="s">
        <v>23</v>
      </c>
      <c r="B491" s="1" t="s">
        <v>18</v>
      </c>
      <c r="C491" s="1">
        <v>2020</v>
      </c>
      <c r="D491" s="1">
        <v>57924</v>
      </c>
      <c r="E491" s="1">
        <v>6.1</v>
      </c>
      <c r="F491" s="1">
        <v>65</v>
      </c>
      <c r="G491" s="1">
        <v>100505635</v>
      </c>
      <c r="H491" s="1">
        <v>93</v>
      </c>
      <c r="I491" s="1">
        <v>21.2</v>
      </c>
      <c r="J491" s="1">
        <v>98</v>
      </c>
      <c r="K491" s="1">
        <v>59</v>
      </c>
      <c r="L491" s="1" t="s">
        <v>18</v>
      </c>
    </row>
    <row r="492" spans="1:12" x14ac:dyDescent="0.25">
      <c r="A492" s="1" t="s">
        <v>23</v>
      </c>
      <c r="B492" s="1" t="s">
        <v>18</v>
      </c>
      <c r="C492" s="1">
        <v>2020</v>
      </c>
      <c r="D492" s="1">
        <v>26828</v>
      </c>
      <c r="E492" s="1">
        <v>9</v>
      </c>
      <c r="F492" s="1">
        <v>62</v>
      </c>
      <c r="G492" s="1">
        <v>93378703</v>
      </c>
      <c r="H492" s="1">
        <v>81</v>
      </c>
      <c r="I492" s="1">
        <v>2.1</v>
      </c>
      <c r="J492" s="1">
        <v>80</v>
      </c>
      <c r="K492" s="1">
        <v>81</v>
      </c>
      <c r="L492" s="1" t="s">
        <v>18</v>
      </c>
    </row>
    <row r="493" spans="1:12" x14ac:dyDescent="0.25">
      <c r="A493" s="1" t="s">
        <v>28</v>
      </c>
      <c r="B493" s="1" t="s">
        <v>29</v>
      </c>
      <c r="C493" s="1">
        <v>2020</v>
      </c>
      <c r="D493" s="1">
        <v>29040</v>
      </c>
      <c r="E493" s="1">
        <v>10.199999999999999</v>
      </c>
      <c r="F493" s="1">
        <v>76</v>
      </c>
      <c r="G493" s="1">
        <v>85057374</v>
      </c>
      <c r="H493" s="1">
        <v>66</v>
      </c>
      <c r="I493" s="1">
        <v>21.5</v>
      </c>
      <c r="J493" s="1">
        <v>81</v>
      </c>
      <c r="K493" s="1">
        <v>43</v>
      </c>
      <c r="L493" s="1" t="s">
        <v>29</v>
      </c>
    </row>
    <row r="494" spans="1:12" x14ac:dyDescent="0.25">
      <c r="A494" s="1" t="s">
        <v>27</v>
      </c>
      <c r="B494" s="1" t="s">
        <v>22</v>
      </c>
      <c r="C494" s="1">
        <v>2020</v>
      </c>
      <c r="D494" s="1">
        <v>59584</v>
      </c>
      <c r="E494" s="1">
        <v>7.8</v>
      </c>
      <c r="F494" s="1">
        <v>79</v>
      </c>
      <c r="G494" s="1">
        <v>78117296</v>
      </c>
      <c r="H494" s="1">
        <v>66</v>
      </c>
      <c r="I494" s="1">
        <v>11.9</v>
      </c>
      <c r="J494" s="1">
        <v>70</v>
      </c>
      <c r="K494" s="1">
        <v>55</v>
      </c>
      <c r="L494" s="1" t="s">
        <v>14</v>
      </c>
    </row>
    <row r="495" spans="1:12" x14ac:dyDescent="0.25">
      <c r="A495" s="1" t="s">
        <v>24</v>
      </c>
      <c r="B495" s="1" t="s">
        <v>16</v>
      </c>
      <c r="C495" s="1">
        <v>2020</v>
      </c>
      <c r="D495" s="1">
        <v>6049</v>
      </c>
      <c r="E495" s="1">
        <v>14.3</v>
      </c>
      <c r="F495" s="1">
        <v>74</v>
      </c>
      <c r="G495" s="1">
        <v>61857679</v>
      </c>
      <c r="H495" s="1">
        <v>85</v>
      </c>
      <c r="I495" s="1">
        <v>23.1</v>
      </c>
      <c r="J495" s="1">
        <v>97</v>
      </c>
      <c r="K495" s="1">
        <v>37</v>
      </c>
      <c r="L495" s="1" t="s">
        <v>16</v>
      </c>
    </row>
    <row r="496" spans="1:12" x14ac:dyDescent="0.25">
      <c r="A496" s="1" t="s">
        <v>17</v>
      </c>
      <c r="B496" s="1" t="s">
        <v>18</v>
      </c>
      <c r="C496" s="1">
        <v>2020</v>
      </c>
      <c r="D496" s="1">
        <v>50855</v>
      </c>
      <c r="E496" s="1">
        <v>7.1</v>
      </c>
      <c r="F496" s="1">
        <v>60</v>
      </c>
      <c r="G496" s="1">
        <v>61454792</v>
      </c>
      <c r="H496" s="1">
        <v>80</v>
      </c>
      <c r="I496" s="1">
        <v>13.2</v>
      </c>
      <c r="J496" s="1">
        <v>91</v>
      </c>
      <c r="K496" s="1">
        <v>89</v>
      </c>
      <c r="L496" s="1" t="s">
        <v>18</v>
      </c>
    </row>
    <row r="497" spans="1:12" x14ac:dyDescent="0.25">
      <c r="A497" s="1" t="s">
        <v>25</v>
      </c>
      <c r="B497" s="1" t="s">
        <v>26</v>
      </c>
      <c r="C497" s="1">
        <v>2020</v>
      </c>
      <c r="D497" s="1">
        <v>54191</v>
      </c>
      <c r="E497" s="1">
        <v>10.1</v>
      </c>
      <c r="F497" s="1">
        <v>60</v>
      </c>
      <c r="G497" s="1">
        <v>53256055</v>
      </c>
      <c r="H497" s="1">
        <v>61</v>
      </c>
      <c r="I497" s="1">
        <v>6.1</v>
      </c>
      <c r="J497" s="1">
        <v>73</v>
      </c>
      <c r="K497" s="1">
        <v>89</v>
      </c>
      <c r="L497" s="1" t="s">
        <v>26</v>
      </c>
    </row>
    <row r="498" spans="1:12" x14ac:dyDescent="0.25">
      <c r="A498" s="1" t="s">
        <v>23</v>
      </c>
      <c r="B498" s="1" t="s">
        <v>18</v>
      </c>
      <c r="C498" s="1">
        <v>2020</v>
      </c>
      <c r="D498" s="1">
        <v>7995</v>
      </c>
      <c r="E498" s="1">
        <v>15</v>
      </c>
      <c r="F498" s="1">
        <v>76</v>
      </c>
      <c r="G498" s="1">
        <v>45891353</v>
      </c>
      <c r="H498" s="1">
        <v>89</v>
      </c>
      <c r="I498" s="1">
        <v>3.1</v>
      </c>
      <c r="J498" s="1">
        <v>72</v>
      </c>
      <c r="K498" s="1">
        <v>81</v>
      </c>
      <c r="L498" s="1" t="s">
        <v>18</v>
      </c>
    </row>
    <row r="499" spans="1:12" x14ac:dyDescent="0.25">
      <c r="A499" s="1" t="s">
        <v>19</v>
      </c>
      <c r="B499" s="1" t="s">
        <v>20</v>
      </c>
      <c r="C499" s="1">
        <v>2020</v>
      </c>
      <c r="D499" s="1">
        <v>3966</v>
      </c>
      <c r="E499" s="1">
        <v>16.5</v>
      </c>
      <c r="F499" s="1">
        <v>81</v>
      </c>
      <c r="G499" s="1">
        <v>28213754</v>
      </c>
      <c r="H499" s="1">
        <v>72</v>
      </c>
      <c r="I499" s="1">
        <v>13.5</v>
      </c>
      <c r="J499" s="1">
        <v>78</v>
      </c>
      <c r="K499" s="1">
        <v>40</v>
      </c>
      <c r="L499" s="1" t="s">
        <v>20</v>
      </c>
    </row>
    <row r="500" spans="1:12" x14ac:dyDescent="0.25">
      <c r="A500" s="1" t="s">
        <v>17</v>
      </c>
      <c r="B500" s="1" t="s">
        <v>18</v>
      </c>
      <c r="C500" s="1">
        <v>2020</v>
      </c>
      <c r="D500" s="1">
        <v>51145</v>
      </c>
      <c r="E500" s="1">
        <v>17</v>
      </c>
      <c r="F500" s="1">
        <v>83</v>
      </c>
      <c r="G500" s="1">
        <v>15001276</v>
      </c>
      <c r="H500" s="1">
        <v>94</v>
      </c>
      <c r="I500" s="1">
        <v>18.600000000000001</v>
      </c>
      <c r="J500" s="1">
        <v>71</v>
      </c>
      <c r="K500" s="1">
        <v>53</v>
      </c>
      <c r="L500" s="1" t="s">
        <v>18</v>
      </c>
    </row>
    <row r="501" spans="1:12" x14ac:dyDescent="0.25">
      <c r="A501" s="1" t="s">
        <v>25</v>
      </c>
      <c r="B501" s="1" t="s">
        <v>26</v>
      </c>
      <c r="C501" s="1">
        <v>2020</v>
      </c>
      <c r="D501" s="1">
        <v>18226</v>
      </c>
      <c r="E501" s="1">
        <v>13.3</v>
      </c>
      <c r="F501" s="1">
        <v>79</v>
      </c>
      <c r="G501" s="1">
        <v>10101523</v>
      </c>
      <c r="H501" s="1">
        <v>53</v>
      </c>
      <c r="I501" s="1">
        <v>11.5</v>
      </c>
      <c r="J501" s="1">
        <v>89</v>
      </c>
      <c r="K501" s="1">
        <v>45</v>
      </c>
      <c r="L501" s="1" t="s">
        <v>26</v>
      </c>
    </row>
  </sheetData>
  <sortState xmlns:xlrd2="http://schemas.microsoft.com/office/spreadsheetml/2017/richdata2" ref="A2:L501">
    <sortCondition descending="1" ref="C2:C501"/>
    <sortCondition descending="1" ref="G2:G501"/>
    <sortCondition descending="1" ref="K2:K501"/>
    <sortCondition descending="1" ref="D2:D50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5076C-0373-4199-92AF-7E01AB9737DD}">
  <sheetPr filterMode="1"/>
  <dimension ref="A1:L501"/>
  <sheetViews>
    <sheetView workbookViewId="0">
      <selection activeCell="G504" sqref="G504"/>
    </sheetView>
  </sheetViews>
  <sheetFormatPr defaultRowHeight="15" x14ac:dyDescent="0.25"/>
  <cols>
    <col min="1" max="1" width="11.7109375" bestFit="1" customWidth="1"/>
    <col min="2" max="2" width="14" bestFit="1" customWidth="1"/>
    <col min="3" max="3" width="5.28515625" bestFit="1" customWidth="1"/>
    <col min="4" max="4" width="17" bestFit="1" customWidth="1"/>
    <col min="5" max="5" width="15" bestFit="1" customWidth="1"/>
    <col min="6" max="6" width="16.7109375" bestFit="1" customWidth="1"/>
    <col min="7" max="7" width="11.85546875" bestFit="1" customWidth="1"/>
    <col min="8" max="8" width="18.28515625" bestFit="1" customWidth="1"/>
    <col min="9" max="9" width="22.140625" bestFit="1" customWidth="1"/>
    <col min="10" max="11" width="14.42578125" bestFit="1" customWidth="1"/>
    <col min="12" max="12" width="14" bestFit="1" customWidth="1"/>
  </cols>
  <sheetData>
    <row r="1" spans="1:12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idden="1" x14ac:dyDescent="0.25">
      <c r="A2" s="1" t="s">
        <v>12</v>
      </c>
      <c r="B2" s="1" t="s">
        <v>13</v>
      </c>
      <c r="C2" s="1">
        <v>2021</v>
      </c>
      <c r="D2" s="1">
        <v>28697</v>
      </c>
      <c r="E2" s="1">
        <v>10.7</v>
      </c>
      <c r="F2" s="1">
        <v>68</v>
      </c>
      <c r="G2" s="1">
        <v>320755470</v>
      </c>
      <c r="H2" s="1">
        <v>65</v>
      </c>
      <c r="I2" s="1">
        <v>21</v>
      </c>
      <c r="J2" s="1">
        <v>87</v>
      </c>
      <c r="K2" s="1">
        <v>43</v>
      </c>
      <c r="L2" s="1" t="s">
        <v>14</v>
      </c>
    </row>
    <row r="3" spans="1:12" hidden="1" x14ac:dyDescent="0.25">
      <c r="A3" s="1" t="s">
        <v>15</v>
      </c>
      <c r="B3" s="1" t="s">
        <v>16</v>
      </c>
      <c r="C3" s="1">
        <v>2021</v>
      </c>
      <c r="D3" s="1">
        <v>9328</v>
      </c>
      <c r="E3" s="1">
        <v>9.1</v>
      </c>
      <c r="F3" s="1">
        <v>61</v>
      </c>
      <c r="G3" s="1">
        <v>779975845</v>
      </c>
      <c r="H3" s="1">
        <v>54</v>
      </c>
      <c r="I3" s="1">
        <v>7.5</v>
      </c>
      <c r="J3" s="1">
        <v>86</v>
      </c>
      <c r="K3" s="1">
        <v>51</v>
      </c>
      <c r="L3" s="1" t="s">
        <v>16</v>
      </c>
    </row>
    <row r="4" spans="1:12" hidden="1" x14ac:dyDescent="0.25">
      <c r="A4" s="1" t="s">
        <v>17</v>
      </c>
      <c r="B4" s="1" t="s">
        <v>18</v>
      </c>
      <c r="C4" s="1">
        <v>2022</v>
      </c>
      <c r="D4" s="1">
        <v>32915</v>
      </c>
      <c r="E4" s="1">
        <v>7.3</v>
      </c>
      <c r="F4" s="1">
        <v>81</v>
      </c>
      <c r="G4" s="1">
        <v>1024677989</v>
      </c>
      <c r="H4" s="1">
        <v>84</v>
      </c>
      <c r="I4" s="1">
        <v>22</v>
      </c>
      <c r="J4" s="1">
        <v>86</v>
      </c>
      <c r="K4" s="1">
        <v>88</v>
      </c>
      <c r="L4" s="1" t="s">
        <v>18</v>
      </c>
    </row>
    <row r="5" spans="1:12" hidden="1" x14ac:dyDescent="0.25">
      <c r="A5" s="1" t="s">
        <v>19</v>
      </c>
      <c r="B5" s="1" t="s">
        <v>20</v>
      </c>
      <c r="C5" s="1">
        <v>2022</v>
      </c>
      <c r="D5" s="1">
        <v>48330</v>
      </c>
      <c r="E5" s="1">
        <v>11.3</v>
      </c>
      <c r="F5" s="1">
        <v>73</v>
      </c>
      <c r="G5" s="1">
        <v>11982489</v>
      </c>
      <c r="H5" s="1">
        <v>75</v>
      </c>
      <c r="I5" s="1">
        <v>16.3</v>
      </c>
      <c r="J5" s="1">
        <v>70</v>
      </c>
      <c r="K5" s="1">
        <v>60</v>
      </c>
      <c r="L5" s="1" t="s">
        <v>20</v>
      </c>
    </row>
    <row r="6" spans="1:12" hidden="1" x14ac:dyDescent="0.25">
      <c r="A6" s="1" t="s">
        <v>21</v>
      </c>
      <c r="B6" s="1" t="s">
        <v>22</v>
      </c>
      <c r="C6" s="1">
        <v>2021</v>
      </c>
      <c r="D6" s="1">
        <v>46701</v>
      </c>
      <c r="E6" s="1">
        <v>6.7</v>
      </c>
      <c r="F6" s="1">
        <v>84</v>
      </c>
      <c r="G6" s="1">
        <v>1398599595</v>
      </c>
      <c r="H6" s="1">
        <v>66</v>
      </c>
      <c r="I6" s="1">
        <v>18</v>
      </c>
      <c r="J6" s="1">
        <v>94</v>
      </c>
      <c r="K6" s="1">
        <v>87</v>
      </c>
      <c r="L6" s="1" t="s">
        <v>14</v>
      </c>
    </row>
    <row r="7" spans="1:12" hidden="1" x14ac:dyDescent="0.25">
      <c r="A7" s="1" t="s">
        <v>23</v>
      </c>
      <c r="B7" s="1" t="s">
        <v>18</v>
      </c>
      <c r="C7" s="1">
        <v>2020</v>
      </c>
      <c r="D7" s="1">
        <v>53760</v>
      </c>
      <c r="E7" s="1">
        <v>13.9</v>
      </c>
      <c r="F7" s="1">
        <v>65</v>
      </c>
      <c r="G7" s="1">
        <v>225142920</v>
      </c>
      <c r="H7" s="1">
        <v>80</v>
      </c>
      <c r="I7" s="1">
        <v>4</v>
      </c>
      <c r="J7" s="1">
        <v>92</v>
      </c>
      <c r="K7" s="1">
        <v>39</v>
      </c>
      <c r="L7" s="1" t="s">
        <v>18</v>
      </c>
    </row>
    <row r="8" spans="1:12" hidden="1" x14ac:dyDescent="0.25">
      <c r="A8" s="1" t="s">
        <v>24</v>
      </c>
      <c r="B8" s="1" t="s">
        <v>16</v>
      </c>
      <c r="C8" s="1">
        <v>2021</v>
      </c>
      <c r="D8" s="1">
        <v>49493</v>
      </c>
      <c r="E8" s="1">
        <v>11.8</v>
      </c>
      <c r="F8" s="1">
        <v>76</v>
      </c>
      <c r="G8" s="1">
        <v>1025519857</v>
      </c>
      <c r="H8" s="1">
        <v>87</v>
      </c>
      <c r="I8" s="1">
        <v>10</v>
      </c>
      <c r="J8" s="1">
        <v>81</v>
      </c>
      <c r="K8" s="1">
        <v>42</v>
      </c>
      <c r="L8" s="1" t="s">
        <v>16</v>
      </c>
    </row>
    <row r="9" spans="1:12" hidden="1" x14ac:dyDescent="0.25">
      <c r="A9" s="1" t="s">
        <v>25</v>
      </c>
      <c r="B9" s="1" t="s">
        <v>26</v>
      </c>
      <c r="C9" s="1">
        <v>2020</v>
      </c>
      <c r="D9" s="1">
        <v>33504</v>
      </c>
      <c r="E9" s="1">
        <v>9.9</v>
      </c>
      <c r="F9" s="1">
        <v>71</v>
      </c>
      <c r="G9" s="1">
        <v>997430905</v>
      </c>
      <c r="H9" s="1">
        <v>84</v>
      </c>
      <c r="I9" s="1">
        <v>6.4</v>
      </c>
      <c r="J9" s="1">
        <v>96</v>
      </c>
      <c r="K9" s="1">
        <v>64</v>
      </c>
      <c r="L9" s="1" t="s">
        <v>26</v>
      </c>
    </row>
    <row r="10" spans="1:12" hidden="1" x14ac:dyDescent="0.25">
      <c r="A10" s="1" t="s">
        <v>27</v>
      </c>
      <c r="B10" s="1" t="s">
        <v>22</v>
      </c>
      <c r="C10" s="1">
        <v>2020</v>
      </c>
      <c r="D10" s="1">
        <v>54027</v>
      </c>
      <c r="E10" s="1">
        <v>16.2</v>
      </c>
      <c r="F10" s="1">
        <v>78</v>
      </c>
      <c r="G10" s="1">
        <v>579162748</v>
      </c>
      <c r="H10" s="1">
        <v>76</v>
      </c>
      <c r="I10" s="1">
        <v>21.2</v>
      </c>
      <c r="J10" s="1">
        <v>88</v>
      </c>
      <c r="K10" s="1">
        <v>47</v>
      </c>
      <c r="L10" s="1" t="s">
        <v>14</v>
      </c>
    </row>
    <row r="11" spans="1:12" hidden="1" x14ac:dyDescent="0.25">
      <c r="A11" s="1" t="s">
        <v>28</v>
      </c>
      <c r="B11" s="1" t="s">
        <v>29</v>
      </c>
      <c r="C11" s="1">
        <v>2020</v>
      </c>
      <c r="D11" s="1">
        <v>49580</v>
      </c>
      <c r="E11" s="1">
        <v>11.3</v>
      </c>
      <c r="F11" s="1">
        <v>65</v>
      </c>
      <c r="G11" s="1">
        <v>1150916965</v>
      </c>
      <c r="H11" s="1">
        <v>94</v>
      </c>
      <c r="I11" s="1">
        <v>7.7</v>
      </c>
      <c r="J11" s="1">
        <v>76</v>
      </c>
      <c r="K11" s="1">
        <v>65</v>
      </c>
      <c r="L11" s="1" t="s">
        <v>29</v>
      </c>
    </row>
    <row r="12" spans="1:12" x14ac:dyDescent="0.25">
      <c r="A12" s="1" t="s">
        <v>12</v>
      </c>
      <c r="B12" s="1" t="s">
        <v>13</v>
      </c>
      <c r="C12" s="1">
        <v>2022</v>
      </c>
      <c r="D12" s="1">
        <v>6757</v>
      </c>
      <c r="E12" s="1">
        <v>10</v>
      </c>
      <c r="F12" s="1">
        <v>72</v>
      </c>
      <c r="G12" s="1">
        <v>1468227841</v>
      </c>
      <c r="H12" s="1">
        <v>91</v>
      </c>
      <c r="I12" s="1">
        <v>17.600000000000001</v>
      </c>
      <c r="J12" s="1">
        <v>80</v>
      </c>
      <c r="K12" s="1">
        <v>63</v>
      </c>
      <c r="L12" s="1" t="s">
        <v>14</v>
      </c>
    </row>
    <row r="13" spans="1:12" hidden="1" x14ac:dyDescent="0.25">
      <c r="A13" s="1" t="s">
        <v>15</v>
      </c>
      <c r="B13" s="1" t="s">
        <v>16</v>
      </c>
      <c r="C13" s="1">
        <v>2020</v>
      </c>
      <c r="D13" s="1">
        <v>32580</v>
      </c>
      <c r="E13" s="1">
        <v>8.6999999999999993</v>
      </c>
      <c r="F13" s="1">
        <v>64</v>
      </c>
      <c r="G13" s="1">
        <v>1491550777</v>
      </c>
      <c r="H13" s="1">
        <v>66</v>
      </c>
      <c r="I13" s="1">
        <v>2.2999999999999998</v>
      </c>
      <c r="J13" s="1">
        <v>84</v>
      </c>
      <c r="K13" s="1">
        <v>87</v>
      </c>
      <c r="L13" s="1" t="s">
        <v>16</v>
      </c>
    </row>
    <row r="14" spans="1:12" hidden="1" x14ac:dyDescent="0.25">
      <c r="A14" s="1" t="s">
        <v>17</v>
      </c>
      <c r="B14" s="1" t="s">
        <v>18</v>
      </c>
      <c r="C14" s="1">
        <v>2021</v>
      </c>
      <c r="D14" s="1">
        <v>65224</v>
      </c>
      <c r="E14" s="1">
        <v>5.5</v>
      </c>
      <c r="F14" s="1">
        <v>66</v>
      </c>
      <c r="G14" s="1">
        <v>604209612</v>
      </c>
      <c r="H14" s="1">
        <v>95</v>
      </c>
      <c r="I14" s="1">
        <v>22.5</v>
      </c>
      <c r="J14" s="1">
        <v>90</v>
      </c>
      <c r="K14" s="1">
        <v>46</v>
      </c>
      <c r="L14" s="1" t="s">
        <v>18</v>
      </c>
    </row>
    <row r="15" spans="1:12" hidden="1" x14ac:dyDescent="0.25">
      <c r="A15" s="1" t="s">
        <v>19</v>
      </c>
      <c r="B15" s="1" t="s">
        <v>20</v>
      </c>
      <c r="C15" s="1">
        <v>2020</v>
      </c>
      <c r="D15" s="1">
        <v>5969</v>
      </c>
      <c r="E15" s="1">
        <v>7.6</v>
      </c>
      <c r="F15" s="1">
        <v>66</v>
      </c>
      <c r="G15" s="1">
        <v>900636370</v>
      </c>
      <c r="H15" s="1">
        <v>62</v>
      </c>
      <c r="I15" s="1">
        <v>4.2</v>
      </c>
      <c r="J15" s="1">
        <v>72</v>
      </c>
      <c r="K15" s="1">
        <v>50</v>
      </c>
      <c r="L15" s="1" t="s">
        <v>20</v>
      </c>
    </row>
    <row r="16" spans="1:12" hidden="1" x14ac:dyDescent="0.25">
      <c r="A16" s="1" t="s">
        <v>21</v>
      </c>
      <c r="B16" s="1" t="s">
        <v>22</v>
      </c>
      <c r="C16" s="1">
        <v>2021</v>
      </c>
      <c r="D16" s="1">
        <v>10110</v>
      </c>
      <c r="E16" s="1">
        <v>16</v>
      </c>
      <c r="F16" s="1">
        <v>78</v>
      </c>
      <c r="G16" s="1">
        <v>781479156</v>
      </c>
      <c r="H16" s="1">
        <v>92</v>
      </c>
      <c r="I16" s="1">
        <v>10.3</v>
      </c>
      <c r="J16" s="1">
        <v>78</v>
      </c>
      <c r="K16" s="1">
        <v>80</v>
      </c>
      <c r="L16" s="1" t="s">
        <v>14</v>
      </c>
    </row>
    <row r="17" spans="1:12" hidden="1" x14ac:dyDescent="0.25">
      <c r="A17" s="1" t="s">
        <v>23</v>
      </c>
      <c r="B17" s="1" t="s">
        <v>18</v>
      </c>
      <c r="C17" s="1">
        <v>2022</v>
      </c>
      <c r="D17" s="1">
        <v>57088</v>
      </c>
      <c r="E17" s="1">
        <v>11.9</v>
      </c>
      <c r="F17" s="1">
        <v>84</v>
      </c>
      <c r="G17" s="1">
        <v>248590736</v>
      </c>
      <c r="H17" s="1">
        <v>87</v>
      </c>
      <c r="I17" s="1">
        <v>9.6999999999999993</v>
      </c>
      <c r="J17" s="1">
        <v>81</v>
      </c>
      <c r="K17" s="1">
        <v>80</v>
      </c>
      <c r="L17" s="1" t="s">
        <v>18</v>
      </c>
    </row>
    <row r="18" spans="1:12" hidden="1" x14ac:dyDescent="0.25">
      <c r="A18" s="1" t="s">
        <v>24</v>
      </c>
      <c r="B18" s="1" t="s">
        <v>16</v>
      </c>
      <c r="C18" s="1">
        <v>2021</v>
      </c>
      <c r="D18" s="1">
        <v>51446</v>
      </c>
      <c r="E18" s="1">
        <v>8.1</v>
      </c>
      <c r="F18" s="1">
        <v>66</v>
      </c>
      <c r="G18" s="1">
        <v>226850356</v>
      </c>
      <c r="H18" s="1">
        <v>95</v>
      </c>
      <c r="I18" s="1">
        <v>8.1</v>
      </c>
      <c r="J18" s="1">
        <v>95</v>
      </c>
      <c r="K18" s="1">
        <v>76</v>
      </c>
      <c r="L18" s="1" t="s">
        <v>16</v>
      </c>
    </row>
    <row r="19" spans="1:12" hidden="1" x14ac:dyDescent="0.25">
      <c r="A19" s="1" t="s">
        <v>25</v>
      </c>
      <c r="B19" s="1" t="s">
        <v>26</v>
      </c>
      <c r="C19" s="1">
        <v>2022</v>
      </c>
      <c r="D19" s="1">
        <v>61238</v>
      </c>
      <c r="E19" s="1">
        <v>16.2</v>
      </c>
      <c r="F19" s="1">
        <v>67</v>
      </c>
      <c r="G19" s="1">
        <v>1484327543</v>
      </c>
      <c r="H19" s="1">
        <v>90</v>
      </c>
      <c r="I19" s="1">
        <v>20.6</v>
      </c>
      <c r="J19" s="1">
        <v>89</v>
      </c>
      <c r="K19" s="1">
        <v>33</v>
      </c>
      <c r="L19" s="1" t="s">
        <v>26</v>
      </c>
    </row>
    <row r="20" spans="1:12" hidden="1" x14ac:dyDescent="0.25">
      <c r="A20" s="1" t="s">
        <v>27</v>
      </c>
      <c r="B20" s="1" t="s">
        <v>22</v>
      </c>
      <c r="C20" s="1">
        <v>2020</v>
      </c>
      <c r="D20" s="1">
        <v>16498</v>
      </c>
      <c r="E20" s="1">
        <v>5.4</v>
      </c>
      <c r="F20" s="1">
        <v>85</v>
      </c>
      <c r="G20" s="1">
        <v>1397611416</v>
      </c>
      <c r="H20" s="1">
        <v>63</v>
      </c>
      <c r="I20" s="1">
        <v>6.2</v>
      </c>
      <c r="J20" s="1">
        <v>83</v>
      </c>
      <c r="K20" s="1">
        <v>90</v>
      </c>
      <c r="L20" s="1" t="s">
        <v>14</v>
      </c>
    </row>
    <row r="21" spans="1:12" hidden="1" x14ac:dyDescent="0.25">
      <c r="A21" s="1" t="s">
        <v>28</v>
      </c>
      <c r="B21" s="1" t="s">
        <v>29</v>
      </c>
      <c r="C21" s="1">
        <v>2020</v>
      </c>
      <c r="D21" s="1">
        <v>29040</v>
      </c>
      <c r="E21" s="1">
        <v>10.199999999999999</v>
      </c>
      <c r="F21" s="1">
        <v>76</v>
      </c>
      <c r="G21" s="1">
        <v>85057374</v>
      </c>
      <c r="H21" s="1">
        <v>66</v>
      </c>
      <c r="I21" s="1">
        <v>21.5</v>
      </c>
      <c r="J21" s="1">
        <v>81</v>
      </c>
      <c r="K21" s="1">
        <v>43</v>
      </c>
      <c r="L21" s="1" t="s">
        <v>29</v>
      </c>
    </row>
    <row r="22" spans="1:12" hidden="1" x14ac:dyDescent="0.25">
      <c r="A22" s="1" t="s">
        <v>12</v>
      </c>
      <c r="B22" s="1" t="s">
        <v>13</v>
      </c>
      <c r="C22" s="1">
        <v>2021</v>
      </c>
      <c r="D22" s="1">
        <v>33803</v>
      </c>
      <c r="E22" s="1">
        <v>13.1</v>
      </c>
      <c r="F22" s="1">
        <v>61</v>
      </c>
      <c r="G22" s="1">
        <v>1373510320</v>
      </c>
      <c r="H22" s="1">
        <v>76</v>
      </c>
      <c r="I22" s="1">
        <v>12.2</v>
      </c>
      <c r="J22" s="1">
        <v>88</v>
      </c>
      <c r="K22" s="1">
        <v>37</v>
      </c>
      <c r="L22" s="1" t="s">
        <v>14</v>
      </c>
    </row>
    <row r="23" spans="1:12" hidden="1" x14ac:dyDescent="0.25">
      <c r="A23" s="1" t="s">
        <v>15</v>
      </c>
      <c r="B23" s="1" t="s">
        <v>16</v>
      </c>
      <c r="C23" s="1">
        <v>2022</v>
      </c>
      <c r="D23" s="1">
        <v>43633</v>
      </c>
      <c r="E23" s="1">
        <v>9.6999999999999993</v>
      </c>
      <c r="F23" s="1">
        <v>71</v>
      </c>
      <c r="G23" s="1">
        <v>971847595</v>
      </c>
      <c r="H23" s="1">
        <v>64</v>
      </c>
      <c r="I23" s="1">
        <v>21.3</v>
      </c>
      <c r="J23" s="1">
        <v>78</v>
      </c>
      <c r="K23" s="1">
        <v>38</v>
      </c>
      <c r="L23" s="1" t="s">
        <v>16</v>
      </c>
    </row>
    <row r="24" spans="1:12" hidden="1" x14ac:dyDescent="0.25">
      <c r="A24" s="1" t="s">
        <v>17</v>
      </c>
      <c r="B24" s="1" t="s">
        <v>18</v>
      </c>
      <c r="C24" s="1">
        <v>2021</v>
      </c>
      <c r="D24" s="1">
        <v>47258</v>
      </c>
      <c r="E24" s="1">
        <v>5.3</v>
      </c>
      <c r="F24" s="1">
        <v>73</v>
      </c>
      <c r="G24" s="1">
        <v>415702244</v>
      </c>
      <c r="H24" s="1">
        <v>89</v>
      </c>
      <c r="I24" s="1">
        <v>15.2</v>
      </c>
      <c r="J24" s="1">
        <v>70</v>
      </c>
      <c r="K24" s="1">
        <v>74</v>
      </c>
      <c r="L24" s="1" t="s">
        <v>18</v>
      </c>
    </row>
    <row r="25" spans="1:12" hidden="1" x14ac:dyDescent="0.25">
      <c r="A25" s="1" t="s">
        <v>19</v>
      </c>
      <c r="B25" s="1" t="s">
        <v>20</v>
      </c>
      <c r="C25" s="1">
        <v>2021</v>
      </c>
      <c r="D25" s="1">
        <v>16371</v>
      </c>
      <c r="E25" s="1">
        <v>13</v>
      </c>
      <c r="F25" s="1">
        <v>80</v>
      </c>
      <c r="G25" s="1">
        <v>781853496</v>
      </c>
      <c r="H25" s="1">
        <v>90</v>
      </c>
      <c r="I25" s="1">
        <v>14.3</v>
      </c>
      <c r="J25" s="1">
        <v>92</v>
      </c>
      <c r="K25" s="1">
        <v>89</v>
      </c>
      <c r="L25" s="1" t="s">
        <v>20</v>
      </c>
    </row>
    <row r="26" spans="1:12" hidden="1" x14ac:dyDescent="0.25">
      <c r="A26" s="1" t="s">
        <v>21</v>
      </c>
      <c r="B26" s="1" t="s">
        <v>22</v>
      </c>
      <c r="C26" s="1">
        <v>2020</v>
      </c>
      <c r="D26" s="1">
        <v>63215</v>
      </c>
      <c r="E26" s="1">
        <v>7.4</v>
      </c>
      <c r="F26" s="1">
        <v>72</v>
      </c>
      <c r="G26" s="1">
        <v>558355032</v>
      </c>
      <c r="H26" s="1">
        <v>67</v>
      </c>
      <c r="I26" s="1">
        <v>15.8</v>
      </c>
      <c r="J26" s="1">
        <v>86</v>
      </c>
      <c r="K26" s="1">
        <v>87</v>
      </c>
      <c r="L26" s="1" t="s">
        <v>14</v>
      </c>
    </row>
    <row r="27" spans="1:12" hidden="1" x14ac:dyDescent="0.25">
      <c r="A27" s="1" t="s">
        <v>23</v>
      </c>
      <c r="B27" s="1" t="s">
        <v>18</v>
      </c>
      <c r="C27" s="1">
        <v>2021</v>
      </c>
      <c r="D27" s="1">
        <v>42849</v>
      </c>
      <c r="E27" s="1">
        <v>14.3</v>
      </c>
      <c r="F27" s="1">
        <v>73</v>
      </c>
      <c r="G27" s="1">
        <v>793703952</v>
      </c>
      <c r="H27" s="1">
        <v>61</v>
      </c>
      <c r="I27" s="1">
        <v>16.600000000000001</v>
      </c>
      <c r="J27" s="1">
        <v>78</v>
      </c>
      <c r="K27" s="1">
        <v>55</v>
      </c>
      <c r="L27" s="1" t="s">
        <v>18</v>
      </c>
    </row>
    <row r="28" spans="1:12" hidden="1" x14ac:dyDescent="0.25">
      <c r="A28" s="1" t="s">
        <v>24</v>
      </c>
      <c r="B28" s="1" t="s">
        <v>16</v>
      </c>
      <c r="C28" s="1">
        <v>2022</v>
      </c>
      <c r="D28" s="1">
        <v>43484</v>
      </c>
      <c r="E28" s="1">
        <v>4.0999999999999996</v>
      </c>
      <c r="F28" s="1">
        <v>84</v>
      </c>
      <c r="G28" s="1">
        <v>987668740</v>
      </c>
      <c r="H28" s="1">
        <v>89</v>
      </c>
      <c r="I28" s="1">
        <v>12</v>
      </c>
      <c r="J28" s="1">
        <v>84</v>
      </c>
      <c r="K28" s="1">
        <v>63</v>
      </c>
      <c r="L28" s="1" t="s">
        <v>16</v>
      </c>
    </row>
    <row r="29" spans="1:12" hidden="1" x14ac:dyDescent="0.25">
      <c r="A29" s="1" t="s">
        <v>25</v>
      </c>
      <c r="B29" s="1" t="s">
        <v>26</v>
      </c>
      <c r="C29" s="1">
        <v>2021</v>
      </c>
      <c r="D29" s="1">
        <v>59114</v>
      </c>
      <c r="E29" s="1">
        <v>14.2</v>
      </c>
      <c r="F29" s="1">
        <v>70</v>
      </c>
      <c r="G29" s="1">
        <v>1006359670</v>
      </c>
      <c r="H29" s="1">
        <v>92</v>
      </c>
      <c r="I29" s="1">
        <v>5.6</v>
      </c>
      <c r="J29" s="1">
        <v>84</v>
      </c>
      <c r="K29" s="1">
        <v>71</v>
      </c>
      <c r="L29" s="1" t="s">
        <v>26</v>
      </c>
    </row>
    <row r="30" spans="1:12" hidden="1" x14ac:dyDescent="0.25">
      <c r="A30" s="1" t="s">
        <v>27</v>
      </c>
      <c r="B30" s="1" t="s">
        <v>22</v>
      </c>
      <c r="C30" s="1">
        <v>2020</v>
      </c>
      <c r="D30" s="1">
        <v>44194</v>
      </c>
      <c r="E30" s="1">
        <v>4.4000000000000004</v>
      </c>
      <c r="F30" s="1">
        <v>78</v>
      </c>
      <c r="G30" s="1">
        <v>1361478031</v>
      </c>
      <c r="H30" s="1">
        <v>71</v>
      </c>
      <c r="I30" s="1">
        <v>3.3</v>
      </c>
      <c r="J30" s="1">
        <v>94</v>
      </c>
      <c r="K30" s="1">
        <v>50</v>
      </c>
      <c r="L30" s="1" t="s">
        <v>14</v>
      </c>
    </row>
    <row r="31" spans="1:12" hidden="1" x14ac:dyDescent="0.25">
      <c r="A31" s="1" t="s">
        <v>28</v>
      </c>
      <c r="B31" s="1" t="s">
        <v>29</v>
      </c>
      <c r="C31" s="1">
        <v>2020</v>
      </c>
      <c r="D31" s="1">
        <v>56144</v>
      </c>
      <c r="E31" s="1">
        <v>7.1</v>
      </c>
      <c r="F31" s="1">
        <v>70</v>
      </c>
      <c r="G31" s="1">
        <v>1136140974</v>
      </c>
      <c r="H31" s="1">
        <v>60</v>
      </c>
      <c r="I31" s="1">
        <v>8</v>
      </c>
      <c r="J31" s="1">
        <v>88</v>
      </c>
      <c r="K31" s="1">
        <v>61</v>
      </c>
      <c r="L31" s="1" t="s">
        <v>29</v>
      </c>
    </row>
    <row r="32" spans="1:12" hidden="1" x14ac:dyDescent="0.25">
      <c r="A32" s="1" t="s">
        <v>12</v>
      </c>
      <c r="B32" s="1" t="s">
        <v>13</v>
      </c>
      <c r="C32" s="1">
        <v>2021</v>
      </c>
      <c r="D32" s="1">
        <v>35240</v>
      </c>
      <c r="E32" s="1">
        <v>4.7</v>
      </c>
      <c r="F32" s="1">
        <v>67</v>
      </c>
      <c r="G32" s="1">
        <v>347279427</v>
      </c>
      <c r="H32" s="1">
        <v>84</v>
      </c>
      <c r="I32" s="1">
        <v>22.9</v>
      </c>
      <c r="J32" s="1">
        <v>97</v>
      </c>
      <c r="K32" s="1">
        <v>54</v>
      </c>
      <c r="L32" s="1" t="s">
        <v>14</v>
      </c>
    </row>
    <row r="33" spans="1:12" hidden="1" x14ac:dyDescent="0.25">
      <c r="A33" s="1" t="s">
        <v>15</v>
      </c>
      <c r="B33" s="1" t="s">
        <v>16</v>
      </c>
      <c r="C33" s="1">
        <v>2020</v>
      </c>
      <c r="D33" s="1">
        <v>65393</v>
      </c>
      <c r="E33" s="1">
        <v>13.9</v>
      </c>
      <c r="F33" s="1">
        <v>66</v>
      </c>
      <c r="G33" s="1">
        <v>1311001448</v>
      </c>
      <c r="H33" s="1">
        <v>50</v>
      </c>
      <c r="I33" s="1">
        <v>6.7</v>
      </c>
      <c r="J33" s="1">
        <v>78</v>
      </c>
      <c r="K33" s="1">
        <v>87</v>
      </c>
      <c r="L33" s="1" t="s">
        <v>16</v>
      </c>
    </row>
    <row r="34" spans="1:12" hidden="1" x14ac:dyDescent="0.25">
      <c r="A34" s="1" t="s">
        <v>17</v>
      </c>
      <c r="B34" s="1" t="s">
        <v>18</v>
      </c>
      <c r="C34" s="1">
        <v>2022</v>
      </c>
      <c r="D34" s="1">
        <v>11497</v>
      </c>
      <c r="E34" s="1">
        <v>7.4</v>
      </c>
      <c r="F34" s="1">
        <v>68</v>
      </c>
      <c r="G34" s="1">
        <v>518591098</v>
      </c>
      <c r="H34" s="1">
        <v>75</v>
      </c>
      <c r="I34" s="1">
        <v>22.9</v>
      </c>
      <c r="J34" s="1">
        <v>97</v>
      </c>
      <c r="K34" s="1">
        <v>76</v>
      </c>
      <c r="L34" s="1" t="s">
        <v>18</v>
      </c>
    </row>
    <row r="35" spans="1:12" hidden="1" x14ac:dyDescent="0.25">
      <c r="A35" s="1" t="s">
        <v>19</v>
      </c>
      <c r="B35" s="1" t="s">
        <v>20</v>
      </c>
      <c r="C35" s="1">
        <v>2022</v>
      </c>
      <c r="D35" s="1">
        <v>60984</v>
      </c>
      <c r="E35" s="1">
        <v>8.4</v>
      </c>
      <c r="F35" s="1">
        <v>63</v>
      </c>
      <c r="G35" s="1">
        <v>318736337</v>
      </c>
      <c r="H35" s="1">
        <v>67</v>
      </c>
      <c r="I35" s="1">
        <v>4.2</v>
      </c>
      <c r="J35" s="1">
        <v>82</v>
      </c>
      <c r="K35" s="1">
        <v>62</v>
      </c>
      <c r="L35" s="1" t="s">
        <v>20</v>
      </c>
    </row>
    <row r="36" spans="1:12" hidden="1" x14ac:dyDescent="0.25">
      <c r="A36" s="1" t="s">
        <v>21</v>
      </c>
      <c r="B36" s="1" t="s">
        <v>22</v>
      </c>
      <c r="C36" s="1">
        <v>2021</v>
      </c>
      <c r="D36" s="1">
        <v>34214</v>
      </c>
      <c r="E36" s="1">
        <v>13.2</v>
      </c>
      <c r="F36" s="1">
        <v>73</v>
      </c>
      <c r="G36" s="1">
        <v>1162132779</v>
      </c>
      <c r="H36" s="1">
        <v>85</v>
      </c>
      <c r="I36" s="1">
        <v>12.4</v>
      </c>
      <c r="J36" s="1">
        <v>74</v>
      </c>
      <c r="K36" s="1">
        <v>58</v>
      </c>
      <c r="L36" s="1" t="s">
        <v>14</v>
      </c>
    </row>
    <row r="37" spans="1:12" hidden="1" x14ac:dyDescent="0.25">
      <c r="A37" s="1" t="s">
        <v>23</v>
      </c>
      <c r="B37" s="1" t="s">
        <v>18</v>
      </c>
      <c r="C37" s="1">
        <v>2022</v>
      </c>
      <c r="D37" s="1">
        <v>67823</v>
      </c>
      <c r="E37" s="1">
        <v>5.3</v>
      </c>
      <c r="F37" s="1">
        <v>76</v>
      </c>
      <c r="G37" s="1">
        <v>607447700</v>
      </c>
      <c r="H37" s="1">
        <v>55</v>
      </c>
      <c r="I37" s="1">
        <v>4.5</v>
      </c>
      <c r="J37" s="1">
        <v>88</v>
      </c>
      <c r="K37" s="1">
        <v>58</v>
      </c>
      <c r="L37" s="1" t="s">
        <v>18</v>
      </c>
    </row>
    <row r="38" spans="1:12" hidden="1" x14ac:dyDescent="0.25">
      <c r="A38" s="1" t="s">
        <v>24</v>
      </c>
      <c r="B38" s="1" t="s">
        <v>16</v>
      </c>
      <c r="C38" s="1">
        <v>2022</v>
      </c>
      <c r="D38" s="1">
        <v>51976</v>
      </c>
      <c r="E38" s="1">
        <v>5.4</v>
      </c>
      <c r="F38" s="1">
        <v>73</v>
      </c>
      <c r="G38" s="1">
        <v>661569142</v>
      </c>
      <c r="H38" s="1">
        <v>63</v>
      </c>
      <c r="I38" s="1">
        <v>10.199999999999999</v>
      </c>
      <c r="J38" s="1">
        <v>99</v>
      </c>
      <c r="K38" s="1">
        <v>87</v>
      </c>
      <c r="L38" s="1" t="s">
        <v>16</v>
      </c>
    </row>
    <row r="39" spans="1:12" hidden="1" x14ac:dyDescent="0.25">
      <c r="A39" s="1" t="s">
        <v>25</v>
      </c>
      <c r="B39" s="1" t="s">
        <v>26</v>
      </c>
      <c r="C39" s="1">
        <v>2020</v>
      </c>
      <c r="D39" s="1">
        <v>61612</v>
      </c>
      <c r="E39" s="1">
        <v>6.8</v>
      </c>
      <c r="F39" s="1">
        <v>84</v>
      </c>
      <c r="G39" s="1">
        <v>1335176541</v>
      </c>
      <c r="H39" s="1">
        <v>63</v>
      </c>
      <c r="I39" s="1">
        <v>14.9</v>
      </c>
      <c r="J39" s="1">
        <v>73</v>
      </c>
      <c r="K39" s="1">
        <v>69</v>
      </c>
      <c r="L39" s="1" t="s">
        <v>26</v>
      </c>
    </row>
    <row r="40" spans="1:12" hidden="1" x14ac:dyDescent="0.25">
      <c r="A40" s="1" t="s">
        <v>27</v>
      </c>
      <c r="B40" s="1" t="s">
        <v>22</v>
      </c>
      <c r="C40" s="1">
        <v>2020</v>
      </c>
      <c r="D40" s="1">
        <v>13090</v>
      </c>
      <c r="E40" s="1">
        <v>12.9</v>
      </c>
      <c r="F40" s="1">
        <v>62</v>
      </c>
      <c r="G40" s="1">
        <v>805568777</v>
      </c>
      <c r="H40" s="1">
        <v>69</v>
      </c>
      <c r="I40" s="1">
        <v>13</v>
      </c>
      <c r="J40" s="1">
        <v>70</v>
      </c>
      <c r="K40" s="1">
        <v>33</v>
      </c>
      <c r="L40" s="1" t="s">
        <v>14</v>
      </c>
    </row>
    <row r="41" spans="1:12" hidden="1" x14ac:dyDescent="0.25">
      <c r="A41" s="1" t="s">
        <v>28</v>
      </c>
      <c r="B41" s="1" t="s">
        <v>29</v>
      </c>
      <c r="C41" s="1">
        <v>2021</v>
      </c>
      <c r="D41" s="1">
        <v>50374</v>
      </c>
      <c r="E41" s="1">
        <v>14.6</v>
      </c>
      <c r="F41" s="1">
        <v>84</v>
      </c>
      <c r="G41" s="1">
        <v>325233161</v>
      </c>
      <c r="H41" s="1">
        <v>64</v>
      </c>
      <c r="I41" s="1">
        <v>13</v>
      </c>
      <c r="J41" s="1">
        <v>86</v>
      </c>
      <c r="K41" s="1">
        <v>50</v>
      </c>
      <c r="L41" s="1" t="s">
        <v>29</v>
      </c>
    </row>
    <row r="42" spans="1:12" x14ac:dyDescent="0.25">
      <c r="A42" s="1" t="s">
        <v>12</v>
      </c>
      <c r="B42" s="1" t="s">
        <v>13</v>
      </c>
      <c r="C42" s="1">
        <v>2022</v>
      </c>
      <c r="D42" s="1">
        <v>11255</v>
      </c>
      <c r="E42" s="1">
        <v>13.7</v>
      </c>
      <c r="F42" s="1">
        <v>64</v>
      </c>
      <c r="G42" s="1">
        <v>1404371911</v>
      </c>
      <c r="H42" s="1">
        <v>64</v>
      </c>
      <c r="I42" s="1">
        <v>5.7</v>
      </c>
      <c r="J42" s="1">
        <v>80</v>
      </c>
      <c r="K42" s="1">
        <v>82</v>
      </c>
      <c r="L42" s="1" t="s">
        <v>14</v>
      </c>
    </row>
    <row r="43" spans="1:12" hidden="1" x14ac:dyDescent="0.25">
      <c r="A43" s="1" t="s">
        <v>15</v>
      </c>
      <c r="B43" s="1" t="s">
        <v>16</v>
      </c>
      <c r="C43" s="1">
        <v>2021</v>
      </c>
      <c r="D43" s="1">
        <v>59007</v>
      </c>
      <c r="E43" s="1">
        <v>3.5</v>
      </c>
      <c r="F43" s="1">
        <v>65</v>
      </c>
      <c r="G43" s="1">
        <v>502614406</v>
      </c>
      <c r="H43" s="1">
        <v>89</v>
      </c>
      <c r="I43" s="1">
        <v>17.899999999999999</v>
      </c>
      <c r="J43" s="1">
        <v>77</v>
      </c>
      <c r="K43" s="1">
        <v>55</v>
      </c>
      <c r="L43" s="1" t="s">
        <v>16</v>
      </c>
    </row>
    <row r="44" spans="1:12" hidden="1" x14ac:dyDescent="0.25">
      <c r="A44" s="1" t="s">
        <v>17</v>
      </c>
      <c r="B44" s="1" t="s">
        <v>18</v>
      </c>
      <c r="C44" s="1">
        <v>2022</v>
      </c>
      <c r="D44" s="1">
        <v>40567</v>
      </c>
      <c r="E44" s="1">
        <v>13</v>
      </c>
      <c r="F44" s="1">
        <v>60</v>
      </c>
      <c r="G44" s="1">
        <v>1073893367</v>
      </c>
      <c r="H44" s="1">
        <v>62</v>
      </c>
      <c r="I44" s="1">
        <v>13.7</v>
      </c>
      <c r="J44" s="1">
        <v>89</v>
      </c>
      <c r="K44" s="1">
        <v>40</v>
      </c>
      <c r="L44" s="1" t="s">
        <v>18</v>
      </c>
    </row>
    <row r="45" spans="1:12" hidden="1" x14ac:dyDescent="0.25">
      <c r="A45" s="1" t="s">
        <v>19</v>
      </c>
      <c r="B45" s="1" t="s">
        <v>20</v>
      </c>
      <c r="C45" s="1">
        <v>2021</v>
      </c>
      <c r="D45" s="1">
        <v>58923</v>
      </c>
      <c r="E45" s="1">
        <v>11.9</v>
      </c>
      <c r="F45" s="1">
        <v>85</v>
      </c>
      <c r="G45" s="1">
        <v>422096839</v>
      </c>
      <c r="H45" s="1">
        <v>65</v>
      </c>
      <c r="I45" s="1">
        <v>10.1</v>
      </c>
      <c r="J45" s="1">
        <v>87</v>
      </c>
      <c r="K45" s="1">
        <v>81</v>
      </c>
      <c r="L45" s="1" t="s">
        <v>20</v>
      </c>
    </row>
    <row r="46" spans="1:12" hidden="1" x14ac:dyDescent="0.25">
      <c r="A46" s="1" t="s">
        <v>21</v>
      </c>
      <c r="B46" s="1" t="s">
        <v>22</v>
      </c>
      <c r="C46" s="1">
        <v>2020</v>
      </c>
      <c r="D46" s="1">
        <v>49810</v>
      </c>
      <c r="E46" s="1">
        <v>10.4</v>
      </c>
      <c r="F46" s="1">
        <v>73</v>
      </c>
      <c r="G46" s="1">
        <v>1099672665</v>
      </c>
      <c r="H46" s="1">
        <v>78</v>
      </c>
      <c r="I46" s="1">
        <v>9.8000000000000007</v>
      </c>
      <c r="J46" s="1">
        <v>71</v>
      </c>
      <c r="K46" s="1">
        <v>58</v>
      </c>
      <c r="L46" s="1" t="s">
        <v>14</v>
      </c>
    </row>
    <row r="47" spans="1:12" hidden="1" x14ac:dyDescent="0.25">
      <c r="A47" s="1" t="s">
        <v>23</v>
      </c>
      <c r="B47" s="1" t="s">
        <v>18</v>
      </c>
      <c r="C47" s="1">
        <v>2021</v>
      </c>
      <c r="D47" s="1">
        <v>41139</v>
      </c>
      <c r="E47" s="1">
        <v>9.6</v>
      </c>
      <c r="F47" s="1">
        <v>66</v>
      </c>
      <c r="G47" s="1">
        <v>592002155</v>
      </c>
      <c r="H47" s="1">
        <v>68</v>
      </c>
      <c r="I47" s="1">
        <v>15.4</v>
      </c>
      <c r="J47" s="1">
        <v>93</v>
      </c>
      <c r="K47" s="1">
        <v>60</v>
      </c>
      <c r="L47" s="1" t="s">
        <v>18</v>
      </c>
    </row>
    <row r="48" spans="1:12" hidden="1" x14ac:dyDescent="0.25">
      <c r="A48" s="1" t="s">
        <v>24</v>
      </c>
      <c r="B48" s="1" t="s">
        <v>16</v>
      </c>
      <c r="C48" s="1">
        <v>2020</v>
      </c>
      <c r="D48" s="1">
        <v>33558</v>
      </c>
      <c r="E48" s="1">
        <v>8.6999999999999993</v>
      </c>
      <c r="F48" s="1">
        <v>74</v>
      </c>
      <c r="G48" s="1">
        <v>1014884760</v>
      </c>
      <c r="H48" s="1">
        <v>58</v>
      </c>
      <c r="I48" s="1">
        <v>21.6</v>
      </c>
      <c r="J48" s="1">
        <v>74</v>
      </c>
      <c r="K48" s="1">
        <v>62</v>
      </c>
      <c r="L48" s="1" t="s">
        <v>16</v>
      </c>
    </row>
    <row r="49" spans="1:12" hidden="1" x14ac:dyDescent="0.25">
      <c r="A49" s="1" t="s">
        <v>25</v>
      </c>
      <c r="B49" s="1" t="s">
        <v>26</v>
      </c>
      <c r="C49" s="1">
        <v>2020</v>
      </c>
      <c r="D49" s="1">
        <v>54191</v>
      </c>
      <c r="E49" s="1">
        <v>10.1</v>
      </c>
      <c r="F49" s="1">
        <v>60</v>
      </c>
      <c r="G49" s="1">
        <v>53256055</v>
      </c>
      <c r="H49" s="1">
        <v>61</v>
      </c>
      <c r="I49" s="1">
        <v>6.1</v>
      </c>
      <c r="J49" s="1">
        <v>73</v>
      </c>
      <c r="K49" s="1">
        <v>89</v>
      </c>
      <c r="L49" s="1" t="s">
        <v>26</v>
      </c>
    </row>
    <row r="50" spans="1:12" hidden="1" x14ac:dyDescent="0.25">
      <c r="A50" s="1" t="s">
        <v>27</v>
      </c>
      <c r="B50" s="1" t="s">
        <v>22</v>
      </c>
      <c r="C50" s="1">
        <v>2021</v>
      </c>
      <c r="D50" s="1">
        <v>3025</v>
      </c>
      <c r="E50" s="1">
        <v>16.600000000000001</v>
      </c>
      <c r="F50" s="1">
        <v>81</v>
      </c>
      <c r="G50" s="1">
        <v>852373935</v>
      </c>
      <c r="H50" s="1">
        <v>63</v>
      </c>
      <c r="I50" s="1">
        <v>8.3000000000000007</v>
      </c>
      <c r="J50" s="1">
        <v>96</v>
      </c>
      <c r="K50" s="1">
        <v>44</v>
      </c>
      <c r="L50" s="1" t="s">
        <v>14</v>
      </c>
    </row>
    <row r="51" spans="1:12" hidden="1" x14ac:dyDescent="0.25">
      <c r="A51" s="1" t="s">
        <v>28</v>
      </c>
      <c r="B51" s="1" t="s">
        <v>29</v>
      </c>
      <c r="C51" s="1">
        <v>2022</v>
      </c>
      <c r="D51" s="1">
        <v>11842</v>
      </c>
      <c r="E51" s="1">
        <v>14.8</v>
      </c>
      <c r="F51" s="1">
        <v>61</v>
      </c>
      <c r="G51" s="1">
        <v>103435563</v>
      </c>
      <c r="H51" s="1">
        <v>79</v>
      </c>
      <c r="I51" s="1">
        <v>5</v>
      </c>
      <c r="J51" s="1">
        <v>81</v>
      </c>
      <c r="K51" s="1">
        <v>59</v>
      </c>
      <c r="L51" s="1" t="s">
        <v>29</v>
      </c>
    </row>
    <row r="52" spans="1:12" x14ac:dyDescent="0.25">
      <c r="A52" s="1" t="s">
        <v>12</v>
      </c>
      <c r="B52" s="1" t="s">
        <v>13</v>
      </c>
      <c r="C52" s="1">
        <v>2022</v>
      </c>
      <c r="D52" s="1">
        <v>8464</v>
      </c>
      <c r="E52" s="1">
        <v>10.1</v>
      </c>
      <c r="F52" s="1">
        <v>67</v>
      </c>
      <c r="G52" s="1">
        <v>1235541893</v>
      </c>
      <c r="H52" s="1">
        <v>91</v>
      </c>
      <c r="I52" s="1">
        <v>8.6</v>
      </c>
      <c r="J52" s="1">
        <v>79</v>
      </c>
      <c r="K52" s="1">
        <v>54</v>
      </c>
      <c r="L52" s="1" t="s">
        <v>14</v>
      </c>
    </row>
    <row r="53" spans="1:12" hidden="1" x14ac:dyDescent="0.25">
      <c r="A53" s="1" t="s">
        <v>15</v>
      </c>
      <c r="B53" s="1" t="s">
        <v>16</v>
      </c>
      <c r="C53" s="1">
        <v>2020</v>
      </c>
      <c r="D53" s="1">
        <v>58516</v>
      </c>
      <c r="E53" s="1">
        <v>7.2</v>
      </c>
      <c r="F53" s="1">
        <v>76</v>
      </c>
      <c r="G53" s="1">
        <v>982998397</v>
      </c>
      <c r="H53" s="1">
        <v>54</v>
      </c>
      <c r="I53" s="1">
        <v>17.899999999999999</v>
      </c>
      <c r="J53" s="1">
        <v>100</v>
      </c>
      <c r="K53" s="1">
        <v>78</v>
      </c>
      <c r="L53" s="1" t="s">
        <v>16</v>
      </c>
    </row>
    <row r="54" spans="1:12" hidden="1" x14ac:dyDescent="0.25">
      <c r="A54" s="1" t="s">
        <v>17</v>
      </c>
      <c r="B54" s="1" t="s">
        <v>18</v>
      </c>
      <c r="C54" s="1">
        <v>2021</v>
      </c>
      <c r="D54" s="1">
        <v>29296</v>
      </c>
      <c r="E54" s="1">
        <v>16.100000000000001</v>
      </c>
      <c r="F54" s="1">
        <v>65</v>
      </c>
      <c r="G54" s="1">
        <v>1484677109</v>
      </c>
      <c r="H54" s="1">
        <v>64</v>
      </c>
      <c r="I54" s="1">
        <v>11.6</v>
      </c>
      <c r="J54" s="1">
        <v>87</v>
      </c>
      <c r="K54" s="1">
        <v>37</v>
      </c>
      <c r="L54" s="1" t="s">
        <v>18</v>
      </c>
    </row>
    <row r="55" spans="1:12" hidden="1" x14ac:dyDescent="0.25">
      <c r="A55" s="1" t="s">
        <v>19</v>
      </c>
      <c r="B55" s="1" t="s">
        <v>20</v>
      </c>
      <c r="C55" s="1">
        <v>2022</v>
      </c>
      <c r="D55" s="1">
        <v>20608</v>
      </c>
      <c r="E55" s="1">
        <v>5.6</v>
      </c>
      <c r="F55" s="1">
        <v>77</v>
      </c>
      <c r="G55" s="1">
        <v>1036525703</v>
      </c>
      <c r="H55" s="1">
        <v>83</v>
      </c>
      <c r="I55" s="1">
        <v>24.6</v>
      </c>
      <c r="J55" s="1">
        <v>88</v>
      </c>
      <c r="K55" s="1">
        <v>68</v>
      </c>
      <c r="L55" s="1" t="s">
        <v>20</v>
      </c>
    </row>
    <row r="56" spans="1:12" hidden="1" x14ac:dyDescent="0.25">
      <c r="A56" s="1" t="s">
        <v>21</v>
      </c>
      <c r="B56" s="1" t="s">
        <v>22</v>
      </c>
      <c r="C56" s="1">
        <v>2021</v>
      </c>
      <c r="D56" s="1">
        <v>22232</v>
      </c>
      <c r="E56" s="1">
        <v>16.8</v>
      </c>
      <c r="F56" s="1">
        <v>80</v>
      </c>
      <c r="G56" s="1">
        <v>1417363838</v>
      </c>
      <c r="H56" s="1">
        <v>79</v>
      </c>
      <c r="I56" s="1">
        <v>17</v>
      </c>
      <c r="J56" s="1">
        <v>90</v>
      </c>
      <c r="K56" s="1">
        <v>47</v>
      </c>
      <c r="L56" s="1" t="s">
        <v>14</v>
      </c>
    </row>
    <row r="57" spans="1:12" hidden="1" x14ac:dyDescent="0.25">
      <c r="A57" s="1" t="s">
        <v>23</v>
      </c>
      <c r="B57" s="1" t="s">
        <v>18</v>
      </c>
      <c r="C57" s="1">
        <v>2020</v>
      </c>
      <c r="D57" s="1">
        <v>47638</v>
      </c>
      <c r="E57" s="1">
        <v>16.7</v>
      </c>
      <c r="F57" s="1">
        <v>84</v>
      </c>
      <c r="G57" s="1">
        <v>653352950</v>
      </c>
      <c r="H57" s="1">
        <v>77</v>
      </c>
      <c r="I57" s="1">
        <v>20.6</v>
      </c>
      <c r="J57" s="1">
        <v>70</v>
      </c>
      <c r="K57" s="1">
        <v>36</v>
      </c>
      <c r="L57" s="1" t="s">
        <v>18</v>
      </c>
    </row>
    <row r="58" spans="1:12" hidden="1" x14ac:dyDescent="0.25">
      <c r="A58" s="1" t="s">
        <v>24</v>
      </c>
      <c r="B58" s="1" t="s">
        <v>16</v>
      </c>
      <c r="C58" s="1">
        <v>2022</v>
      </c>
      <c r="D58" s="1">
        <v>15907</v>
      </c>
      <c r="E58" s="1">
        <v>8.4</v>
      </c>
      <c r="F58" s="1">
        <v>70</v>
      </c>
      <c r="G58" s="1">
        <v>385133136</v>
      </c>
      <c r="H58" s="1">
        <v>69</v>
      </c>
      <c r="I58" s="1">
        <v>16.5</v>
      </c>
      <c r="J58" s="1">
        <v>97</v>
      </c>
      <c r="K58" s="1">
        <v>82</v>
      </c>
      <c r="L58" s="1" t="s">
        <v>16</v>
      </c>
    </row>
    <row r="59" spans="1:12" hidden="1" x14ac:dyDescent="0.25">
      <c r="A59" s="1" t="s">
        <v>25</v>
      </c>
      <c r="B59" s="1" t="s">
        <v>26</v>
      </c>
      <c r="C59" s="1">
        <v>2021</v>
      </c>
      <c r="D59" s="1">
        <v>17817</v>
      </c>
      <c r="E59" s="1">
        <v>3.8</v>
      </c>
      <c r="F59" s="1">
        <v>75</v>
      </c>
      <c r="G59" s="1">
        <v>868606524</v>
      </c>
      <c r="H59" s="1">
        <v>57</v>
      </c>
      <c r="I59" s="1">
        <v>4.9000000000000004</v>
      </c>
      <c r="J59" s="1">
        <v>89</v>
      </c>
      <c r="K59" s="1">
        <v>89</v>
      </c>
      <c r="L59" s="1" t="s">
        <v>26</v>
      </c>
    </row>
    <row r="60" spans="1:12" hidden="1" x14ac:dyDescent="0.25">
      <c r="A60" s="1" t="s">
        <v>27</v>
      </c>
      <c r="B60" s="1" t="s">
        <v>22</v>
      </c>
      <c r="C60" s="1">
        <v>2022</v>
      </c>
      <c r="D60" s="1">
        <v>28143</v>
      </c>
      <c r="E60" s="1">
        <v>13.8</v>
      </c>
      <c r="F60" s="1">
        <v>84</v>
      </c>
      <c r="G60" s="1">
        <v>147609180</v>
      </c>
      <c r="H60" s="1">
        <v>76</v>
      </c>
      <c r="I60" s="1">
        <v>3.6</v>
      </c>
      <c r="J60" s="1">
        <v>75</v>
      </c>
      <c r="K60" s="1">
        <v>54</v>
      </c>
      <c r="L60" s="1" t="s">
        <v>14</v>
      </c>
    </row>
    <row r="61" spans="1:12" hidden="1" x14ac:dyDescent="0.25">
      <c r="A61" s="1" t="s">
        <v>28</v>
      </c>
      <c r="B61" s="1" t="s">
        <v>29</v>
      </c>
      <c r="C61" s="1">
        <v>2022</v>
      </c>
      <c r="D61" s="1">
        <v>27234</v>
      </c>
      <c r="E61" s="1">
        <v>8.3000000000000007</v>
      </c>
      <c r="F61" s="1">
        <v>84</v>
      </c>
      <c r="G61" s="1">
        <v>990411739</v>
      </c>
      <c r="H61" s="1">
        <v>91</v>
      </c>
      <c r="I61" s="1">
        <v>10.7</v>
      </c>
      <c r="J61" s="1">
        <v>80</v>
      </c>
      <c r="K61" s="1">
        <v>58</v>
      </c>
      <c r="L61" s="1" t="s">
        <v>29</v>
      </c>
    </row>
    <row r="62" spans="1:12" hidden="1" x14ac:dyDescent="0.25">
      <c r="A62" s="1" t="s">
        <v>12</v>
      </c>
      <c r="B62" s="1" t="s">
        <v>13</v>
      </c>
      <c r="C62" s="1">
        <v>2021</v>
      </c>
      <c r="D62" s="1">
        <v>49367</v>
      </c>
      <c r="E62" s="1">
        <v>3.3</v>
      </c>
      <c r="F62" s="1">
        <v>70</v>
      </c>
      <c r="G62" s="1">
        <v>548157662</v>
      </c>
      <c r="H62" s="1">
        <v>68</v>
      </c>
      <c r="I62" s="1">
        <v>4.4000000000000004</v>
      </c>
      <c r="J62" s="1">
        <v>99</v>
      </c>
      <c r="K62" s="1">
        <v>71</v>
      </c>
      <c r="L62" s="1" t="s">
        <v>14</v>
      </c>
    </row>
    <row r="63" spans="1:12" hidden="1" x14ac:dyDescent="0.25">
      <c r="A63" s="1" t="s">
        <v>15</v>
      </c>
      <c r="B63" s="1" t="s">
        <v>16</v>
      </c>
      <c r="C63" s="1">
        <v>2021</v>
      </c>
      <c r="D63" s="1">
        <v>10866</v>
      </c>
      <c r="E63" s="1">
        <v>3.7</v>
      </c>
      <c r="F63" s="1">
        <v>83</v>
      </c>
      <c r="G63" s="1">
        <v>1419064325</v>
      </c>
      <c r="H63" s="1">
        <v>76</v>
      </c>
      <c r="I63" s="1">
        <v>15</v>
      </c>
      <c r="J63" s="1">
        <v>100</v>
      </c>
      <c r="K63" s="1">
        <v>76</v>
      </c>
      <c r="L63" s="1" t="s">
        <v>16</v>
      </c>
    </row>
    <row r="64" spans="1:12" hidden="1" x14ac:dyDescent="0.25">
      <c r="A64" s="1" t="s">
        <v>17</v>
      </c>
      <c r="B64" s="1" t="s">
        <v>18</v>
      </c>
      <c r="C64" s="1">
        <v>2022</v>
      </c>
      <c r="D64" s="1">
        <v>49125</v>
      </c>
      <c r="E64" s="1">
        <v>8.8000000000000007</v>
      </c>
      <c r="F64" s="1">
        <v>67</v>
      </c>
      <c r="G64" s="1">
        <v>989617288</v>
      </c>
      <c r="H64" s="1">
        <v>51</v>
      </c>
      <c r="I64" s="1">
        <v>4.0999999999999996</v>
      </c>
      <c r="J64" s="1">
        <v>78</v>
      </c>
      <c r="K64" s="1">
        <v>86</v>
      </c>
      <c r="L64" s="1" t="s">
        <v>18</v>
      </c>
    </row>
    <row r="65" spans="1:12" hidden="1" x14ac:dyDescent="0.25">
      <c r="A65" s="1" t="s">
        <v>19</v>
      </c>
      <c r="B65" s="1" t="s">
        <v>20</v>
      </c>
      <c r="C65" s="1">
        <v>2021</v>
      </c>
      <c r="D65" s="1">
        <v>15389</v>
      </c>
      <c r="E65" s="1">
        <v>14.4</v>
      </c>
      <c r="F65" s="1">
        <v>76</v>
      </c>
      <c r="G65" s="1">
        <v>1460834804</v>
      </c>
      <c r="H65" s="1">
        <v>93</v>
      </c>
      <c r="I65" s="1">
        <v>10.5</v>
      </c>
      <c r="J65" s="1">
        <v>80</v>
      </c>
      <c r="K65" s="1">
        <v>77</v>
      </c>
      <c r="L65" s="1" t="s">
        <v>20</v>
      </c>
    </row>
    <row r="66" spans="1:12" hidden="1" x14ac:dyDescent="0.25">
      <c r="A66" s="1" t="s">
        <v>21</v>
      </c>
      <c r="B66" s="1" t="s">
        <v>22</v>
      </c>
      <c r="C66" s="1">
        <v>2021</v>
      </c>
      <c r="D66" s="1">
        <v>34433</v>
      </c>
      <c r="E66" s="1">
        <v>14</v>
      </c>
      <c r="F66" s="1">
        <v>75</v>
      </c>
      <c r="G66" s="1">
        <v>399265416</v>
      </c>
      <c r="H66" s="1">
        <v>61</v>
      </c>
      <c r="I66" s="1">
        <v>15.4</v>
      </c>
      <c r="J66" s="1">
        <v>91</v>
      </c>
      <c r="K66" s="1">
        <v>39</v>
      </c>
      <c r="L66" s="1" t="s">
        <v>14</v>
      </c>
    </row>
    <row r="67" spans="1:12" hidden="1" x14ac:dyDescent="0.25">
      <c r="A67" s="1" t="s">
        <v>23</v>
      </c>
      <c r="B67" s="1" t="s">
        <v>18</v>
      </c>
      <c r="C67" s="1">
        <v>2022</v>
      </c>
      <c r="D67" s="1">
        <v>65671</v>
      </c>
      <c r="E67" s="1">
        <v>4.2</v>
      </c>
      <c r="F67" s="1">
        <v>81</v>
      </c>
      <c r="G67" s="1">
        <v>997000219</v>
      </c>
      <c r="H67" s="1">
        <v>55</v>
      </c>
      <c r="I67" s="1">
        <v>11.8</v>
      </c>
      <c r="J67" s="1">
        <v>88</v>
      </c>
      <c r="K67" s="1">
        <v>83</v>
      </c>
      <c r="L67" s="1" t="s">
        <v>18</v>
      </c>
    </row>
    <row r="68" spans="1:12" hidden="1" x14ac:dyDescent="0.25">
      <c r="A68" s="1" t="s">
        <v>24</v>
      </c>
      <c r="B68" s="1" t="s">
        <v>16</v>
      </c>
      <c r="C68" s="1">
        <v>2020</v>
      </c>
      <c r="D68" s="1">
        <v>29118</v>
      </c>
      <c r="E68" s="1">
        <v>9.6999999999999993</v>
      </c>
      <c r="F68" s="1">
        <v>75</v>
      </c>
      <c r="G68" s="1">
        <v>918107039</v>
      </c>
      <c r="H68" s="1">
        <v>69</v>
      </c>
      <c r="I68" s="1">
        <v>8.3000000000000007</v>
      </c>
      <c r="J68" s="1">
        <v>80</v>
      </c>
      <c r="K68" s="1">
        <v>70</v>
      </c>
      <c r="L68" s="1" t="s">
        <v>16</v>
      </c>
    </row>
    <row r="69" spans="1:12" hidden="1" x14ac:dyDescent="0.25">
      <c r="A69" s="1" t="s">
        <v>25</v>
      </c>
      <c r="B69" s="1" t="s">
        <v>26</v>
      </c>
      <c r="C69" s="1">
        <v>2022</v>
      </c>
      <c r="D69" s="1">
        <v>7299</v>
      </c>
      <c r="E69" s="1">
        <v>16.3</v>
      </c>
      <c r="F69" s="1">
        <v>65</v>
      </c>
      <c r="G69" s="1">
        <v>1171399308</v>
      </c>
      <c r="H69" s="1">
        <v>81</v>
      </c>
      <c r="I69" s="1">
        <v>15.2</v>
      </c>
      <c r="J69" s="1">
        <v>84</v>
      </c>
      <c r="K69" s="1">
        <v>53</v>
      </c>
      <c r="L69" s="1" t="s">
        <v>26</v>
      </c>
    </row>
    <row r="70" spans="1:12" hidden="1" x14ac:dyDescent="0.25">
      <c r="A70" s="1" t="s">
        <v>27</v>
      </c>
      <c r="B70" s="1" t="s">
        <v>22</v>
      </c>
      <c r="C70" s="1">
        <v>2020</v>
      </c>
      <c r="D70" s="1">
        <v>12135</v>
      </c>
      <c r="E70" s="1">
        <v>7.1</v>
      </c>
      <c r="F70" s="1">
        <v>70</v>
      </c>
      <c r="G70" s="1">
        <v>312512490</v>
      </c>
      <c r="H70" s="1">
        <v>60</v>
      </c>
      <c r="I70" s="1">
        <v>17.600000000000001</v>
      </c>
      <c r="J70" s="1">
        <v>79</v>
      </c>
      <c r="K70" s="1">
        <v>74</v>
      </c>
      <c r="L70" s="1" t="s">
        <v>14</v>
      </c>
    </row>
    <row r="71" spans="1:12" hidden="1" x14ac:dyDescent="0.25">
      <c r="A71" s="1" t="s">
        <v>28</v>
      </c>
      <c r="B71" s="1" t="s">
        <v>29</v>
      </c>
      <c r="C71" s="1">
        <v>2022</v>
      </c>
      <c r="D71" s="1">
        <v>12646</v>
      </c>
      <c r="E71" s="1">
        <v>8.1</v>
      </c>
      <c r="F71" s="1">
        <v>69</v>
      </c>
      <c r="G71" s="1">
        <v>791588961</v>
      </c>
      <c r="H71" s="1">
        <v>53</v>
      </c>
      <c r="I71" s="1">
        <v>8.1</v>
      </c>
      <c r="J71" s="1">
        <v>99</v>
      </c>
      <c r="K71" s="1">
        <v>75</v>
      </c>
      <c r="L71" s="1" t="s">
        <v>29</v>
      </c>
    </row>
    <row r="72" spans="1:12" x14ac:dyDescent="0.25">
      <c r="A72" s="1" t="s">
        <v>12</v>
      </c>
      <c r="B72" s="1" t="s">
        <v>13</v>
      </c>
      <c r="C72" s="1">
        <v>2022</v>
      </c>
      <c r="D72" s="1">
        <v>48945</v>
      </c>
      <c r="E72" s="1">
        <v>4.3</v>
      </c>
      <c r="F72" s="1">
        <v>72</v>
      </c>
      <c r="G72" s="1">
        <v>1208978621</v>
      </c>
      <c r="H72" s="1">
        <v>88</v>
      </c>
      <c r="I72" s="1">
        <v>6.4</v>
      </c>
      <c r="J72" s="1">
        <v>100</v>
      </c>
      <c r="K72" s="1">
        <v>47</v>
      </c>
      <c r="L72" s="1" t="s">
        <v>14</v>
      </c>
    </row>
    <row r="73" spans="1:12" hidden="1" x14ac:dyDescent="0.25">
      <c r="A73" s="1" t="s">
        <v>15</v>
      </c>
      <c r="B73" s="1" t="s">
        <v>16</v>
      </c>
      <c r="C73" s="1">
        <v>2021</v>
      </c>
      <c r="D73" s="1">
        <v>50453</v>
      </c>
      <c r="E73" s="1">
        <v>14</v>
      </c>
      <c r="F73" s="1">
        <v>66</v>
      </c>
      <c r="G73" s="1">
        <v>1446031562</v>
      </c>
      <c r="H73" s="1">
        <v>80</v>
      </c>
      <c r="I73" s="1">
        <v>9.6999999999999993</v>
      </c>
      <c r="J73" s="1">
        <v>92</v>
      </c>
      <c r="K73" s="1">
        <v>72</v>
      </c>
      <c r="L73" s="1" t="s">
        <v>16</v>
      </c>
    </row>
    <row r="74" spans="1:12" hidden="1" x14ac:dyDescent="0.25">
      <c r="A74" s="1" t="s">
        <v>17</v>
      </c>
      <c r="B74" s="1" t="s">
        <v>18</v>
      </c>
      <c r="C74" s="1">
        <v>2020</v>
      </c>
      <c r="D74" s="1">
        <v>51145</v>
      </c>
      <c r="E74" s="1">
        <v>17</v>
      </c>
      <c r="F74" s="1">
        <v>83</v>
      </c>
      <c r="G74" s="1">
        <v>15001276</v>
      </c>
      <c r="H74" s="1">
        <v>94</v>
      </c>
      <c r="I74" s="1">
        <v>18.600000000000001</v>
      </c>
      <c r="J74" s="1">
        <v>71</v>
      </c>
      <c r="K74" s="1">
        <v>53</v>
      </c>
      <c r="L74" s="1" t="s">
        <v>18</v>
      </c>
    </row>
    <row r="75" spans="1:12" hidden="1" x14ac:dyDescent="0.25">
      <c r="A75" s="1" t="s">
        <v>19</v>
      </c>
      <c r="B75" s="1" t="s">
        <v>20</v>
      </c>
      <c r="C75" s="1">
        <v>2020</v>
      </c>
      <c r="D75" s="1">
        <v>66826</v>
      </c>
      <c r="E75" s="1">
        <v>12.2</v>
      </c>
      <c r="F75" s="1">
        <v>76</v>
      </c>
      <c r="G75" s="1">
        <v>977544151</v>
      </c>
      <c r="H75" s="1">
        <v>63</v>
      </c>
      <c r="I75" s="1">
        <v>17</v>
      </c>
      <c r="J75" s="1">
        <v>84</v>
      </c>
      <c r="K75" s="1">
        <v>51</v>
      </c>
      <c r="L75" s="1" t="s">
        <v>20</v>
      </c>
    </row>
    <row r="76" spans="1:12" hidden="1" x14ac:dyDescent="0.25">
      <c r="A76" s="1" t="s">
        <v>21</v>
      </c>
      <c r="B76" s="1" t="s">
        <v>22</v>
      </c>
      <c r="C76" s="1">
        <v>2020</v>
      </c>
      <c r="D76" s="1">
        <v>59521</v>
      </c>
      <c r="E76" s="1">
        <v>14.9</v>
      </c>
      <c r="F76" s="1">
        <v>68</v>
      </c>
      <c r="G76" s="1">
        <v>632459210</v>
      </c>
      <c r="H76" s="1">
        <v>92</v>
      </c>
      <c r="I76" s="1">
        <v>2.6</v>
      </c>
      <c r="J76" s="1">
        <v>78</v>
      </c>
      <c r="K76" s="1">
        <v>57</v>
      </c>
      <c r="L76" s="1" t="s">
        <v>14</v>
      </c>
    </row>
    <row r="77" spans="1:12" hidden="1" x14ac:dyDescent="0.25">
      <c r="A77" s="1" t="s">
        <v>23</v>
      </c>
      <c r="B77" s="1" t="s">
        <v>18</v>
      </c>
      <c r="C77" s="1">
        <v>2020</v>
      </c>
      <c r="D77" s="1">
        <v>57924</v>
      </c>
      <c r="E77" s="1">
        <v>6.1</v>
      </c>
      <c r="F77" s="1">
        <v>65</v>
      </c>
      <c r="G77" s="1">
        <v>100505635</v>
      </c>
      <c r="H77" s="1">
        <v>93</v>
      </c>
      <c r="I77" s="1">
        <v>21.2</v>
      </c>
      <c r="J77" s="1">
        <v>98</v>
      </c>
      <c r="K77" s="1">
        <v>59</v>
      </c>
      <c r="L77" s="1" t="s">
        <v>18</v>
      </c>
    </row>
    <row r="78" spans="1:12" hidden="1" x14ac:dyDescent="0.25">
      <c r="A78" s="1" t="s">
        <v>24</v>
      </c>
      <c r="B78" s="1" t="s">
        <v>16</v>
      </c>
      <c r="C78" s="1">
        <v>2020</v>
      </c>
      <c r="D78" s="1">
        <v>25144</v>
      </c>
      <c r="E78" s="1">
        <v>10.9</v>
      </c>
      <c r="F78" s="1">
        <v>66</v>
      </c>
      <c r="G78" s="1">
        <v>463168449</v>
      </c>
      <c r="H78" s="1">
        <v>57</v>
      </c>
      <c r="I78" s="1">
        <v>12.8</v>
      </c>
      <c r="J78" s="1">
        <v>70</v>
      </c>
      <c r="K78" s="1">
        <v>39</v>
      </c>
      <c r="L78" s="1" t="s">
        <v>16</v>
      </c>
    </row>
    <row r="79" spans="1:12" hidden="1" x14ac:dyDescent="0.25">
      <c r="A79" s="1" t="s">
        <v>25</v>
      </c>
      <c r="B79" s="1" t="s">
        <v>26</v>
      </c>
      <c r="C79" s="1">
        <v>2020</v>
      </c>
      <c r="D79" s="1">
        <v>61636</v>
      </c>
      <c r="E79" s="1">
        <v>8.3000000000000007</v>
      </c>
      <c r="F79" s="1">
        <v>62</v>
      </c>
      <c r="G79" s="1">
        <v>536876061</v>
      </c>
      <c r="H79" s="1">
        <v>70</v>
      </c>
      <c r="I79" s="1">
        <v>20.6</v>
      </c>
      <c r="J79" s="1">
        <v>91</v>
      </c>
      <c r="K79" s="1">
        <v>90</v>
      </c>
      <c r="L79" s="1" t="s">
        <v>26</v>
      </c>
    </row>
    <row r="80" spans="1:12" hidden="1" x14ac:dyDescent="0.25">
      <c r="A80" s="1" t="s">
        <v>27</v>
      </c>
      <c r="B80" s="1" t="s">
        <v>22</v>
      </c>
      <c r="C80" s="1">
        <v>2022</v>
      </c>
      <c r="D80" s="1">
        <v>63564</v>
      </c>
      <c r="E80" s="1">
        <v>7.5</v>
      </c>
      <c r="F80" s="1">
        <v>72</v>
      </c>
      <c r="G80" s="1">
        <v>939466196</v>
      </c>
      <c r="H80" s="1">
        <v>80</v>
      </c>
      <c r="I80" s="1">
        <v>14.8</v>
      </c>
      <c r="J80" s="1">
        <v>76</v>
      </c>
      <c r="K80" s="1">
        <v>66</v>
      </c>
      <c r="L80" s="1" t="s">
        <v>14</v>
      </c>
    </row>
    <row r="81" spans="1:12" hidden="1" x14ac:dyDescent="0.25">
      <c r="A81" s="1" t="s">
        <v>28</v>
      </c>
      <c r="B81" s="1" t="s">
        <v>29</v>
      </c>
      <c r="C81" s="1">
        <v>2020</v>
      </c>
      <c r="D81" s="1">
        <v>28071</v>
      </c>
      <c r="E81" s="1">
        <v>3.7</v>
      </c>
      <c r="F81" s="1">
        <v>82</v>
      </c>
      <c r="G81" s="1">
        <v>1366450380</v>
      </c>
      <c r="H81" s="1">
        <v>65</v>
      </c>
      <c r="I81" s="1">
        <v>9.1999999999999993</v>
      </c>
      <c r="J81" s="1">
        <v>82</v>
      </c>
      <c r="K81" s="1">
        <v>44</v>
      </c>
      <c r="L81" s="1" t="s">
        <v>29</v>
      </c>
    </row>
    <row r="82" spans="1:12" hidden="1" x14ac:dyDescent="0.25">
      <c r="A82" s="1" t="s">
        <v>12</v>
      </c>
      <c r="B82" s="1" t="s">
        <v>13</v>
      </c>
      <c r="C82" s="1">
        <v>2020</v>
      </c>
      <c r="D82" s="1">
        <v>19507</v>
      </c>
      <c r="E82" s="1">
        <v>7.3</v>
      </c>
      <c r="F82" s="1">
        <v>78</v>
      </c>
      <c r="G82" s="1">
        <v>1096584543</v>
      </c>
      <c r="H82" s="1">
        <v>76</v>
      </c>
      <c r="I82" s="1">
        <v>3.7</v>
      </c>
      <c r="J82" s="1">
        <v>77</v>
      </c>
      <c r="K82" s="1">
        <v>63</v>
      </c>
      <c r="L82" s="1" t="s">
        <v>14</v>
      </c>
    </row>
    <row r="83" spans="1:12" hidden="1" x14ac:dyDescent="0.25">
      <c r="A83" s="1" t="s">
        <v>15</v>
      </c>
      <c r="B83" s="1" t="s">
        <v>16</v>
      </c>
      <c r="C83" s="1">
        <v>2021</v>
      </c>
      <c r="D83" s="1">
        <v>55609</v>
      </c>
      <c r="E83" s="1">
        <v>16.600000000000001</v>
      </c>
      <c r="F83" s="1">
        <v>66</v>
      </c>
      <c r="G83" s="1">
        <v>1105966001</v>
      </c>
      <c r="H83" s="1">
        <v>56</v>
      </c>
      <c r="I83" s="1">
        <v>7.4</v>
      </c>
      <c r="J83" s="1">
        <v>74</v>
      </c>
      <c r="K83" s="1">
        <v>58</v>
      </c>
      <c r="L83" s="1" t="s">
        <v>16</v>
      </c>
    </row>
    <row r="84" spans="1:12" hidden="1" x14ac:dyDescent="0.25">
      <c r="A84" s="1" t="s">
        <v>17</v>
      </c>
      <c r="B84" s="1" t="s">
        <v>18</v>
      </c>
      <c r="C84" s="1">
        <v>2021</v>
      </c>
      <c r="D84" s="1">
        <v>68376</v>
      </c>
      <c r="E84" s="1">
        <v>6.3</v>
      </c>
      <c r="F84" s="1">
        <v>76</v>
      </c>
      <c r="G84" s="1">
        <v>1389242644</v>
      </c>
      <c r="H84" s="1">
        <v>64</v>
      </c>
      <c r="I84" s="1">
        <v>18.3</v>
      </c>
      <c r="J84" s="1">
        <v>79</v>
      </c>
      <c r="K84" s="1">
        <v>53</v>
      </c>
      <c r="L84" s="1" t="s">
        <v>18</v>
      </c>
    </row>
    <row r="85" spans="1:12" hidden="1" x14ac:dyDescent="0.25">
      <c r="A85" s="1" t="s">
        <v>19</v>
      </c>
      <c r="B85" s="1" t="s">
        <v>20</v>
      </c>
      <c r="C85" s="1">
        <v>2022</v>
      </c>
      <c r="D85" s="1">
        <v>4012</v>
      </c>
      <c r="E85" s="1">
        <v>7.6</v>
      </c>
      <c r="F85" s="1">
        <v>70</v>
      </c>
      <c r="G85" s="1">
        <v>823571094</v>
      </c>
      <c r="H85" s="1">
        <v>84</v>
      </c>
      <c r="I85" s="1">
        <v>16.899999999999999</v>
      </c>
      <c r="J85" s="1">
        <v>81</v>
      </c>
      <c r="K85" s="1">
        <v>75</v>
      </c>
      <c r="L85" s="1" t="s">
        <v>20</v>
      </c>
    </row>
    <row r="86" spans="1:12" hidden="1" x14ac:dyDescent="0.25">
      <c r="A86" s="1" t="s">
        <v>21</v>
      </c>
      <c r="B86" s="1" t="s">
        <v>22</v>
      </c>
      <c r="C86" s="1">
        <v>2021</v>
      </c>
      <c r="D86" s="1">
        <v>38104</v>
      </c>
      <c r="E86" s="1">
        <v>14.2</v>
      </c>
      <c r="F86" s="1">
        <v>81</v>
      </c>
      <c r="G86" s="1">
        <v>1127433910</v>
      </c>
      <c r="H86" s="1">
        <v>75</v>
      </c>
      <c r="I86" s="1">
        <v>22.8</v>
      </c>
      <c r="J86" s="1">
        <v>99</v>
      </c>
      <c r="K86" s="1">
        <v>32</v>
      </c>
      <c r="L86" s="1" t="s">
        <v>14</v>
      </c>
    </row>
    <row r="87" spans="1:12" hidden="1" x14ac:dyDescent="0.25">
      <c r="A87" s="1" t="s">
        <v>23</v>
      </c>
      <c r="B87" s="1" t="s">
        <v>18</v>
      </c>
      <c r="C87" s="1">
        <v>2020</v>
      </c>
      <c r="D87" s="1">
        <v>59393</v>
      </c>
      <c r="E87" s="1">
        <v>6.9</v>
      </c>
      <c r="F87" s="1">
        <v>64</v>
      </c>
      <c r="G87" s="1">
        <v>1018071697</v>
      </c>
      <c r="H87" s="1">
        <v>93</v>
      </c>
      <c r="I87" s="1">
        <v>24.4</v>
      </c>
      <c r="J87" s="1">
        <v>91</v>
      </c>
      <c r="K87" s="1">
        <v>57</v>
      </c>
      <c r="L87" s="1" t="s">
        <v>18</v>
      </c>
    </row>
    <row r="88" spans="1:12" hidden="1" x14ac:dyDescent="0.25">
      <c r="A88" s="1" t="s">
        <v>24</v>
      </c>
      <c r="B88" s="1" t="s">
        <v>16</v>
      </c>
      <c r="C88" s="1">
        <v>2021</v>
      </c>
      <c r="D88" s="1">
        <v>19696</v>
      </c>
      <c r="E88" s="1">
        <v>9.3000000000000007</v>
      </c>
      <c r="F88" s="1">
        <v>65</v>
      </c>
      <c r="G88" s="1">
        <v>453095962</v>
      </c>
      <c r="H88" s="1">
        <v>90</v>
      </c>
      <c r="I88" s="1">
        <v>10.3</v>
      </c>
      <c r="J88" s="1">
        <v>92</v>
      </c>
      <c r="K88" s="1">
        <v>72</v>
      </c>
      <c r="L88" s="1" t="s">
        <v>16</v>
      </c>
    </row>
    <row r="89" spans="1:12" hidden="1" x14ac:dyDescent="0.25">
      <c r="A89" s="1" t="s">
        <v>25</v>
      </c>
      <c r="B89" s="1" t="s">
        <v>26</v>
      </c>
      <c r="C89" s="1">
        <v>2021</v>
      </c>
      <c r="D89" s="1">
        <v>31117</v>
      </c>
      <c r="E89" s="1">
        <v>13.9</v>
      </c>
      <c r="F89" s="1">
        <v>63</v>
      </c>
      <c r="G89" s="1">
        <v>213430923</v>
      </c>
      <c r="H89" s="1">
        <v>95</v>
      </c>
      <c r="I89" s="1">
        <v>16.3</v>
      </c>
      <c r="J89" s="1">
        <v>72</v>
      </c>
      <c r="K89" s="1">
        <v>31</v>
      </c>
      <c r="L89" s="1" t="s">
        <v>26</v>
      </c>
    </row>
    <row r="90" spans="1:12" hidden="1" x14ac:dyDescent="0.25">
      <c r="A90" s="1" t="s">
        <v>27</v>
      </c>
      <c r="B90" s="1" t="s">
        <v>22</v>
      </c>
      <c r="C90" s="1">
        <v>2020</v>
      </c>
      <c r="D90" s="1">
        <v>59584</v>
      </c>
      <c r="E90" s="1">
        <v>7.8</v>
      </c>
      <c r="F90" s="1">
        <v>79</v>
      </c>
      <c r="G90" s="1">
        <v>78117296</v>
      </c>
      <c r="H90" s="1">
        <v>66</v>
      </c>
      <c r="I90" s="1">
        <v>11.9</v>
      </c>
      <c r="J90" s="1">
        <v>70</v>
      </c>
      <c r="K90" s="1">
        <v>55</v>
      </c>
      <c r="L90" s="1" t="s">
        <v>14</v>
      </c>
    </row>
    <row r="91" spans="1:12" hidden="1" x14ac:dyDescent="0.25">
      <c r="A91" s="1" t="s">
        <v>28</v>
      </c>
      <c r="B91" s="1" t="s">
        <v>29</v>
      </c>
      <c r="C91" s="1">
        <v>2020</v>
      </c>
      <c r="D91" s="1">
        <v>10134</v>
      </c>
      <c r="E91" s="1">
        <v>12.1</v>
      </c>
      <c r="F91" s="1">
        <v>69</v>
      </c>
      <c r="G91" s="1">
        <v>456672586</v>
      </c>
      <c r="H91" s="1">
        <v>84</v>
      </c>
      <c r="I91" s="1">
        <v>12.3</v>
      </c>
      <c r="J91" s="1">
        <v>93</v>
      </c>
      <c r="K91" s="1">
        <v>62</v>
      </c>
      <c r="L91" s="1" t="s">
        <v>29</v>
      </c>
    </row>
    <row r="92" spans="1:12" hidden="1" x14ac:dyDescent="0.25">
      <c r="A92" s="1" t="s">
        <v>12</v>
      </c>
      <c r="B92" s="1" t="s">
        <v>13</v>
      </c>
      <c r="C92" s="1">
        <v>2020</v>
      </c>
      <c r="D92" s="1">
        <v>50989</v>
      </c>
      <c r="E92" s="1">
        <v>12.6</v>
      </c>
      <c r="F92" s="1">
        <v>70</v>
      </c>
      <c r="G92" s="1">
        <v>1267573118</v>
      </c>
      <c r="H92" s="1">
        <v>88</v>
      </c>
      <c r="I92" s="1">
        <v>12.2</v>
      </c>
      <c r="J92" s="1">
        <v>78</v>
      </c>
      <c r="K92" s="1">
        <v>82</v>
      </c>
      <c r="L92" s="1" t="s">
        <v>14</v>
      </c>
    </row>
    <row r="93" spans="1:12" hidden="1" x14ac:dyDescent="0.25">
      <c r="A93" s="1" t="s">
        <v>15</v>
      </c>
      <c r="B93" s="1" t="s">
        <v>16</v>
      </c>
      <c r="C93" s="1">
        <v>2020</v>
      </c>
      <c r="D93" s="1">
        <v>59402</v>
      </c>
      <c r="E93" s="1">
        <v>13.1</v>
      </c>
      <c r="F93" s="1">
        <v>62</v>
      </c>
      <c r="G93" s="1">
        <v>527223019</v>
      </c>
      <c r="H93" s="1">
        <v>51</v>
      </c>
      <c r="I93" s="1">
        <v>17.7</v>
      </c>
      <c r="J93" s="1">
        <v>94</v>
      </c>
      <c r="K93" s="1">
        <v>32</v>
      </c>
      <c r="L93" s="1" t="s">
        <v>16</v>
      </c>
    </row>
    <row r="94" spans="1:12" hidden="1" x14ac:dyDescent="0.25">
      <c r="A94" s="1" t="s">
        <v>17</v>
      </c>
      <c r="B94" s="1" t="s">
        <v>18</v>
      </c>
      <c r="C94" s="1">
        <v>2021</v>
      </c>
      <c r="D94" s="1">
        <v>38360</v>
      </c>
      <c r="E94" s="1">
        <v>16.5</v>
      </c>
      <c r="F94" s="1">
        <v>74</v>
      </c>
      <c r="G94" s="1">
        <v>723344561</v>
      </c>
      <c r="H94" s="1">
        <v>50</v>
      </c>
      <c r="I94" s="1">
        <v>15.3</v>
      </c>
      <c r="J94" s="1">
        <v>89</v>
      </c>
      <c r="K94" s="1">
        <v>41</v>
      </c>
      <c r="L94" s="1" t="s">
        <v>18</v>
      </c>
    </row>
    <row r="95" spans="1:12" hidden="1" x14ac:dyDescent="0.25">
      <c r="A95" s="1" t="s">
        <v>19</v>
      </c>
      <c r="B95" s="1" t="s">
        <v>20</v>
      </c>
      <c r="C95" s="1">
        <v>2021</v>
      </c>
      <c r="D95" s="1">
        <v>66478</v>
      </c>
      <c r="E95" s="1">
        <v>3.3</v>
      </c>
      <c r="F95" s="1">
        <v>70</v>
      </c>
      <c r="G95" s="1">
        <v>561526459</v>
      </c>
      <c r="H95" s="1">
        <v>54</v>
      </c>
      <c r="I95" s="1">
        <v>17.5</v>
      </c>
      <c r="J95" s="1">
        <v>79</v>
      </c>
      <c r="K95" s="1">
        <v>89</v>
      </c>
      <c r="L95" s="1" t="s">
        <v>20</v>
      </c>
    </row>
    <row r="96" spans="1:12" hidden="1" x14ac:dyDescent="0.25">
      <c r="A96" s="1" t="s">
        <v>21</v>
      </c>
      <c r="B96" s="1" t="s">
        <v>22</v>
      </c>
      <c r="C96" s="1">
        <v>2021</v>
      </c>
      <c r="D96" s="1">
        <v>63151</v>
      </c>
      <c r="E96" s="1">
        <v>13.4</v>
      </c>
      <c r="F96" s="1">
        <v>63</v>
      </c>
      <c r="G96" s="1">
        <v>1256041242</v>
      </c>
      <c r="H96" s="1">
        <v>83</v>
      </c>
      <c r="I96" s="1">
        <v>24.6</v>
      </c>
      <c r="J96" s="1">
        <v>95</v>
      </c>
      <c r="K96" s="1">
        <v>69</v>
      </c>
      <c r="L96" s="1" t="s">
        <v>14</v>
      </c>
    </row>
    <row r="97" spans="1:12" hidden="1" x14ac:dyDescent="0.25">
      <c r="A97" s="1" t="s">
        <v>23</v>
      </c>
      <c r="B97" s="1" t="s">
        <v>18</v>
      </c>
      <c r="C97" s="1">
        <v>2020</v>
      </c>
      <c r="D97" s="1">
        <v>30004</v>
      </c>
      <c r="E97" s="1">
        <v>11.9</v>
      </c>
      <c r="F97" s="1">
        <v>67</v>
      </c>
      <c r="G97" s="1">
        <v>1284232344</v>
      </c>
      <c r="H97" s="1">
        <v>71</v>
      </c>
      <c r="I97" s="1">
        <v>4.5</v>
      </c>
      <c r="J97" s="1">
        <v>91</v>
      </c>
      <c r="K97" s="1">
        <v>50</v>
      </c>
      <c r="L97" s="1" t="s">
        <v>18</v>
      </c>
    </row>
    <row r="98" spans="1:12" hidden="1" x14ac:dyDescent="0.25">
      <c r="A98" s="1" t="s">
        <v>24</v>
      </c>
      <c r="B98" s="1" t="s">
        <v>16</v>
      </c>
      <c r="C98" s="1">
        <v>2022</v>
      </c>
      <c r="D98" s="1">
        <v>8301</v>
      </c>
      <c r="E98" s="1">
        <v>3.6</v>
      </c>
      <c r="F98" s="1">
        <v>71</v>
      </c>
      <c r="G98" s="1">
        <v>1222005245</v>
      </c>
      <c r="H98" s="1">
        <v>66</v>
      </c>
      <c r="I98" s="1">
        <v>14</v>
      </c>
      <c r="J98" s="1">
        <v>73</v>
      </c>
      <c r="K98" s="1">
        <v>36</v>
      </c>
      <c r="L98" s="1" t="s">
        <v>16</v>
      </c>
    </row>
    <row r="99" spans="1:12" hidden="1" x14ac:dyDescent="0.25">
      <c r="A99" s="1" t="s">
        <v>25</v>
      </c>
      <c r="B99" s="1" t="s">
        <v>26</v>
      </c>
      <c r="C99" s="1">
        <v>2021</v>
      </c>
      <c r="D99" s="1">
        <v>13745</v>
      </c>
      <c r="E99" s="1">
        <v>16.7</v>
      </c>
      <c r="F99" s="1">
        <v>83</v>
      </c>
      <c r="G99" s="1">
        <v>739964509</v>
      </c>
      <c r="H99" s="1">
        <v>56</v>
      </c>
      <c r="I99" s="1">
        <v>6.1</v>
      </c>
      <c r="J99" s="1">
        <v>87</v>
      </c>
      <c r="K99" s="1">
        <v>46</v>
      </c>
      <c r="L99" s="1" t="s">
        <v>26</v>
      </c>
    </row>
    <row r="100" spans="1:12" hidden="1" x14ac:dyDescent="0.25">
      <c r="A100" s="1" t="s">
        <v>27</v>
      </c>
      <c r="B100" s="1" t="s">
        <v>22</v>
      </c>
      <c r="C100" s="1">
        <v>2020</v>
      </c>
      <c r="D100" s="1">
        <v>61326</v>
      </c>
      <c r="E100" s="1">
        <v>14.3</v>
      </c>
      <c r="F100" s="1">
        <v>71</v>
      </c>
      <c r="G100" s="1">
        <v>286281086</v>
      </c>
      <c r="H100" s="1">
        <v>57</v>
      </c>
      <c r="I100" s="1">
        <v>11</v>
      </c>
      <c r="J100" s="1">
        <v>70</v>
      </c>
      <c r="K100" s="1">
        <v>75</v>
      </c>
      <c r="L100" s="1" t="s">
        <v>14</v>
      </c>
    </row>
    <row r="101" spans="1:12" hidden="1" x14ac:dyDescent="0.25">
      <c r="A101" s="1" t="s">
        <v>28</v>
      </c>
      <c r="B101" s="1" t="s">
        <v>29</v>
      </c>
      <c r="C101" s="1">
        <v>2021</v>
      </c>
      <c r="D101" s="1">
        <v>56258</v>
      </c>
      <c r="E101" s="1">
        <v>13.8</v>
      </c>
      <c r="F101" s="1">
        <v>77</v>
      </c>
      <c r="G101" s="1">
        <v>1271836611</v>
      </c>
      <c r="H101" s="1">
        <v>90</v>
      </c>
      <c r="I101" s="1">
        <v>23.3</v>
      </c>
      <c r="J101" s="1">
        <v>92</v>
      </c>
      <c r="K101" s="1">
        <v>67</v>
      </c>
      <c r="L101" s="1" t="s">
        <v>29</v>
      </c>
    </row>
    <row r="102" spans="1:12" hidden="1" x14ac:dyDescent="0.25">
      <c r="A102" s="1" t="s">
        <v>12</v>
      </c>
      <c r="B102" s="1" t="s">
        <v>13</v>
      </c>
      <c r="C102" s="1">
        <v>2021</v>
      </c>
      <c r="D102" s="1">
        <v>67370</v>
      </c>
      <c r="E102" s="1">
        <v>4</v>
      </c>
      <c r="F102" s="1">
        <v>81</v>
      </c>
      <c r="G102" s="1">
        <v>532255249</v>
      </c>
      <c r="H102" s="1">
        <v>71</v>
      </c>
      <c r="I102" s="1">
        <v>19</v>
      </c>
      <c r="J102" s="1">
        <v>75</v>
      </c>
      <c r="K102" s="1">
        <v>58</v>
      </c>
      <c r="L102" s="1" t="s">
        <v>14</v>
      </c>
    </row>
    <row r="103" spans="1:12" hidden="1" x14ac:dyDescent="0.25">
      <c r="A103" s="1" t="s">
        <v>15</v>
      </c>
      <c r="B103" s="1" t="s">
        <v>16</v>
      </c>
      <c r="C103" s="1">
        <v>2021</v>
      </c>
      <c r="D103" s="1">
        <v>36822</v>
      </c>
      <c r="E103" s="1">
        <v>4.5999999999999996</v>
      </c>
      <c r="F103" s="1">
        <v>61</v>
      </c>
      <c r="G103" s="1">
        <v>337667637</v>
      </c>
      <c r="H103" s="1">
        <v>87</v>
      </c>
      <c r="I103" s="1">
        <v>6</v>
      </c>
      <c r="J103" s="1">
        <v>89</v>
      </c>
      <c r="K103" s="1">
        <v>56</v>
      </c>
      <c r="L103" s="1" t="s">
        <v>16</v>
      </c>
    </row>
    <row r="104" spans="1:12" hidden="1" x14ac:dyDescent="0.25">
      <c r="A104" s="1" t="s">
        <v>17</v>
      </c>
      <c r="B104" s="1" t="s">
        <v>18</v>
      </c>
      <c r="C104" s="1">
        <v>2020</v>
      </c>
      <c r="D104" s="1">
        <v>15283</v>
      </c>
      <c r="E104" s="1">
        <v>3.2</v>
      </c>
      <c r="F104" s="1">
        <v>62</v>
      </c>
      <c r="G104" s="1">
        <v>1261381907</v>
      </c>
      <c r="H104" s="1">
        <v>77</v>
      </c>
      <c r="I104" s="1">
        <v>21.8</v>
      </c>
      <c r="J104" s="1">
        <v>95</v>
      </c>
      <c r="K104" s="1">
        <v>31</v>
      </c>
      <c r="L104" s="1" t="s">
        <v>18</v>
      </c>
    </row>
    <row r="105" spans="1:12" hidden="1" x14ac:dyDescent="0.25">
      <c r="A105" s="1" t="s">
        <v>19</v>
      </c>
      <c r="B105" s="1" t="s">
        <v>20</v>
      </c>
      <c r="C105" s="1">
        <v>2022</v>
      </c>
      <c r="D105" s="1">
        <v>41736</v>
      </c>
      <c r="E105" s="1">
        <v>9.6999999999999993</v>
      </c>
      <c r="F105" s="1">
        <v>83</v>
      </c>
      <c r="G105" s="1">
        <v>468323510</v>
      </c>
      <c r="H105" s="1">
        <v>79</v>
      </c>
      <c r="I105" s="1">
        <v>22.6</v>
      </c>
      <c r="J105" s="1">
        <v>84</v>
      </c>
      <c r="K105" s="1">
        <v>72</v>
      </c>
      <c r="L105" s="1" t="s">
        <v>20</v>
      </c>
    </row>
    <row r="106" spans="1:12" hidden="1" x14ac:dyDescent="0.25">
      <c r="A106" s="1" t="s">
        <v>21</v>
      </c>
      <c r="B106" s="1" t="s">
        <v>22</v>
      </c>
      <c r="C106" s="1">
        <v>2021</v>
      </c>
      <c r="D106" s="1">
        <v>69902</v>
      </c>
      <c r="E106" s="1">
        <v>9.9</v>
      </c>
      <c r="F106" s="1">
        <v>63</v>
      </c>
      <c r="G106" s="1">
        <v>22538025</v>
      </c>
      <c r="H106" s="1">
        <v>94</v>
      </c>
      <c r="I106" s="1">
        <v>17.399999999999999</v>
      </c>
      <c r="J106" s="1">
        <v>98</v>
      </c>
      <c r="K106" s="1">
        <v>48</v>
      </c>
      <c r="L106" s="1" t="s">
        <v>14</v>
      </c>
    </row>
    <row r="107" spans="1:12" hidden="1" x14ac:dyDescent="0.25">
      <c r="A107" s="1" t="s">
        <v>23</v>
      </c>
      <c r="B107" s="1" t="s">
        <v>18</v>
      </c>
      <c r="C107" s="1">
        <v>2022</v>
      </c>
      <c r="D107" s="1">
        <v>67591</v>
      </c>
      <c r="E107" s="1">
        <v>10</v>
      </c>
      <c r="F107" s="1">
        <v>72</v>
      </c>
      <c r="G107" s="1">
        <v>1284507238</v>
      </c>
      <c r="H107" s="1">
        <v>63</v>
      </c>
      <c r="I107" s="1">
        <v>7.4</v>
      </c>
      <c r="J107" s="1">
        <v>79</v>
      </c>
      <c r="K107" s="1">
        <v>68</v>
      </c>
      <c r="L107" s="1" t="s">
        <v>18</v>
      </c>
    </row>
    <row r="108" spans="1:12" hidden="1" x14ac:dyDescent="0.25">
      <c r="A108" s="1" t="s">
        <v>24</v>
      </c>
      <c r="B108" s="1" t="s">
        <v>16</v>
      </c>
      <c r="C108" s="1">
        <v>2021</v>
      </c>
      <c r="D108" s="1">
        <v>27819</v>
      </c>
      <c r="E108" s="1">
        <v>7.1</v>
      </c>
      <c r="F108" s="1">
        <v>84</v>
      </c>
      <c r="G108" s="1">
        <v>1190212334</v>
      </c>
      <c r="H108" s="1">
        <v>78</v>
      </c>
      <c r="I108" s="1">
        <v>24.2</v>
      </c>
      <c r="J108" s="1">
        <v>82</v>
      </c>
      <c r="K108" s="1">
        <v>88</v>
      </c>
      <c r="L108" s="1" t="s">
        <v>16</v>
      </c>
    </row>
    <row r="109" spans="1:12" hidden="1" x14ac:dyDescent="0.25">
      <c r="A109" s="1" t="s">
        <v>25</v>
      </c>
      <c r="B109" s="1" t="s">
        <v>26</v>
      </c>
      <c r="C109" s="1">
        <v>2021</v>
      </c>
      <c r="D109" s="1">
        <v>52755</v>
      </c>
      <c r="E109" s="1">
        <v>6.9</v>
      </c>
      <c r="F109" s="1">
        <v>85</v>
      </c>
      <c r="G109" s="1">
        <v>48594675</v>
      </c>
      <c r="H109" s="1">
        <v>68</v>
      </c>
      <c r="I109" s="1">
        <v>6.8</v>
      </c>
      <c r="J109" s="1">
        <v>71</v>
      </c>
      <c r="K109" s="1">
        <v>43</v>
      </c>
      <c r="L109" s="1" t="s">
        <v>26</v>
      </c>
    </row>
    <row r="110" spans="1:12" hidden="1" x14ac:dyDescent="0.25">
      <c r="A110" s="1" t="s">
        <v>27</v>
      </c>
      <c r="B110" s="1" t="s">
        <v>22</v>
      </c>
      <c r="C110" s="1">
        <v>2020</v>
      </c>
      <c r="D110" s="1">
        <v>12268</v>
      </c>
      <c r="E110" s="1">
        <v>12.4</v>
      </c>
      <c r="F110" s="1">
        <v>79</v>
      </c>
      <c r="G110" s="1">
        <v>376091310</v>
      </c>
      <c r="H110" s="1">
        <v>58</v>
      </c>
      <c r="I110" s="1">
        <v>15.8</v>
      </c>
      <c r="J110" s="1">
        <v>82</v>
      </c>
      <c r="K110" s="1">
        <v>80</v>
      </c>
      <c r="L110" s="1" t="s">
        <v>14</v>
      </c>
    </row>
    <row r="111" spans="1:12" hidden="1" x14ac:dyDescent="0.25">
      <c r="A111" s="1" t="s">
        <v>28</v>
      </c>
      <c r="B111" s="1" t="s">
        <v>29</v>
      </c>
      <c r="C111" s="1">
        <v>2020</v>
      </c>
      <c r="D111" s="1">
        <v>66881</v>
      </c>
      <c r="E111" s="1">
        <v>7</v>
      </c>
      <c r="F111" s="1">
        <v>70</v>
      </c>
      <c r="G111" s="1">
        <v>378577359</v>
      </c>
      <c r="H111" s="1">
        <v>77</v>
      </c>
      <c r="I111" s="1">
        <v>2.5</v>
      </c>
      <c r="J111" s="1">
        <v>98</v>
      </c>
      <c r="K111" s="1">
        <v>36</v>
      </c>
      <c r="L111" s="1" t="s">
        <v>29</v>
      </c>
    </row>
    <row r="112" spans="1:12" hidden="1" x14ac:dyDescent="0.25">
      <c r="A112" s="1" t="s">
        <v>12</v>
      </c>
      <c r="B112" s="1" t="s">
        <v>13</v>
      </c>
      <c r="C112" s="1">
        <v>2021</v>
      </c>
      <c r="D112" s="1">
        <v>18191</v>
      </c>
      <c r="E112" s="1">
        <v>4.9000000000000004</v>
      </c>
      <c r="F112" s="1">
        <v>82</v>
      </c>
      <c r="G112" s="1">
        <v>1249257061</v>
      </c>
      <c r="H112" s="1">
        <v>52</v>
      </c>
      <c r="I112" s="1">
        <v>17.5</v>
      </c>
      <c r="J112" s="1">
        <v>72</v>
      </c>
      <c r="K112" s="1">
        <v>40</v>
      </c>
      <c r="L112" s="1" t="s">
        <v>14</v>
      </c>
    </row>
    <row r="113" spans="1:12" hidden="1" x14ac:dyDescent="0.25">
      <c r="A113" s="1" t="s">
        <v>15</v>
      </c>
      <c r="B113" s="1" t="s">
        <v>16</v>
      </c>
      <c r="C113" s="1">
        <v>2022</v>
      </c>
      <c r="D113" s="1">
        <v>26802</v>
      </c>
      <c r="E113" s="1">
        <v>8.1</v>
      </c>
      <c r="F113" s="1">
        <v>80</v>
      </c>
      <c r="G113" s="1">
        <v>278252233</v>
      </c>
      <c r="H113" s="1">
        <v>65</v>
      </c>
      <c r="I113" s="1">
        <v>7.9</v>
      </c>
      <c r="J113" s="1">
        <v>72</v>
      </c>
      <c r="K113" s="1">
        <v>61</v>
      </c>
      <c r="L113" s="1" t="s">
        <v>16</v>
      </c>
    </row>
    <row r="114" spans="1:12" hidden="1" x14ac:dyDescent="0.25">
      <c r="A114" s="1" t="s">
        <v>17</v>
      </c>
      <c r="B114" s="1" t="s">
        <v>18</v>
      </c>
      <c r="C114" s="1">
        <v>2021</v>
      </c>
      <c r="D114" s="1">
        <v>52640</v>
      </c>
      <c r="E114" s="1">
        <v>15.6</v>
      </c>
      <c r="F114" s="1">
        <v>82</v>
      </c>
      <c r="G114" s="1">
        <v>552023721</v>
      </c>
      <c r="H114" s="1">
        <v>95</v>
      </c>
      <c r="I114" s="1">
        <v>4</v>
      </c>
      <c r="J114" s="1">
        <v>99</v>
      </c>
      <c r="K114" s="1">
        <v>88</v>
      </c>
      <c r="L114" s="1" t="s">
        <v>18</v>
      </c>
    </row>
    <row r="115" spans="1:12" hidden="1" x14ac:dyDescent="0.25">
      <c r="A115" s="1" t="s">
        <v>19</v>
      </c>
      <c r="B115" s="1" t="s">
        <v>20</v>
      </c>
      <c r="C115" s="1">
        <v>2020</v>
      </c>
      <c r="D115" s="1">
        <v>15625</v>
      </c>
      <c r="E115" s="1">
        <v>9.9</v>
      </c>
      <c r="F115" s="1">
        <v>75</v>
      </c>
      <c r="G115" s="1">
        <v>164323180</v>
      </c>
      <c r="H115" s="1">
        <v>86</v>
      </c>
      <c r="I115" s="1">
        <v>7.9</v>
      </c>
      <c r="J115" s="1">
        <v>71</v>
      </c>
      <c r="K115" s="1">
        <v>36</v>
      </c>
      <c r="L115" s="1" t="s">
        <v>20</v>
      </c>
    </row>
    <row r="116" spans="1:12" hidden="1" x14ac:dyDescent="0.25">
      <c r="A116" s="1" t="s">
        <v>21</v>
      </c>
      <c r="B116" s="1" t="s">
        <v>22</v>
      </c>
      <c r="C116" s="1">
        <v>2021</v>
      </c>
      <c r="D116" s="1">
        <v>3089</v>
      </c>
      <c r="E116" s="1">
        <v>9.9</v>
      </c>
      <c r="F116" s="1">
        <v>79</v>
      </c>
      <c r="G116" s="1">
        <v>535361648</v>
      </c>
      <c r="H116" s="1">
        <v>73</v>
      </c>
      <c r="I116" s="1">
        <v>13.5</v>
      </c>
      <c r="J116" s="1">
        <v>90</v>
      </c>
      <c r="K116" s="1">
        <v>43</v>
      </c>
      <c r="L116" s="1" t="s">
        <v>14</v>
      </c>
    </row>
    <row r="117" spans="1:12" hidden="1" x14ac:dyDescent="0.25">
      <c r="A117" s="1" t="s">
        <v>23</v>
      </c>
      <c r="B117" s="1" t="s">
        <v>18</v>
      </c>
      <c r="C117" s="1">
        <v>2020</v>
      </c>
      <c r="D117" s="1">
        <v>6442</v>
      </c>
      <c r="E117" s="1">
        <v>16.899999999999999</v>
      </c>
      <c r="F117" s="1">
        <v>85</v>
      </c>
      <c r="G117" s="1">
        <v>778481685</v>
      </c>
      <c r="H117" s="1">
        <v>82</v>
      </c>
      <c r="I117" s="1">
        <v>5</v>
      </c>
      <c r="J117" s="1">
        <v>72</v>
      </c>
      <c r="K117" s="1">
        <v>52</v>
      </c>
      <c r="L117" s="1" t="s">
        <v>18</v>
      </c>
    </row>
    <row r="118" spans="1:12" hidden="1" x14ac:dyDescent="0.25">
      <c r="A118" s="1" t="s">
        <v>24</v>
      </c>
      <c r="B118" s="1" t="s">
        <v>16</v>
      </c>
      <c r="C118" s="1">
        <v>2020</v>
      </c>
      <c r="D118" s="1">
        <v>19868</v>
      </c>
      <c r="E118" s="1">
        <v>6.8</v>
      </c>
      <c r="F118" s="1">
        <v>75</v>
      </c>
      <c r="G118" s="1">
        <v>173123625</v>
      </c>
      <c r="H118" s="1">
        <v>68</v>
      </c>
      <c r="I118" s="1">
        <v>16.600000000000001</v>
      </c>
      <c r="J118" s="1">
        <v>75</v>
      </c>
      <c r="K118" s="1">
        <v>32</v>
      </c>
      <c r="L118" s="1" t="s">
        <v>16</v>
      </c>
    </row>
    <row r="119" spans="1:12" hidden="1" x14ac:dyDescent="0.25">
      <c r="A119" s="1" t="s">
        <v>25</v>
      </c>
      <c r="B119" s="1" t="s">
        <v>26</v>
      </c>
      <c r="C119" s="1">
        <v>2021</v>
      </c>
      <c r="D119" s="1">
        <v>14574</v>
      </c>
      <c r="E119" s="1">
        <v>12</v>
      </c>
      <c r="F119" s="1">
        <v>75</v>
      </c>
      <c r="G119" s="1">
        <v>630535869</v>
      </c>
      <c r="H119" s="1">
        <v>95</v>
      </c>
      <c r="I119" s="1">
        <v>17.899999999999999</v>
      </c>
      <c r="J119" s="1">
        <v>89</v>
      </c>
      <c r="K119" s="1">
        <v>71</v>
      </c>
      <c r="L119" s="1" t="s">
        <v>26</v>
      </c>
    </row>
    <row r="120" spans="1:12" hidden="1" x14ac:dyDescent="0.25">
      <c r="A120" s="1" t="s">
        <v>27</v>
      </c>
      <c r="B120" s="1" t="s">
        <v>22</v>
      </c>
      <c r="C120" s="1">
        <v>2021</v>
      </c>
      <c r="D120" s="1">
        <v>5263</v>
      </c>
      <c r="E120" s="1">
        <v>8.3000000000000007</v>
      </c>
      <c r="F120" s="1">
        <v>70</v>
      </c>
      <c r="G120" s="1">
        <v>242281064</v>
      </c>
      <c r="H120" s="1">
        <v>71</v>
      </c>
      <c r="I120" s="1">
        <v>17</v>
      </c>
      <c r="J120" s="1">
        <v>88</v>
      </c>
      <c r="K120" s="1">
        <v>65</v>
      </c>
      <c r="L120" s="1" t="s">
        <v>14</v>
      </c>
    </row>
    <row r="121" spans="1:12" hidden="1" x14ac:dyDescent="0.25">
      <c r="A121" s="1" t="s">
        <v>28</v>
      </c>
      <c r="B121" s="1" t="s">
        <v>29</v>
      </c>
      <c r="C121" s="1">
        <v>2020</v>
      </c>
      <c r="D121" s="1">
        <v>49427</v>
      </c>
      <c r="E121" s="1">
        <v>8.9</v>
      </c>
      <c r="F121" s="1">
        <v>80</v>
      </c>
      <c r="G121" s="1">
        <v>1498703110</v>
      </c>
      <c r="H121" s="1">
        <v>91</v>
      </c>
      <c r="I121" s="1">
        <v>21.4</v>
      </c>
      <c r="J121" s="1">
        <v>83</v>
      </c>
      <c r="K121" s="1">
        <v>87</v>
      </c>
      <c r="L121" s="1" t="s">
        <v>29</v>
      </c>
    </row>
    <row r="122" spans="1:12" x14ac:dyDescent="0.25">
      <c r="A122" s="1" t="s">
        <v>12</v>
      </c>
      <c r="B122" s="1" t="s">
        <v>13</v>
      </c>
      <c r="C122" s="1">
        <v>2022</v>
      </c>
      <c r="D122" s="1">
        <v>10207</v>
      </c>
      <c r="E122" s="1">
        <v>12.4</v>
      </c>
      <c r="F122" s="1">
        <v>63</v>
      </c>
      <c r="G122" s="1">
        <v>1154961859</v>
      </c>
      <c r="H122" s="1">
        <v>85</v>
      </c>
      <c r="I122" s="1">
        <v>13.8</v>
      </c>
      <c r="J122" s="1">
        <v>76</v>
      </c>
      <c r="K122" s="1">
        <v>44</v>
      </c>
      <c r="L122" s="1" t="s">
        <v>14</v>
      </c>
    </row>
    <row r="123" spans="1:12" hidden="1" x14ac:dyDescent="0.25">
      <c r="A123" s="1" t="s">
        <v>15</v>
      </c>
      <c r="B123" s="1" t="s">
        <v>16</v>
      </c>
      <c r="C123" s="1">
        <v>2021</v>
      </c>
      <c r="D123" s="1">
        <v>29486</v>
      </c>
      <c r="E123" s="1">
        <v>13.4</v>
      </c>
      <c r="F123" s="1">
        <v>71</v>
      </c>
      <c r="G123" s="1">
        <v>940192004</v>
      </c>
      <c r="H123" s="1">
        <v>95</v>
      </c>
      <c r="I123" s="1">
        <v>3.1</v>
      </c>
      <c r="J123" s="1">
        <v>73</v>
      </c>
      <c r="K123" s="1">
        <v>64</v>
      </c>
      <c r="L123" s="1" t="s">
        <v>16</v>
      </c>
    </row>
    <row r="124" spans="1:12" hidden="1" x14ac:dyDescent="0.25">
      <c r="A124" s="1" t="s">
        <v>17</v>
      </c>
      <c r="B124" s="1" t="s">
        <v>18</v>
      </c>
      <c r="C124" s="1">
        <v>2020</v>
      </c>
      <c r="D124" s="1">
        <v>36010</v>
      </c>
      <c r="E124" s="1">
        <v>3.9</v>
      </c>
      <c r="F124" s="1">
        <v>75</v>
      </c>
      <c r="G124" s="1">
        <v>1174036680</v>
      </c>
      <c r="H124" s="1">
        <v>93</v>
      </c>
      <c r="I124" s="1">
        <v>15.5</v>
      </c>
      <c r="J124" s="1">
        <v>83</v>
      </c>
      <c r="K124" s="1">
        <v>67</v>
      </c>
      <c r="L124" s="1" t="s">
        <v>18</v>
      </c>
    </row>
    <row r="125" spans="1:12" hidden="1" x14ac:dyDescent="0.25">
      <c r="A125" s="1" t="s">
        <v>19</v>
      </c>
      <c r="B125" s="1" t="s">
        <v>20</v>
      </c>
      <c r="C125" s="1">
        <v>2020</v>
      </c>
      <c r="D125" s="1">
        <v>3966</v>
      </c>
      <c r="E125" s="1">
        <v>16.5</v>
      </c>
      <c r="F125" s="1">
        <v>81</v>
      </c>
      <c r="G125" s="1">
        <v>28213754</v>
      </c>
      <c r="H125" s="1">
        <v>72</v>
      </c>
      <c r="I125" s="1">
        <v>13.5</v>
      </c>
      <c r="J125" s="1">
        <v>78</v>
      </c>
      <c r="K125" s="1">
        <v>40</v>
      </c>
      <c r="L125" s="1" t="s">
        <v>20</v>
      </c>
    </row>
    <row r="126" spans="1:12" hidden="1" x14ac:dyDescent="0.25">
      <c r="A126" s="1" t="s">
        <v>21</v>
      </c>
      <c r="B126" s="1" t="s">
        <v>22</v>
      </c>
      <c r="C126" s="1">
        <v>2021</v>
      </c>
      <c r="D126" s="1">
        <v>51809</v>
      </c>
      <c r="E126" s="1">
        <v>11.4</v>
      </c>
      <c r="F126" s="1">
        <v>85</v>
      </c>
      <c r="G126" s="1">
        <v>331799181</v>
      </c>
      <c r="H126" s="1">
        <v>63</v>
      </c>
      <c r="I126" s="1">
        <v>15.7</v>
      </c>
      <c r="J126" s="1">
        <v>91</v>
      </c>
      <c r="K126" s="1">
        <v>71</v>
      </c>
      <c r="L126" s="1" t="s">
        <v>14</v>
      </c>
    </row>
    <row r="127" spans="1:12" hidden="1" x14ac:dyDescent="0.25">
      <c r="A127" s="1" t="s">
        <v>23</v>
      </c>
      <c r="B127" s="1" t="s">
        <v>18</v>
      </c>
      <c r="C127" s="1">
        <v>2022</v>
      </c>
      <c r="D127" s="1">
        <v>21975</v>
      </c>
      <c r="E127" s="1">
        <v>13</v>
      </c>
      <c r="F127" s="1">
        <v>66</v>
      </c>
      <c r="G127" s="1">
        <v>1077294623</v>
      </c>
      <c r="H127" s="1">
        <v>64</v>
      </c>
      <c r="I127" s="1">
        <v>9.6</v>
      </c>
      <c r="J127" s="1">
        <v>86</v>
      </c>
      <c r="K127" s="1">
        <v>61</v>
      </c>
      <c r="L127" s="1" t="s">
        <v>18</v>
      </c>
    </row>
    <row r="128" spans="1:12" hidden="1" x14ac:dyDescent="0.25">
      <c r="A128" s="1" t="s">
        <v>24</v>
      </c>
      <c r="B128" s="1" t="s">
        <v>16</v>
      </c>
      <c r="C128" s="1">
        <v>2022</v>
      </c>
      <c r="D128" s="1">
        <v>17550</v>
      </c>
      <c r="E128" s="1">
        <v>3.3</v>
      </c>
      <c r="F128" s="1">
        <v>74</v>
      </c>
      <c r="G128" s="1">
        <v>563071192</v>
      </c>
      <c r="H128" s="1">
        <v>71</v>
      </c>
      <c r="I128" s="1">
        <v>19.8</v>
      </c>
      <c r="J128" s="1">
        <v>95</v>
      </c>
      <c r="K128" s="1">
        <v>59</v>
      </c>
      <c r="L128" s="1" t="s">
        <v>16</v>
      </c>
    </row>
    <row r="129" spans="1:12" hidden="1" x14ac:dyDescent="0.25">
      <c r="A129" s="1" t="s">
        <v>25</v>
      </c>
      <c r="B129" s="1" t="s">
        <v>26</v>
      </c>
      <c r="C129" s="1">
        <v>2020</v>
      </c>
      <c r="D129" s="1">
        <v>10570</v>
      </c>
      <c r="E129" s="1">
        <v>3.6</v>
      </c>
      <c r="F129" s="1">
        <v>65</v>
      </c>
      <c r="G129" s="1">
        <v>997939555</v>
      </c>
      <c r="H129" s="1">
        <v>91</v>
      </c>
      <c r="I129" s="1">
        <v>20.9</v>
      </c>
      <c r="J129" s="1">
        <v>75</v>
      </c>
      <c r="K129" s="1">
        <v>56</v>
      </c>
      <c r="L129" s="1" t="s">
        <v>26</v>
      </c>
    </row>
    <row r="130" spans="1:12" hidden="1" x14ac:dyDescent="0.25">
      <c r="A130" s="1" t="s">
        <v>27</v>
      </c>
      <c r="B130" s="1" t="s">
        <v>22</v>
      </c>
      <c r="C130" s="1">
        <v>2020</v>
      </c>
      <c r="D130" s="1">
        <v>64276</v>
      </c>
      <c r="E130" s="1">
        <v>8.9</v>
      </c>
      <c r="F130" s="1">
        <v>76</v>
      </c>
      <c r="G130" s="1">
        <v>1411748390</v>
      </c>
      <c r="H130" s="1">
        <v>82</v>
      </c>
      <c r="I130" s="1">
        <v>10.8</v>
      </c>
      <c r="J130" s="1">
        <v>86</v>
      </c>
      <c r="K130" s="1">
        <v>36</v>
      </c>
      <c r="L130" s="1" t="s">
        <v>14</v>
      </c>
    </row>
    <row r="131" spans="1:12" hidden="1" x14ac:dyDescent="0.25">
      <c r="A131" s="1" t="s">
        <v>28</v>
      </c>
      <c r="B131" s="1" t="s">
        <v>29</v>
      </c>
      <c r="C131" s="1">
        <v>2022</v>
      </c>
      <c r="D131" s="1">
        <v>45224</v>
      </c>
      <c r="E131" s="1">
        <v>3.4</v>
      </c>
      <c r="F131" s="1">
        <v>74</v>
      </c>
      <c r="G131" s="1">
        <v>207790033</v>
      </c>
      <c r="H131" s="1">
        <v>56</v>
      </c>
      <c r="I131" s="1">
        <v>5.5</v>
      </c>
      <c r="J131" s="1">
        <v>90</v>
      </c>
      <c r="K131" s="1">
        <v>35</v>
      </c>
      <c r="L131" s="1" t="s">
        <v>29</v>
      </c>
    </row>
    <row r="132" spans="1:12" x14ac:dyDescent="0.25">
      <c r="A132" s="1" t="s">
        <v>12</v>
      </c>
      <c r="B132" s="1" t="s">
        <v>13</v>
      </c>
      <c r="C132" s="1">
        <v>2022</v>
      </c>
      <c r="D132" s="1">
        <v>14668</v>
      </c>
      <c r="E132" s="1">
        <v>7.5</v>
      </c>
      <c r="F132" s="1">
        <v>82</v>
      </c>
      <c r="G132" s="1">
        <v>1036423983</v>
      </c>
      <c r="H132" s="1">
        <v>52</v>
      </c>
      <c r="I132" s="1">
        <v>17.3</v>
      </c>
      <c r="J132" s="1">
        <v>78</v>
      </c>
      <c r="K132" s="1">
        <v>52</v>
      </c>
      <c r="L132" s="1" t="s">
        <v>14</v>
      </c>
    </row>
    <row r="133" spans="1:12" hidden="1" x14ac:dyDescent="0.25">
      <c r="A133" s="1" t="s">
        <v>15</v>
      </c>
      <c r="B133" s="1" t="s">
        <v>16</v>
      </c>
      <c r="C133" s="1">
        <v>2022</v>
      </c>
      <c r="D133" s="1">
        <v>63624</v>
      </c>
      <c r="E133" s="1">
        <v>6.7</v>
      </c>
      <c r="F133" s="1">
        <v>73</v>
      </c>
      <c r="G133" s="1">
        <v>1486862463</v>
      </c>
      <c r="H133" s="1">
        <v>70</v>
      </c>
      <c r="I133" s="1">
        <v>3.5</v>
      </c>
      <c r="J133" s="1">
        <v>98</v>
      </c>
      <c r="K133" s="1">
        <v>53</v>
      </c>
      <c r="L133" s="1" t="s">
        <v>16</v>
      </c>
    </row>
    <row r="134" spans="1:12" hidden="1" x14ac:dyDescent="0.25">
      <c r="A134" s="1" t="s">
        <v>17</v>
      </c>
      <c r="B134" s="1" t="s">
        <v>18</v>
      </c>
      <c r="C134" s="1">
        <v>2021</v>
      </c>
      <c r="D134" s="1">
        <v>61951</v>
      </c>
      <c r="E134" s="1">
        <v>5.0999999999999996</v>
      </c>
      <c r="F134" s="1">
        <v>78</v>
      </c>
      <c r="G134" s="1">
        <v>1014131872</v>
      </c>
      <c r="H134" s="1">
        <v>68</v>
      </c>
      <c r="I134" s="1">
        <v>2.4</v>
      </c>
      <c r="J134" s="1">
        <v>85</v>
      </c>
      <c r="K134" s="1">
        <v>78</v>
      </c>
      <c r="L134" s="1" t="s">
        <v>18</v>
      </c>
    </row>
    <row r="135" spans="1:12" hidden="1" x14ac:dyDescent="0.25">
      <c r="A135" s="1" t="s">
        <v>19</v>
      </c>
      <c r="B135" s="1" t="s">
        <v>20</v>
      </c>
      <c r="C135" s="1">
        <v>2021</v>
      </c>
      <c r="D135" s="1">
        <v>40181</v>
      </c>
      <c r="E135" s="1">
        <v>8.5</v>
      </c>
      <c r="F135" s="1">
        <v>67</v>
      </c>
      <c r="G135" s="1">
        <v>237806698</v>
      </c>
      <c r="H135" s="1">
        <v>59</v>
      </c>
      <c r="I135" s="1">
        <v>18.399999999999999</v>
      </c>
      <c r="J135" s="1">
        <v>77</v>
      </c>
      <c r="K135" s="1">
        <v>84</v>
      </c>
      <c r="L135" s="1" t="s">
        <v>20</v>
      </c>
    </row>
    <row r="136" spans="1:12" hidden="1" x14ac:dyDescent="0.25">
      <c r="A136" s="1" t="s">
        <v>21</v>
      </c>
      <c r="B136" s="1" t="s">
        <v>22</v>
      </c>
      <c r="C136" s="1">
        <v>2020</v>
      </c>
      <c r="D136" s="1">
        <v>17879</v>
      </c>
      <c r="E136" s="1">
        <v>10.5</v>
      </c>
      <c r="F136" s="1">
        <v>61</v>
      </c>
      <c r="G136" s="1">
        <v>1022788930</v>
      </c>
      <c r="H136" s="1">
        <v>60</v>
      </c>
      <c r="I136" s="1">
        <v>18.2</v>
      </c>
      <c r="J136" s="1">
        <v>82</v>
      </c>
      <c r="K136" s="1">
        <v>89</v>
      </c>
      <c r="L136" s="1" t="s">
        <v>14</v>
      </c>
    </row>
    <row r="137" spans="1:12" hidden="1" x14ac:dyDescent="0.25">
      <c r="A137" s="1" t="s">
        <v>23</v>
      </c>
      <c r="B137" s="1" t="s">
        <v>18</v>
      </c>
      <c r="C137" s="1">
        <v>2020</v>
      </c>
      <c r="D137" s="1">
        <v>23500</v>
      </c>
      <c r="E137" s="1">
        <v>16.899999999999999</v>
      </c>
      <c r="F137" s="1">
        <v>75</v>
      </c>
      <c r="G137" s="1">
        <v>1440086596</v>
      </c>
      <c r="H137" s="1">
        <v>85</v>
      </c>
      <c r="I137" s="1">
        <v>7.2</v>
      </c>
      <c r="J137" s="1">
        <v>83</v>
      </c>
      <c r="K137" s="1">
        <v>39</v>
      </c>
      <c r="L137" s="1" t="s">
        <v>18</v>
      </c>
    </row>
    <row r="138" spans="1:12" hidden="1" x14ac:dyDescent="0.25">
      <c r="A138" s="1" t="s">
        <v>24</v>
      </c>
      <c r="B138" s="1" t="s">
        <v>16</v>
      </c>
      <c r="C138" s="1">
        <v>2022</v>
      </c>
      <c r="D138" s="1">
        <v>6329</v>
      </c>
      <c r="E138" s="1">
        <v>3.9</v>
      </c>
      <c r="F138" s="1">
        <v>69</v>
      </c>
      <c r="G138" s="1">
        <v>973035484</v>
      </c>
      <c r="H138" s="1">
        <v>82</v>
      </c>
      <c r="I138" s="1">
        <v>12.3</v>
      </c>
      <c r="J138" s="1">
        <v>71</v>
      </c>
      <c r="K138" s="1">
        <v>48</v>
      </c>
      <c r="L138" s="1" t="s">
        <v>16</v>
      </c>
    </row>
    <row r="139" spans="1:12" hidden="1" x14ac:dyDescent="0.25">
      <c r="A139" s="1" t="s">
        <v>25</v>
      </c>
      <c r="B139" s="1" t="s">
        <v>26</v>
      </c>
      <c r="C139" s="1">
        <v>2022</v>
      </c>
      <c r="D139" s="1">
        <v>36754</v>
      </c>
      <c r="E139" s="1">
        <v>12.7</v>
      </c>
      <c r="F139" s="1">
        <v>77</v>
      </c>
      <c r="G139" s="1">
        <v>440245090</v>
      </c>
      <c r="H139" s="1">
        <v>63</v>
      </c>
      <c r="I139" s="1">
        <v>14.6</v>
      </c>
      <c r="J139" s="1">
        <v>82</v>
      </c>
      <c r="K139" s="1">
        <v>69</v>
      </c>
      <c r="L139" s="1" t="s">
        <v>26</v>
      </c>
    </row>
    <row r="140" spans="1:12" hidden="1" x14ac:dyDescent="0.25">
      <c r="A140" s="1" t="s">
        <v>27</v>
      </c>
      <c r="B140" s="1" t="s">
        <v>22</v>
      </c>
      <c r="C140" s="1">
        <v>2021</v>
      </c>
      <c r="D140" s="1">
        <v>34898</v>
      </c>
      <c r="E140" s="1">
        <v>14.9</v>
      </c>
      <c r="F140" s="1">
        <v>60</v>
      </c>
      <c r="G140" s="1">
        <v>1497795557</v>
      </c>
      <c r="H140" s="1">
        <v>72</v>
      </c>
      <c r="I140" s="1">
        <v>25</v>
      </c>
      <c r="J140" s="1">
        <v>96</v>
      </c>
      <c r="K140" s="1">
        <v>68</v>
      </c>
      <c r="L140" s="1" t="s">
        <v>14</v>
      </c>
    </row>
    <row r="141" spans="1:12" hidden="1" x14ac:dyDescent="0.25">
      <c r="A141" s="1" t="s">
        <v>28</v>
      </c>
      <c r="B141" s="1" t="s">
        <v>29</v>
      </c>
      <c r="C141" s="1">
        <v>2022</v>
      </c>
      <c r="D141" s="1">
        <v>25722</v>
      </c>
      <c r="E141" s="1">
        <v>5.9</v>
      </c>
      <c r="F141" s="1">
        <v>82</v>
      </c>
      <c r="G141" s="1">
        <v>1399135794</v>
      </c>
      <c r="H141" s="1">
        <v>74</v>
      </c>
      <c r="I141" s="1">
        <v>7</v>
      </c>
      <c r="J141" s="1">
        <v>94</v>
      </c>
      <c r="K141" s="1">
        <v>31</v>
      </c>
      <c r="L141" s="1" t="s">
        <v>29</v>
      </c>
    </row>
    <row r="142" spans="1:12" x14ac:dyDescent="0.25">
      <c r="A142" s="1" t="s">
        <v>12</v>
      </c>
      <c r="B142" s="1" t="s">
        <v>13</v>
      </c>
      <c r="C142" s="1">
        <v>2022</v>
      </c>
      <c r="D142" s="1">
        <v>11914</v>
      </c>
      <c r="E142" s="1">
        <v>17</v>
      </c>
      <c r="F142" s="1">
        <v>69</v>
      </c>
      <c r="G142" s="1">
        <v>1020220619</v>
      </c>
      <c r="H142" s="1">
        <v>74</v>
      </c>
      <c r="I142" s="1">
        <v>12.7</v>
      </c>
      <c r="J142" s="1">
        <v>94</v>
      </c>
      <c r="K142" s="1">
        <v>64</v>
      </c>
      <c r="L142" s="1" t="s">
        <v>14</v>
      </c>
    </row>
    <row r="143" spans="1:12" hidden="1" x14ac:dyDescent="0.25">
      <c r="A143" s="1" t="s">
        <v>15</v>
      </c>
      <c r="B143" s="1" t="s">
        <v>16</v>
      </c>
      <c r="C143" s="1">
        <v>2020</v>
      </c>
      <c r="D143" s="1">
        <v>55057</v>
      </c>
      <c r="E143" s="1">
        <v>15.6</v>
      </c>
      <c r="F143" s="1">
        <v>72</v>
      </c>
      <c r="G143" s="1">
        <v>221324641</v>
      </c>
      <c r="H143" s="1">
        <v>59</v>
      </c>
      <c r="I143" s="1">
        <v>15.8</v>
      </c>
      <c r="J143" s="1">
        <v>86</v>
      </c>
      <c r="K143" s="1">
        <v>88</v>
      </c>
      <c r="L143" s="1" t="s">
        <v>16</v>
      </c>
    </row>
    <row r="144" spans="1:12" hidden="1" x14ac:dyDescent="0.25">
      <c r="A144" s="1" t="s">
        <v>17</v>
      </c>
      <c r="B144" s="1" t="s">
        <v>18</v>
      </c>
      <c r="C144" s="1">
        <v>2022</v>
      </c>
      <c r="D144" s="1">
        <v>62703</v>
      </c>
      <c r="E144" s="1">
        <v>8.3000000000000007</v>
      </c>
      <c r="F144" s="1">
        <v>83</v>
      </c>
      <c r="G144" s="1">
        <v>10083916</v>
      </c>
      <c r="H144" s="1">
        <v>66</v>
      </c>
      <c r="I144" s="1">
        <v>9.5</v>
      </c>
      <c r="J144" s="1">
        <v>95</v>
      </c>
      <c r="K144" s="1">
        <v>57</v>
      </c>
      <c r="L144" s="1" t="s">
        <v>18</v>
      </c>
    </row>
    <row r="145" spans="1:12" hidden="1" x14ac:dyDescent="0.25">
      <c r="A145" s="1" t="s">
        <v>19</v>
      </c>
      <c r="B145" s="1" t="s">
        <v>20</v>
      </c>
      <c r="C145" s="1">
        <v>2022</v>
      </c>
      <c r="D145" s="1">
        <v>56031</v>
      </c>
      <c r="E145" s="1">
        <v>7.6</v>
      </c>
      <c r="F145" s="1">
        <v>81</v>
      </c>
      <c r="G145" s="1">
        <v>652094772</v>
      </c>
      <c r="H145" s="1">
        <v>69</v>
      </c>
      <c r="I145" s="1">
        <v>22.2</v>
      </c>
      <c r="J145" s="1">
        <v>93</v>
      </c>
      <c r="K145" s="1">
        <v>85</v>
      </c>
      <c r="L145" s="1" t="s">
        <v>20</v>
      </c>
    </row>
    <row r="146" spans="1:12" hidden="1" x14ac:dyDescent="0.25">
      <c r="A146" s="1" t="s">
        <v>21</v>
      </c>
      <c r="B146" s="1" t="s">
        <v>22</v>
      </c>
      <c r="C146" s="1">
        <v>2020</v>
      </c>
      <c r="D146" s="1">
        <v>25323</v>
      </c>
      <c r="E146" s="1">
        <v>11.6</v>
      </c>
      <c r="F146" s="1">
        <v>63</v>
      </c>
      <c r="G146" s="1">
        <v>645067425</v>
      </c>
      <c r="H146" s="1">
        <v>94</v>
      </c>
      <c r="I146" s="1">
        <v>16.8</v>
      </c>
      <c r="J146" s="1">
        <v>91</v>
      </c>
      <c r="K146" s="1">
        <v>62</v>
      </c>
      <c r="L146" s="1" t="s">
        <v>14</v>
      </c>
    </row>
    <row r="147" spans="1:12" hidden="1" x14ac:dyDescent="0.25">
      <c r="A147" s="1" t="s">
        <v>23</v>
      </c>
      <c r="B147" s="1" t="s">
        <v>18</v>
      </c>
      <c r="C147" s="1">
        <v>2021</v>
      </c>
      <c r="D147" s="1">
        <v>41284</v>
      </c>
      <c r="E147" s="1">
        <v>13.5</v>
      </c>
      <c r="F147" s="1">
        <v>66</v>
      </c>
      <c r="G147" s="1">
        <v>755660317</v>
      </c>
      <c r="H147" s="1">
        <v>65</v>
      </c>
      <c r="I147" s="1">
        <v>19.100000000000001</v>
      </c>
      <c r="J147" s="1">
        <v>79</v>
      </c>
      <c r="K147" s="1">
        <v>83</v>
      </c>
      <c r="L147" s="1" t="s">
        <v>18</v>
      </c>
    </row>
    <row r="148" spans="1:12" hidden="1" x14ac:dyDescent="0.25">
      <c r="A148" s="1" t="s">
        <v>24</v>
      </c>
      <c r="B148" s="1" t="s">
        <v>16</v>
      </c>
      <c r="C148" s="1">
        <v>2021</v>
      </c>
      <c r="D148" s="1">
        <v>28148</v>
      </c>
      <c r="E148" s="1">
        <v>4.0999999999999996</v>
      </c>
      <c r="F148" s="1">
        <v>70</v>
      </c>
      <c r="G148" s="1">
        <v>108421953</v>
      </c>
      <c r="H148" s="1">
        <v>73</v>
      </c>
      <c r="I148" s="1">
        <v>20</v>
      </c>
      <c r="J148" s="1">
        <v>91</v>
      </c>
      <c r="K148" s="1">
        <v>77</v>
      </c>
      <c r="L148" s="1" t="s">
        <v>16</v>
      </c>
    </row>
    <row r="149" spans="1:12" hidden="1" x14ac:dyDescent="0.25">
      <c r="A149" s="1" t="s">
        <v>25</v>
      </c>
      <c r="B149" s="1" t="s">
        <v>26</v>
      </c>
      <c r="C149" s="1">
        <v>2021</v>
      </c>
      <c r="D149" s="1">
        <v>45232</v>
      </c>
      <c r="E149" s="1">
        <v>5.8</v>
      </c>
      <c r="F149" s="1">
        <v>81</v>
      </c>
      <c r="G149" s="1">
        <v>898601262</v>
      </c>
      <c r="H149" s="1">
        <v>92</v>
      </c>
      <c r="I149" s="1">
        <v>19.7</v>
      </c>
      <c r="J149" s="1">
        <v>81</v>
      </c>
      <c r="K149" s="1">
        <v>76</v>
      </c>
      <c r="L149" s="1" t="s">
        <v>26</v>
      </c>
    </row>
    <row r="150" spans="1:12" hidden="1" x14ac:dyDescent="0.25">
      <c r="A150" s="1" t="s">
        <v>27</v>
      </c>
      <c r="B150" s="1" t="s">
        <v>22</v>
      </c>
      <c r="C150" s="1">
        <v>2021</v>
      </c>
      <c r="D150" s="1">
        <v>26077</v>
      </c>
      <c r="E150" s="1">
        <v>15.2</v>
      </c>
      <c r="F150" s="1">
        <v>67</v>
      </c>
      <c r="G150" s="1">
        <v>329255553</v>
      </c>
      <c r="H150" s="1">
        <v>66</v>
      </c>
      <c r="I150" s="1">
        <v>6.2</v>
      </c>
      <c r="J150" s="1">
        <v>72</v>
      </c>
      <c r="K150" s="1">
        <v>90</v>
      </c>
      <c r="L150" s="1" t="s">
        <v>14</v>
      </c>
    </row>
    <row r="151" spans="1:12" hidden="1" x14ac:dyDescent="0.25">
      <c r="A151" s="1" t="s">
        <v>28</v>
      </c>
      <c r="B151" s="1" t="s">
        <v>29</v>
      </c>
      <c r="C151" s="1">
        <v>2022</v>
      </c>
      <c r="D151" s="1">
        <v>2675</v>
      </c>
      <c r="E151" s="1">
        <v>11.3</v>
      </c>
      <c r="F151" s="1">
        <v>83</v>
      </c>
      <c r="G151" s="1">
        <v>730563524</v>
      </c>
      <c r="H151" s="1">
        <v>83</v>
      </c>
      <c r="I151" s="1">
        <v>6.2</v>
      </c>
      <c r="J151" s="1">
        <v>79</v>
      </c>
      <c r="K151" s="1">
        <v>48</v>
      </c>
      <c r="L151" s="1" t="s">
        <v>29</v>
      </c>
    </row>
    <row r="152" spans="1:12" hidden="1" x14ac:dyDescent="0.25">
      <c r="A152" s="1" t="s">
        <v>12</v>
      </c>
      <c r="B152" s="1" t="s">
        <v>13</v>
      </c>
      <c r="C152" s="1">
        <v>2021</v>
      </c>
      <c r="D152" s="1">
        <v>48345</v>
      </c>
      <c r="E152" s="1">
        <v>16.100000000000001</v>
      </c>
      <c r="F152" s="1">
        <v>85</v>
      </c>
      <c r="G152" s="1">
        <v>886428599</v>
      </c>
      <c r="H152" s="1">
        <v>69</v>
      </c>
      <c r="I152" s="1">
        <v>12.8</v>
      </c>
      <c r="J152" s="1">
        <v>83</v>
      </c>
      <c r="K152" s="1">
        <v>66</v>
      </c>
      <c r="L152" s="1" t="s">
        <v>14</v>
      </c>
    </row>
    <row r="153" spans="1:12" hidden="1" x14ac:dyDescent="0.25">
      <c r="A153" s="1" t="s">
        <v>15</v>
      </c>
      <c r="B153" s="1" t="s">
        <v>16</v>
      </c>
      <c r="C153" s="1">
        <v>2020</v>
      </c>
      <c r="D153" s="1">
        <v>57055</v>
      </c>
      <c r="E153" s="1">
        <v>12.4</v>
      </c>
      <c r="F153" s="1">
        <v>63</v>
      </c>
      <c r="G153" s="1">
        <v>825895517</v>
      </c>
      <c r="H153" s="1">
        <v>76</v>
      </c>
      <c r="I153" s="1">
        <v>20.2</v>
      </c>
      <c r="J153" s="1">
        <v>86</v>
      </c>
      <c r="K153" s="1">
        <v>65</v>
      </c>
      <c r="L153" s="1" t="s">
        <v>16</v>
      </c>
    </row>
    <row r="154" spans="1:12" hidden="1" x14ac:dyDescent="0.25">
      <c r="A154" s="1" t="s">
        <v>17</v>
      </c>
      <c r="B154" s="1" t="s">
        <v>18</v>
      </c>
      <c r="C154" s="1">
        <v>2020</v>
      </c>
      <c r="D154" s="1">
        <v>10534</v>
      </c>
      <c r="E154" s="1">
        <v>13.7</v>
      </c>
      <c r="F154" s="1">
        <v>64</v>
      </c>
      <c r="G154" s="1">
        <v>1452520322</v>
      </c>
      <c r="H154" s="1">
        <v>61</v>
      </c>
      <c r="I154" s="1">
        <v>21.4</v>
      </c>
      <c r="J154" s="1">
        <v>76</v>
      </c>
      <c r="K154" s="1">
        <v>35</v>
      </c>
      <c r="L154" s="1" t="s">
        <v>18</v>
      </c>
    </row>
    <row r="155" spans="1:12" hidden="1" x14ac:dyDescent="0.25">
      <c r="A155" s="1" t="s">
        <v>19</v>
      </c>
      <c r="B155" s="1" t="s">
        <v>20</v>
      </c>
      <c r="C155" s="1">
        <v>2022</v>
      </c>
      <c r="D155" s="1">
        <v>17522</v>
      </c>
      <c r="E155" s="1">
        <v>9.3000000000000007</v>
      </c>
      <c r="F155" s="1">
        <v>76</v>
      </c>
      <c r="G155" s="1">
        <v>1130161606</v>
      </c>
      <c r="H155" s="1">
        <v>89</v>
      </c>
      <c r="I155" s="1">
        <v>10.3</v>
      </c>
      <c r="J155" s="1">
        <v>76</v>
      </c>
      <c r="K155" s="1">
        <v>68</v>
      </c>
      <c r="L155" s="1" t="s">
        <v>20</v>
      </c>
    </row>
    <row r="156" spans="1:12" hidden="1" x14ac:dyDescent="0.25">
      <c r="A156" s="1" t="s">
        <v>21</v>
      </c>
      <c r="B156" s="1" t="s">
        <v>22</v>
      </c>
      <c r="C156" s="1">
        <v>2022</v>
      </c>
      <c r="D156" s="1">
        <v>56100</v>
      </c>
      <c r="E156" s="1">
        <v>12</v>
      </c>
      <c r="F156" s="1">
        <v>61</v>
      </c>
      <c r="G156" s="1">
        <v>1074972358</v>
      </c>
      <c r="H156" s="1">
        <v>64</v>
      </c>
      <c r="I156" s="1">
        <v>15.5</v>
      </c>
      <c r="J156" s="1">
        <v>71</v>
      </c>
      <c r="K156" s="1">
        <v>40</v>
      </c>
      <c r="L156" s="1" t="s">
        <v>14</v>
      </c>
    </row>
    <row r="157" spans="1:12" hidden="1" x14ac:dyDescent="0.25">
      <c r="A157" s="1" t="s">
        <v>23</v>
      </c>
      <c r="B157" s="1" t="s">
        <v>18</v>
      </c>
      <c r="C157" s="1">
        <v>2022</v>
      </c>
      <c r="D157" s="1">
        <v>3956</v>
      </c>
      <c r="E157" s="1">
        <v>11.4</v>
      </c>
      <c r="F157" s="1">
        <v>73</v>
      </c>
      <c r="G157" s="1">
        <v>182949889</v>
      </c>
      <c r="H157" s="1">
        <v>75</v>
      </c>
      <c r="I157" s="1">
        <v>16.3</v>
      </c>
      <c r="J157" s="1">
        <v>94</v>
      </c>
      <c r="K157" s="1">
        <v>39</v>
      </c>
      <c r="L157" s="1" t="s">
        <v>18</v>
      </c>
    </row>
    <row r="158" spans="1:12" hidden="1" x14ac:dyDescent="0.25">
      <c r="A158" s="1" t="s">
        <v>24</v>
      </c>
      <c r="B158" s="1" t="s">
        <v>16</v>
      </c>
      <c r="C158" s="1">
        <v>2020</v>
      </c>
      <c r="D158" s="1">
        <v>35456</v>
      </c>
      <c r="E158" s="1">
        <v>15.2</v>
      </c>
      <c r="F158" s="1">
        <v>82</v>
      </c>
      <c r="G158" s="1">
        <v>692897189</v>
      </c>
      <c r="H158" s="1">
        <v>61</v>
      </c>
      <c r="I158" s="1">
        <v>3.6</v>
      </c>
      <c r="J158" s="1">
        <v>91</v>
      </c>
      <c r="K158" s="1">
        <v>37</v>
      </c>
      <c r="L158" s="1" t="s">
        <v>16</v>
      </c>
    </row>
    <row r="159" spans="1:12" hidden="1" x14ac:dyDescent="0.25">
      <c r="A159" s="1" t="s">
        <v>25</v>
      </c>
      <c r="B159" s="1" t="s">
        <v>26</v>
      </c>
      <c r="C159" s="1">
        <v>2021</v>
      </c>
      <c r="D159" s="1">
        <v>15072</v>
      </c>
      <c r="E159" s="1">
        <v>16.899999999999999</v>
      </c>
      <c r="F159" s="1">
        <v>83</v>
      </c>
      <c r="G159" s="1">
        <v>1052294506</v>
      </c>
      <c r="H159" s="1">
        <v>90</v>
      </c>
      <c r="I159" s="1">
        <v>2.2000000000000002</v>
      </c>
      <c r="J159" s="1">
        <v>76</v>
      </c>
      <c r="K159" s="1">
        <v>79</v>
      </c>
      <c r="L159" s="1" t="s">
        <v>26</v>
      </c>
    </row>
    <row r="160" spans="1:12" hidden="1" x14ac:dyDescent="0.25">
      <c r="A160" s="1" t="s">
        <v>27</v>
      </c>
      <c r="B160" s="1" t="s">
        <v>22</v>
      </c>
      <c r="C160" s="1">
        <v>2020</v>
      </c>
      <c r="D160" s="1">
        <v>40722</v>
      </c>
      <c r="E160" s="1">
        <v>7.3</v>
      </c>
      <c r="F160" s="1">
        <v>75</v>
      </c>
      <c r="G160" s="1">
        <v>469191272</v>
      </c>
      <c r="H160" s="1">
        <v>51</v>
      </c>
      <c r="I160" s="1">
        <v>22</v>
      </c>
      <c r="J160" s="1">
        <v>86</v>
      </c>
      <c r="K160" s="1">
        <v>42</v>
      </c>
      <c r="L160" s="1" t="s">
        <v>14</v>
      </c>
    </row>
    <row r="161" spans="1:12" hidden="1" x14ac:dyDescent="0.25">
      <c r="A161" s="1" t="s">
        <v>28</v>
      </c>
      <c r="B161" s="1" t="s">
        <v>29</v>
      </c>
      <c r="C161" s="1">
        <v>2020</v>
      </c>
      <c r="D161" s="1">
        <v>54920</v>
      </c>
      <c r="E161" s="1">
        <v>16.399999999999999</v>
      </c>
      <c r="F161" s="1">
        <v>75</v>
      </c>
      <c r="G161" s="1">
        <v>1286446927</v>
      </c>
      <c r="H161" s="1">
        <v>72</v>
      </c>
      <c r="I161" s="1">
        <v>10.4</v>
      </c>
      <c r="J161" s="1">
        <v>95</v>
      </c>
      <c r="K161" s="1">
        <v>83</v>
      </c>
      <c r="L161" s="1" t="s">
        <v>29</v>
      </c>
    </row>
    <row r="162" spans="1:12" hidden="1" x14ac:dyDescent="0.25">
      <c r="A162" s="1" t="s">
        <v>12</v>
      </c>
      <c r="B162" s="1" t="s">
        <v>13</v>
      </c>
      <c r="C162" s="1">
        <v>2020</v>
      </c>
      <c r="D162" s="1">
        <v>31732</v>
      </c>
      <c r="E162" s="1">
        <v>10.9</v>
      </c>
      <c r="F162" s="1">
        <v>62</v>
      </c>
      <c r="G162" s="1">
        <v>338686805</v>
      </c>
      <c r="H162" s="1">
        <v>73</v>
      </c>
      <c r="I162" s="1">
        <v>4</v>
      </c>
      <c r="J162" s="1">
        <v>94</v>
      </c>
      <c r="K162" s="1">
        <v>55</v>
      </c>
      <c r="L162" s="1" t="s">
        <v>14</v>
      </c>
    </row>
    <row r="163" spans="1:12" hidden="1" x14ac:dyDescent="0.25">
      <c r="A163" s="1" t="s">
        <v>15</v>
      </c>
      <c r="B163" s="1" t="s">
        <v>16</v>
      </c>
      <c r="C163" s="1">
        <v>2021</v>
      </c>
      <c r="D163" s="1">
        <v>55853</v>
      </c>
      <c r="E163" s="1">
        <v>10.7</v>
      </c>
      <c r="F163" s="1">
        <v>65</v>
      </c>
      <c r="G163" s="1">
        <v>788953313</v>
      </c>
      <c r="H163" s="1">
        <v>64</v>
      </c>
      <c r="I163" s="1">
        <v>20.100000000000001</v>
      </c>
      <c r="J163" s="1">
        <v>70</v>
      </c>
      <c r="K163" s="1">
        <v>71</v>
      </c>
      <c r="L163" s="1" t="s">
        <v>16</v>
      </c>
    </row>
    <row r="164" spans="1:12" hidden="1" x14ac:dyDescent="0.25">
      <c r="A164" s="1" t="s">
        <v>17</v>
      </c>
      <c r="B164" s="1" t="s">
        <v>18</v>
      </c>
      <c r="C164" s="1">
        <v>2020</v>
      </c>
      <c r="D164" s="1">
        <v>62631</v>
      </c>
      <c r="E164" s="1">
        <v>3.4</v>
      </c>
      <c r="F164" s="1">
        <v>74</v>
      </c>
      <c r="G164" s="1">
        <v>845115978</v>
      </c>
      <c r="H164" s="1">
        <v>65</v>
      </c>
      <c r="I164" s="1">
        <v>20.5</v>
      </c>
      <c r="J164" s="1">
        <v>84</v>
      </c>
      <c r="K164" s="1">
        <v>82</v>
      </c>
      <c r="L164" s="1" t="s">
        <v>18</v>
      </c>
    </row>
    <row r="165" spans="1:12" hidden="1" x14ac:dyDescent="0.25">
      <c r="A165" s="1" t="s">
        <v>19</v>
      </c>
      <c r="B165" s="1" t="s">
        <v>20</v>
      </c>
      <c r="C165" s="1">
        <v>2020</v>
      </c>
      <c r="D165" s="1">
        <v>49753</v>
      </c>
      <c r="E165" s="1">
        <v>8</v>
      </c>
      <c r="F165" s="1">
        <v>69</v>
      </c>
      <c r="G165" s="1">
        <v>912188017</v>
      </c>
      <c r="H165" s="1">
        <v>78</v>
      </c>
      <c r="I165" s="1">
        <v>10.1</v>
      </c>
      <c r="J165" s="1">
        <v>91</v>
      </c>
      <c r="K165" s="1">
        <v>59</v>
      </c>
      <c r="L165" s="1" t="s">
        <v>20</v>
      </c>
    </row>
    <row r="166" spans="1:12" hidden="1" x14ac:dyDescent="0.25">
      <c r="A166" s="1" t="s">
        <v>21</v>
      </c>
      <c r="B166" s="1" t="s">
        <v>22</v>
      </c>
      <c r="C166" s="1">
        <v>2022</v>
      </c>
      <c r="D166" s="1">
        <v>57942</v>
      </c>
      <c r="E166" s="1">
        <v>15.8</v>
      </c>
      <c r="F166" s="1">
        <v>74</v>
      </c>
      <c r="G166" s="1">
        <v>990445706</v>
      </c>
      <c r="H166" s="1">
        <v>80</v>
      </c>
      <c r="I166" s="1">
        <v>12.4</v>
      </c>
      <c r="J166" s="1">
        <v>99</v>
      </c>
      <c r="K166" s="1">
        <v>54</v>
      </c>
      <c r="L166" s="1" t="s">
        <v>14</v>
      </c>
    </row>
    <row r="167" spans="1:12" hidden="1" x14ac:dyDescent="0.25">
      <c r="A167" s="1" t="s">
        <v>23</v>
      </c>
      <c r="B167" s="1" t="s">
        <v>18</v>
      </c>
      <c r="C167" s="1">
        <v>2022</v>
      </c>
      <c r="D167" s="1">
        <v>43245</v>
      </c>
      <c r="E167" s="1">
        <v>11.3</v>
      </c>
      <c r="F167" s="1">
        <v>61</v>
      </c>
      <c r="G167" s="1">
        <v>1412620642</v>
      </c>
      <c r="H167" s="1">
        <v>51</v>
      </c>
      <c r="I167" s="1">
        <v>24.3</v>
      </c>
      <c r="J167" s="1">
        <v>97</v>
      </c>
      <c r="K167" s="1">
        <v>49</v>
      </c>
      <c r="L167" s="1" t="s">
        <v>18</v>
      </c>
    </row>
    <row r="168" spans="1:12" hidden="1" x14ac:dyDescent="0.25">
      <c r="A168" s="1" t="s">
        <v>24</v>
      </c>
      <c r="B168" s="1" t="s">
        <v>16</v>
      </c>
      <c r="C168" s="1">
        <v>2020</v>
      </c>
      <c r="D168" s="1">
        <v>63160</v>
      </c>
      <c r="E168" s="1">
        <v>12.3</v>
      </c>
      <c r="F168" s="1">
        <v>83</v>
      </c>
      <c r="G168" s="1">
        <v>1020747967</v>
      </c>
      <c r="H168" s="1">
        <v>63</v>
      </c>
      <c r="I168" s="1">
        <v>10.3</v>
      </c>
      <c r="J168" s="1">
        <v>79</v>
      </c>
      <c r="K168" s="1">
        <v>66</v>
      </c>
      <c r="L168" s="1" t="s">
        <v>16</v>
      </c>
    </row>
    <row r="169" spans="1:12" hidden="1" x14ac:dyDescent="0.25">
      <c r="A169" s="1" t="s">
        <v>25</v>
      </c>
      <c r="B169" s="1" t="s">
        <v>26</v>
      </c>
      <c r="C169" s="1">
        <v>2022</v>
      </c>
      <c r="D169" s="1">
        <v>66907</v>
      </c>
      <c r="E169" s="1">
        <v>10</v>
      </c>
      <c r="F169" s="1">
        <v>61</v>
      </c>
      <c r="G169" s="1">
        <v>971814165</v>
      </c>
      <c r="H169" s="1">
        <v>60</v>
      </c>
      <c r="I169" s="1">
        <v>10.7</v>
      </c>
      <c r="J169" s="1">
        <v>88</v>
      </c>
      <c r="K169" s="1">
        <v>46</v>
      </c>
      <c r="L169" s="1" t="s">
        <v>26</v>
      </c>
    </row>
    <row r="170" spans="1:12" hidden="1" x14ac:dyDescent="0.25">
      <c r="A170" s="1" t="s">
        <v>27</v>
      </c>
      <c r="B170" s="1" t="s">
        <v>22</v>
      </c>
      <c r="C170" s="1">
        <v>2022</v>
      </c>
      <c r="D170" s="1">
        <v>34182</v>
      </c>
      <c r="E170" s="1">
        <v>5.3</v>
      </c>
      <c r="F170" s="1">
        <v>79</v>
      </c>
      <c r="G170" s="1">
        <v>376416404</v>
      </c>
      <c r="H170" s="1">
        <v>61</v>
      </c>
      <c r="I170" s="1">
        <v>8.6999999999999993</v>
      </c>
      <c r="J170" s="1">
        <v>77</v>
      </c>
      <c r="K170" s="1">
        <v>52</v>
      </c>
      <c r="L170" s="1" t="s">
        <v>14</v>
      </c>
    </row>
    <row r="171" spans="1:12" hidden="1" x14ac:dyDescent="0.25">
      <c r="A171" s="1" t="s">
        <v>28</v>
      </c>
      <c r="B171" s="1" t="s">
        <v>29</v>
      </c>
      <c r="C171" s="1">
        <v>2022</v>
      </c>
      <c r="D171" s="1">
        <v>28031</v>
      </c>
      <c r="E171" s="1">
        <v>8.6</v>
      </c>
      <c r="F171" s="1">
        <v>68</v>
      </c>
      <c r="G171" s="1">
        <v>1299472365</v>
      </c>
      <c r="H171" s="1">
        <v>64</v>
      </c>
      <c r="I171" s="1">
        <v>9</v>
      </c>
      <c r="J171" s="1">
        <v>95</v>
      </c>
      <c r="K171" s="1">
        <v>75</v>
      </c>
      <c r="L171" s="1" t="s">
        <v>29</v>
      </c>
    </row>
    <row r="172" spans="1:12" x14ac:dyDescent="0.25">
      <c r="A172" s="1" t="s">
        <v>12</v>
      </c>
      <c r="B172" s="1" t="s">
        <v>13</v>
      </c>
      <c r="C172" s="1">
        <v>2022</v>
      </c>
      <c r="D172" s="1">
        <v>65719</v>
      </c>
      <c r="E172" s="1">
        <v>15.9</v>
      </c>
      <c r="F172" s="1">
        <v>80</v>
      </c>
      <c r="G172" s="1">
        <v>998891419</v>
      </c>
      <c r="H172" s="1">
        <v>51</v>
      </c>
      <c r="I172" s="1">
        <v>20.2</v>
      </c>
      <c r="J172" s="1">
        <v>91</v>
      </c>
      <c r="K172" s="1">
        <v>32</v>
      </c>
      <c r="L172" s="1" t="s">
        <v>14</v>
      </c>
    </row>
    <row r="173" spans="1:12" hidden="1" x14ac:dyDescent="0.25">
      <c r="A173" s="1" t="s">
        <v>15</v>
      </c>
      <c r="B173" s="1" t="s">
        <v>16</v>
      </c>
      <c r="C173" s="1">
        <v>2022</v>
      </c>
      <c r="D173" s="1">
        <v>7044</v>
      </c>
      <c r="E173" s="1">
        <v>9.9</v>
      </c>
      <c r="F173" s="1">
        <v>62</v>
      </c>
      <c r="G173" s="1">
        <v>608301177</v>
      </c>
      <c r="H173" s="1">
        <v>56</v>
      </c>
      <c r="I173" s="1">
        <v>16</v>
      </c>
      <c r="J173" s="1">
        <v>93</v>
      </c>
      <c r="K173" s="1">
        <v>39</v>
      </c>
      <c r="L173" s="1" t="s">
        <v>16</v>
      </c>
    </row>
    <row r="174" spans="1:12" hidden="1" x14ac:dyDescent="0.25">
      <c r="A174" s="1" t="s">
        <v>17</v>
      </c>
      <c r="B174" s="1" t="s">
        <v>18</v>
      </c>
      <c r="C174" s="1">
        <v>2020</v>
      </c>
      <c r="D174" s="1">
        <v>50855</v>
      </c>
      <c r="E174" s="1">
        <v>7.1</v>
      </c>
      <c r="F174" s="1">
        <v>60</v>
      </c>
      <c r="G174" s="1">
        <v>61454792</v>
      </c>
      <c r="H174" s="1">
        <v>80</v>
      </c>
      <c r="I174" s="1">
        <v>13.2</v>
      </c>
      <c r="J174" s="1">
        <v>91</v>
      </c>
      <c r="K174" s="1">
        <v>89</v>
      </c>
      <c r="L174" s="1" t="s">
        <v>18</v>
      </c>
    </row>
    <row r="175" spans="1:12" hidden="1" x14ac:dyDescent="0.25">
      <c r="A175" s="1" t="s">
        <v>19</v>
      </c>
      <c r="B175" s="1" t="s">
        <v>20</v>
      </c>
      <c r="C175" s="1">
        <v>2022</v>
      </c>
      <c r="D175" s="1">
        <v>40043</v>
      </c>
      <c r="E175" s="1">
        <v>5.8</v>
      </c>
      <c r="F175" s="1">
        <v>85</v>
      </c>
      <c r="G175" s="1">
        <v>318027567</v>
      </c>
      <c r="H175" s="1">
        <v>94</v>
      </c>
      <c r="I175" s="1">
        <v>24.9</v>
      </c>
      <c r="J175" s="1">
        <v>90</v>
      </c>
      <c r="K175" s="1">
        <v>80</v>
      </c>
      <c r="L175" s="1" t="s">
        <v>20</v>
      </c>
    </row>
    <row r="176" spans="1:12" hidden="1" x14ac:dyDescent="0.25">
      <c r="A176" s="1" t="s">
        <v>21</v>
      </c>
      <c r="B176" s="1" t="s">
        <v>22</v>
      </c>
      <c r="C176" s="1">
        <v>2022</v>
      </c>
      <c r="D176" s="1">
        <v>58750</v>
      </c>
      <c r="E176" s="1">
        <v>14.5</v>
      </c>
      <c r="F176" s="1">
        <v>71</v>
      </c>
      <c r="G176" s="1">
        <v>272097796</v>
      </c>
      <c r="H176" s="1">
        <v>73</v>
      </c>
      <c r="I176" s="1">
        <v>15.7</v>
      </c>
      <c r="J176" s="1">
        <v>89</v>
      </c>
      <c r="K176" s="1">
        <v>68</v>
      </c>
      <c r="L176" s="1" t="s">
        <v>14</v>
      </c>
    </row>
    <row r="177" spans="1:12" hidden="1" x14ac:dyDescent="0.25">
      <c r="A177" s="1" t="s">
        <v>23</v>
      </c>
      <c r="B177" s="1" t="s">
        <v>18</v>
      </c>
      <c r="C177" s="1">
        <v>2021</v>
      </c>
      <c r="D177" s="1">
        <v>12451</v>
      </c>
      <c r="E177" s="1">
        <v>14.6</v>
      </c>
      <c r="F177" s="1">
        <v>81</v>
      </c>
      <c r="G177" s="1">
        <v>891304499</v>
      </c>
      <c r="H177" s="1">
        <v>52</v>
      </c>
      <c r="I177" s="1">
        <v>2.4</v>
      </c>
      <c r="J177" s="1">
        <v>91</v>
      </c>
      <c r="K177" s="1">
        <v>61</v>
      </c>
      <c r="L177" s="1" t="s">
        <v>18</v>
      </c>
    </row>
    <row r="178" spans="1:12" hidden="1" x14ac:dyDescent="0.25">
      <c r="A178" s="1" t="s">
        <v>24</v>
      </c>
      <c r="B178" s="1" t="s">
        <v>16</v>
      </c>
      <c r="C178" s="1">
        <v>2021</v>
      </c>
      <c r="D178" s="1">
        <v>50398</v>
      </c>
      <c r="E178" s="1">
        <v>12.2</v>
      </c>
      <c r="F178" s="1">
        <v>80</v>
      </c>
      <c r="G178" s="1">
        <v>832785898</v>
      </c>
      <c r="H178" s="1">
        <v>54</v>
      </c>
      <c r="I178" s="1">
        <v>6.9</v>
      </c>
      <c r="J178" s="1">
        <v>72</v>
      </c>
      <c r="K178" s="1">
        <v>64</v>
      </c>
      <c r="L178" s="1" t="s">
        <v>16</v>
      </c>
    </row>
    <row r="179" spans="1:12" hidden="1" x14ac:dyDescent="0.25">
      <c r="A179" s="1" t="s">
        <v>25</v>
      </c>
      <c r="B179" s="1" t="s">
        <v>26</v>
      </c>
      <c r="C179" s="1">
        <v>2022</v>
      </c>
      <c r="D179" s="1">
        <v>18981</v>
      </c>
      <c r="E179" s="1">
        <v>8.1</v>
      </c>
      <c r="F179" s="1">
        <v>78</v>
      </c>
      <c r="G179" s="1">
        <v>1182968414</v>
      </c>
      <c r="H179" s="1">
        <v>71</v>
      </c>
      <c r="I179" s="1">
        <v>17.8</v>
      </c>
      <c r="J179" s="1">
        <v>95</v>
      </c>
      <c r="K179" s="1">
        <v>58</v>
      </c>
      <c r="L179" s="1" t="s">
        <v>26</v>
      </c>
    </row>
    <row r="180" spans="1:12" hidden="1" x14ac:dyDescent="0.25">
      <c r="A180" s="1" t="s">
        <v>27</v>
      </c>
      <c r="B180" s="1" t="s">
        <v>22</v>
      </c>
      <c r="C180" s="1">
        <v>2020</v>
      </c>
      <c r="D180" s="1">
        <v>51440</v>
      </c>
      <c r="E180" s="1">
        <v>12.7</v>
      </c>
      <c r="F180" s="1">
        <v>70</v>
      </c>
      <c r="G180" s="1">
        <v>1357629067</v>
      </c>
      <c r="H180" s="1">
        <v>51</v>
      </c>
      <c r="I180" s="1">
        <v>16</v>
      </c>
      <c r="J180" s="1">
        <v>83</v>
      </c>
      <c r="K180" s="1">
        <v>54</v>
      </c>
      <c r="L180" s="1" t="s">
        <v>14</v>
      </c>
    </row>
    <row r="181" spans="1:12" hidden="1" x14ac:dyDescent="0.25">
      <c r="A181" s="1" t="s">
        <v>28</v>
      </c>
      <c r="B181" s="1" t="s">
        <v>29</v>
      </c>
      <c r="C181" s="1">
        <v>2020</v>
      </c>
      <c r="D181" s="1">
        <v>5647</v>
      </c>
      <c r="E181" s="1">
        <v>16</v>
      </c>
      <c r="F181" s="1">
        <v>81</v>
      </c>
      <c r="G181" s="1">
        <v>1128296545</v>
      </c>
      <c r="H181" s="1">
        <v>61</v>
      </c>
      <c r="I181" s="1">
        <v>4.5</v>
      </c>
      <c r="J181" s="1">
        <v>82</v>
      </c>
      <c r="K181" s="1">
        <v>35</v>
      </c>
      <c r="L181" s="1" t="s">
        <v>29</v>
      </c>
    </row>
    <row r="182" spans="1:12" hidden="1" x14ac:dyDescent="0.25">
      <c r="A182" s="1" t="s">
        <v>12</v>
      </c>
      <c r="B182" s="1" t="s">
        <v>13</v>
      </c>
      <c r="C182" s="1">
        <v>2020</v>
      </c>
      <c r="D182" s="1">
        <v>44970</v>
      </c>
      <c r="E182" s="1">
        <v>5.7</v>
      </c>
      <c r="F182" s="1">
        <v>71</v>
      </c>
      <c r="G182" s="1">
        <v>1040378217</v>
      </c>
      <c r="H182" s="1">
        <v>76</v>
      </c>
      <c r="I182" s="1">
        <v>12.6</v>
      </c>
      <c r="J182" s="1">
        <v>98</v>
      </c>
      <c r="K182" s="1">
        <v>37</v>
      </c>
      <c r="L182" s="1" t="s">
        <v>14</v>
      </c>
    </row>
    <row r="183" spans="1:12" hidden="1" x14ac:dyDescent="0.25">
      <c r="A183" s="1" t="s">
        <v>15</v>
      </c>
      <c r="B183" s="1" t="s">
        <v>16</v>
      </c>
      <c r="C183" s="1">
        <v>2021</v>
      </c>
      <c r="D183" s="1">
        <v>9438</v>
      </c>
      <c r="E183" s="1">
        <v>7.4</v>
      </c>
      <c r="F183" s="1">
        <v>76</v>
      </c>
      <c r="G183" s="1">
        <v>1209766516</v>
      </c>
      <c r="H183" s="1">
        <v>54</v>
      </c>
      <c r="I183" s="1">
        <v>9.6</v>
      </c>
      <c r="J183" s="1">
        <v>71</v>
      </c>
      <c r="K183" s="1">
        <v>89</v>
      </c>
      <c r="L183" s="1" t="s">
        <v>16</v>
      </c>
    </row>
    <row r="184" spans="1:12" hidden="1" x14ac:dyDescent="0.25">
      <c r="A184" s="1" t="s">
        <v>17</v>
      </c>
      <c r="B184" s="1" t="s">
        <v>18</v>
      </c>
      <c r="C184" s="1">
        <v>2022</v>
      </c>
      <c r="D184" s="1">
        <v>5107</v>
      </c>
      <c r="E184" s="1">
        <v>3</v>
      </c>
      <c r="F184" s="1">
        <v>79</v>
      </c>
      <c r="G184" s="1">
        <v>700117256</v>
      </c>
      <c r="H184" s="1">
        <v>84</v>
      </c>
      <c r="I184" s="1">
        <v>12.3</v>
      </c>
      <c r="J184" s="1">
        <v>89</v>
      </c>
      <c r="K184" s="1">
        <v>68</v>
      </c>
      <c r="L184" s="1" t="s">
        <v>18</v>
      </c>
    </row>
    <row r="185" spans="1:12" hidden="1" x14ac:dyDescent="0.25">
      <c r="A185" s="1" t="s">
        <v>19</v>
      </c>
      <c r="B185" s="1" t="s">
        <v>20</v>
      </c>
      <c r="C185" s="1">
        <v>2020</v>
      </c>
      <c r="D185" s="1">
        <v>47147</v>
      </c>
      <c r="E185" s="1">
        <v>8.6999999999999993</v>
      </c>
      <c r="F185" s="1">
        <v>66</v>
      </c>
      <c r="G185" s="1">
        <v>375225188</v>
      </c>
      <c r="H185" s="1">
        <v>77</v>
      </c>
      <c r="I185" s="1">
        <v>7.3</v>
      </c>
      <c r="J185" s="1">
        <v>80</v>
      </c>
      <c r="K185" s="1">
        <v>75</v>
      </c>
      <c r="L185" s="1" t="s">
        <v>20</v>
      </c>
    </row>
    <row r="186" spans="1:12" hidden="1" x14ac:dyDescent="0.25">
      <c r="A186" s="1" t="s">
        <v>21</v>
      </c>
      <c r="B186" s="1" t="s">
        <v>22</v>
      </c>
      <c r="C186" s="1">
        <v>2021</v>
      </c>
      <c r="D186" s="1">
        <v>69904</v>
      </c>
      <c r="E186" s="1">
        <v>14</v>
      </c>
      <c r="F186" s="1">
        <v>67</v>
      </c>
      <c r="G186" s="1">
        <v>678719207</v>
      </c>
      <c r="H186" s="1">
        <v>89</v>
      </c>
      <c r="I186" s="1">
        <v>14.9</v>
      </c>
      <c r="J186" s="1">
        <v>90</v>
      </c>
      <c r="K186" s="1">
        <v>83</v>
      </c>
      <c r="L186" s="1" t="s">
        <v>14</v>
      </c>
    </row>
    <row r="187" spans="1:12" hidden="1" x14ac:dyDescent="0.25">
      <c r="A187" s="1" t="s">
        <v>23</v>
      </c>
      <c r="B187" s="1" t="s">
        <v>18</v>
      </c>
      <c r="C187" s="1">
        <v>2022</v>
      </c>
      <c r="D187" s="1">
        <v>60039</v>
      </c>
      <c r="E187" s="1">
        <v>13.8</v>
      </c>
      <c r="F187" s="1">
        <v>76</v>
      </c>
      <c r="G187" s="1">
        <v>1244251061</v>
      </c>
      <c r="H187" s="1">
        <v>82</v>
      </c>
      <c r="I187" s="1">
        <v>15.4</v>
      </c>
      <c r="J187" s="1">
        <v>80</v>
      </c>
      <c r="K187" s="1">
        <v>83</v>
      </c>
      <c r="L187" s="1" t="s">
        <v>18</v>
      </c>
    </row>
    <row r="188" spans="1:12" hidden="1" x14ac:dyDescent="0.25">
      <c r="A188" s="1" t="s">
        <v>24</v>
      </c>
      <c r="B188" s="1" t="s">
        <v>16</v>
      </c>
      <c r="C188" s="1">
        <v>2020</v>
      </c>
      <c r="D188" s="1">
        <v>33608</v>
      </c>
      <c r="E188" s="1">
        <v>9.6999999999999993</v>
      </c>
      <c r="F188" s="1">
        <v>69</v>
      </c>
      <c r="G188" s="1">
        <v>1058080092</v>
      </c>
      <c r="H188" s="1">
        <v>78</v>
      </c>
      <c r="I188" s="1">
        <v>14</v>
      </c>
      <c r="J188" s="1">
        <v>72</v>
      </c>
      <c r="K188" s="1">
        <v>53</v>
      </c>
      <c r="L188" s="1" t="s">
        <v>16</v>
      </c>
    </row>
    <row r="189" spans="1:12" hidden="1" x14ac:dyDescent="0.25">
      <c r="A189" s="1" t="s">
        <v>25</v>
      </c>
      <c r="B189" s="1" t="s">
        <v>26</v>
      </c>
      <c r="C189" s="1">
        <v>2020</v>
      </c>
      <c r="D189" s="1">
        <v>20686</v>
      </c>
      <c r="E189" s="1">
        <v>9.1</v>
      </c>
      <c r="F189" s="1">
        <v>62</v>
      </c>
      <c r="G189" s="1">
        <v>157876896</v>
      </c>
      <c r="H189" s="1">
        <v>64</v>
      </c>
      <c r="I189" s="1">
        <v>5.3</v>
      </c>
      <c r="J189" s="1">
        <v>85</v>
      </c>
      <c r="K189" s="1">
        <v>67</v>
      </c>
      <c r="L189" s="1" t="s">
        <v>26</v>
      </c>
    </row>
    <row r="190" spans="1:12" hidden="1" x14ac:dyDescent="0.25">
      <c r="A190" s="1" t="s">
        <v>27</v>
      </c>
      <c r="B190" s="1" t="s">
        <v>22</v>
      </c>
      <c r="C190" s="1">
        <v>2022</v>
      </c>
      <c r="D190" s="1">
        <v>15705</v>
      </c>
      <c r="E190" s="1">
        <v>7.9</v>
      </c>
      <c r="F190" s="1">
        <v>61</v>
      </c>
      <c r="G190" s="1">
        <v>1008291475</v>
      </c>
      <c r="H190" s="1">
        <v>85</v>
      </c>
      <c r="I190" s="1">
        <v>13.9</v>
      </c>
      <c r="J190" s="1">
        <v>70</v>
      </c>
      <c r="K190" s="1">
        <v>37</v>
      </c>
      <c r="L190" s="1" t="s">
        <v>14</v>
      </c>
    </row>
    <row r="191" spans="1:12" hidden="1" x14ac:dyDescent="0.25">
      <c r="A191" s="1" t="s">
        <v>28</v>
      </c>
      <c r="B191" s="1" t="s">
        <v>29</v>
      </c>
      <c r="C191" s="1">
        <v>2020</v>
      </c>
      <c r="D191" s="1">
        <v>59875</v>
      </c>
      <c r="E191" s="1">
        <v>15.5</v>
      </c>
      <c r="F191" s="1">
        <v>79</v>
      </c>
      <c r="G191" s="1">
        <v>289188078</v>
      </c>
      <c r="H191" s="1">
        <v>62</v>
      </c>
      <c r="I191" s="1">
        <v>6.5</v>
      </c>
      <c r="J191" s="1">
        <v>100</v>
      </c>
      <c r="K191" s="1">
        <v>43</v>
      </c>
      <c r="L191" s="1" t="s">
        <v>29</v>
      </c>
    </row>
    <row r="192" spans="1:12" x14ac:dyDescent="0.25">
      <c r="A192" s="1" t="s">
        <v>12</v>
      </c>
      <c r="B192" s="1" t="s">
        <v>13</v>
      </c>
      <c r="C192" s="1">
        <v>2022</v>
      </c>
      <c r="D192" s="1">
        <v>2957</v>
      </c>
      <c r="E192" s="1">
        <v>13.4</v>
      </c>
      <c r="F192" s="1">
        <v>81</v>
      </c>
      <c r="G192" s="1">
        <v>988659312</v>
      </c>
      <c r="H192" s="1">
        <v>78</v>
      </c>
      <c r="I192" s="1">
        <v>19</v>
      </c>
      <c r="J192" s="1">
        <v>82</v>
      </c>
      <c r="K192" s="1">
        <v>56</v>
      </c>
      <c r="L192" s="1" t="s">
        <v>14</v>
      </c>
    </row>
    <row r="193" spans="1:12" hidden="1" x14ac:dyDescent="0.25">
      <c r="A193" s="1" t="s">
        <v>15</v>
      </c>
      <c r="B193" s="1" t="s">
        <v>16</v>
      </c>
      <c r="C193" s="1">
        <v>2020</v>
      </c>
      <c r="D193" s="1">
        <v>68846</v>
      </c>
      <c r="E193" s="1">
        <v>15.4</v>
      </c>
      <c r="F193" s="1">
        <v>61</v>
      </c>
      <c r="G193" s="1">
        <v>1335714048</v>
      </c>
      <c r="H193" s="1">
        <v>90</v>
      </c>
      <c r="I193" s="1">
        <v>12.4</v>
      </c>
      <c r="J193" s="1">
        <v>95</v>
      </c>
      <c r="K193" s="1">
        <v>37</v>
      </c>
      <c r="L193" s="1" t="s">
        <v>16</v>
      </c>
    </row>
    <row r="194" spans="1:12" hidden="1" x14ac:dyDescent="0.25">
      <c r="A194" s="1" t="s">
        <v>17</v>
      </c>
      <c r="B194" s="1" t="s">
        <v>18</v>
      </c>
      <c r="C194" s="1">
        <v>2022</v>
      </c>
      <c r="D194" s="1">
        <v>47895</v>
      </c>
      <c r="E194" s="1">
        <v>3.3</v>
      </c>
      <c r="F194" s="1">
        <v>62</v>
      </c>
      <c r="G194" s="1">
        <v>428458635</v>
      </c>
      <c r="H194" s="1">
        <v>71</v>
      </c>
      <c r="I194" s="1">
        <v>22.5</v>
      </c>
      <c r="J194" s="1">
        <v>96</v>
      </c>
      <c r="K194" s="1">
        <v>61</v>
      </c>
      <c r="L194" s="1" t="s">
        <v>18</v>
      </c>
    </row>
    <row r="195" spans="1:12" hidden="1" x14ac:dyDescent="0.25">
      <c r="A195" s="1" t="s">
        <v>19</v>
      </c>
      <c r="B195" s="1" t="s">
        <v>20</v>
      </c>
      <c r="C195" s="1">
        <v>2021</v>
      </c>
      <c r="D195" s="1">
        <v>58738</v>
      </c>
      <c r="E195" s="1">
        <v>6.8</v>
      </c>
      <c r="F195" s="1">
        <v>74</v>
      </c>
      <c r="G195" s="1">
        <v>103091358</v>
      </c>
      <c r="H195" s="1">
        <v>70</v>
      </c>
      <c r="I195" s="1">
        <v>13.3</v>
      </c>
      <c r="J195" s="1">
        <v>90</v>
      </c>
      <c r="K195" s="1">
        <v>68</v>
      </c>
      <c r="L195" s="1" t="s">
        <v>20</v>
      </c>
    </row>
    <row r="196" spans="1:12" hidden="1" x14ac:dyDescent="0.25">
      <c r="A196" s="1" t="s">
        <v>21</v>
      </c>
      <c r="B196" s="1" t="s">
        <v>22</v>
      </c>
      <c r="C196" s="1">
        <v>2022</v>
      </c>
      <c r="D196" s="1">
        <v>60801</v>
      </c>
      <c r="E196" s="1">
        <v>4.4000000000000004</v>
      </c>
      <c r="F196" s="1">
        <v>66</v>
      </c>
      <c r="G196" s="1">
        <v>411470199</v>
      </c>
      <c r="H196" s="1">
        <v>86</v>
      </c>
      <c r="I196" s="1">
        <v>21.8</v>
      </c>
      <c r="J196" s="1">
        <v>94</v>
      </c>
      <c r="K196" s="1">
        <v>64</v>
      </c>
      <c r="L196" s="1" t="s">
        <v>14</v>
      </c>
    </row>
    <row r="197" spans="1:12" hidden="1" x14ac:dyDescent="0.25">
      <c r="A197" s="1" t="s">
        <v>23</v>
      </c>
      <c r="B197" s="1" t="s">
        <v>18</v>
      </c>
      <c r="C197" s="1">
        <v>2022</v>
      </c>
      <c r="D197" s="1">
        <v>17470</v>
      </c>
      <c r="E197" s="1">
        <v>3.9</v>
      </c>
      <c r="F197" s="1">
        <v>82</v>
      </c>
      <c r="G197" s="1">
        <v>391131065</v>
      </c>
      <c r="H197" s="1">
        <v>65</v>
      </c>
      <c r="I197" s="1">
        <v>22.5</v>
      </c>
      <c r="J197" s="1">
        <v>99</v>
      </c>
      <c r="K197" s="1">
        <v>84</v>
      </c>
      <c r="L197" s="1" t="s">
        <v>18</v>
      </c>
    </row>
    <row r="198" spans="1:12" hidden="1" x14ac:dyDescent="0.25">
      <c r="A198" s="1" t="s">
        <v>24</v>
      </c>
      <c r="B198" s="1" t="s">
        <v>16</v>
      </c>
      <c r="C198" s="1">
        <v>2020</v>
      </c>
      <c r="D198" s="1">
        <v>30158</v>
      </c>
      <c r="E198" s="1">
        <v>15.2</v>
      </c>
      <c r="F198" s="1">
        <v>63</v>
      </c>
      <c r="G198" s="1">
        <v>331730279</v>
      </c>
      <c r="H198" s="1">
        <v>52</v>
      </c>
      <c r="I198" s="1">
        <v>13.4</v>
      </c>
      <c r="J198" s="1">
        <v>71</v>
      </c>
      <c r="K198" s="1">
        <v>83</v>
      </c>
      <c r="L198" s="1" t="s">
        <v>16</v>
      </c>
    </row>
    <row r="199" spans="1:12" hidden="1" x14ac:dyDescent="0.25">
      <c r="A199" s="1" t="s">
        <v>25</v>
      </c>
      <c r="B199" s="1" t="s">
        <v>26</v>
      </c>
      <c r="C199" s="1">
        <v>2021</v>
      </c>
      <c r="D199" s="1">
        <v>59823</v>
      </c>
      <c r="E199" s="1">
        <v>10</v>
      </c>
      <c r="F199" s="1">
        <v>75</v>
      </c>
      <c r="G199" s="1">
        <v>981118344</v>
      </c>
      <c r="H199" s="1">
        <v>60</v>
      </c>
      <c r="I199" s="1">
        <v>9.3000000000000007</v>
      </c>
      <c r="J199" s="1">
        <v>83</v>
      </c>
      <c r="K199" s="1">
        <v>79</v>
      </c>
      <c r="L199" s="1" t="s">
        <v>26</v>
      </c>
    </row>
    <row r="200" spans="1:12" hidden="1" x14ac:dyDescent="0.25">
      <c r="A200" s="1" t="s">
        <v>27</v>
      </c>
      <c r="B200" s="1" t="s">
        <v>22</v>
      </c>
      <c r="C200" s="1">
        <v>2020</v>
      </c>
      <c r="D200" s="1">
        <v>62496</v>
      </c>
      <c r="E200" s="1">
        <v>4.7</v>
      </c>
      <c r="F200" s="1">
        <v>76</v>
      </c>
      <c r="G200" s="1">
        <v>1143301030</v>
      </c>
      <c r="H200" s="1">
        <v>76</v>
      </c>
      <c r="I200" s="1">
        <v>24.8</v>
      </c>
      <c r="J200" s="1">
        <v>84</v>
      </c>
      <c r="K200" s="1">
        <v>64</v>
      </c>
      <c r="L200" s="1" t="s">
        <v>14</v>
      </c>
    </row>
    <row r="201" spans="1:12" hidden="1" x14ac:dyDescent="0.25">
      <c r="A201" s="1" t="s">
        <v>28</v>
      </c>
      <c r="B201" s="1" t="s">
        <v>29</v>
      </c>
      <c r="C201" s="1">
        <v>2022</v>
      </c>
      <c r="D201" s="1">
        <v>57594</v>
      </c>
      <c r="E201" s="1">
        <v>15.7</v>
      </c>
      <c r="F201" s="1">
        <v>79</v>
      </c>
      <c r="G201" s="1">
        <v>124442783</v>
      </c>
      <c r="H201" s="1">
        <v>55</v>
      </c>
      <c r="I201" s="1">
        <v>6.2</v>
      </c>
      <c r="J201" s="1">
        <v>70</v>
      </c>
      <c r="K201" s="1">
        <v>42</v>
      </c>
      <c r="L201" s="1" t="s">
        <v>29</v>
      </c>
    </row>
    <row r="202" spans="1:12" hidden="1" x14ac:dyDescent="0.25">
      <c r="A202" s="1" t="s">
        <v>12</v>
      </c>
      <c r="B202" s="1" t="s">
        <v>13</v>
      </c>
      <c r="C202" s="1">
        <v>2021</v>
      </c>
      <c r="D202" s="1">
        <v>65364</v>
      </c>
      <c r="E202" s="1">
        <v>6.3</v>
      </c>
      <c r="F202" s="1">
        <v>69</v>
      </c>
      <c r="G202" s="1">
        <v>613657900</v>
      </c>
      <c r="H202" s="1">
        <v>65</v>
      </c>
      <c r="I202" s="1">
        <v>3</v>
      </c>
      <c r="J202" s="1">
        <v>92</v>
      </c>
      <c r="K202" s="1">
        <v>76</v>
      </c>
      <c r="L202" s="1" t="s">
        <v>14</v>
      </c>
    </row>
    <row r="203" spans="1:12" hidden="1" x14ac:dyDescent="0.25">
      <c r="A203" s="1" t="s">
        <v>15</v>
      </c>
      <c r="B203" s="1" t="s">
        <v>16</v>
      </c>
      <c r="C203" s="1">
        <v>2020</v>
      </c>
      <c r="D203" s="1">
        <v>25811</v>
      </c>
      <c r="E203" s="1">
        <v>5.2</v>
      </c>
      <c r="F203" s="1">
        <v>61</v>
      </c>
      <c r="G203" s="1">
        <v>1040959128</v>
      </c>
      <c r="H203" s="1">
        <v>72</v>
      </c>
      <c r="I203" s="1">
        <v>19.3</v>
      </c>
      <c r="J203" s="1">
        <v>70</v>
      </c>
      <c r="K203" s="1">
        <v>85</v>
      </c>
      <c r="L203" s="1" t="s">
        <v>16</v>
      </c>
    </row>
    <row r="204" spans="1:12" hidden="1" x14ac:dyDescent="0.25">
      <c r="A204" s="1" t="s">
        <v>17</v>
      </c>
      <c r="B204" s="1" t="s">
        <v>18</v>
      </c>
      <c r="C204" s="1">
        <v>2022</v>
      </c>
      <c r="D204" s="1">
        <v>6682</v>
      </c>
      <c r="E204" s="1">
        <v>12.6</v>
      </c>
      <c r="F204" s="1">
        <v>64</v>
      </c>
      <c r="G204" s="1">
        <v>13341104</v>
      </c>
      <c r="H204" s="1">
        <v>76</v>
      </c>
      <c r="I204" s="1">
        <v>23.4</v>
      </c>
      <c r="J204" s="1">
        <v>80</v>
      </c>
      <c r="K204" s="1">
        <v>35</v>
      </c>
      <c r="L204" s="1" t="s">
        <v>18</v>
      </c>
    </row>
    <row r="205" spans="1:12" hidden="1" x14ac:dyDescent="0.25">
      <c r="A205" s="1" t="s">
        <v>19</v>
      </c>
      <c r="B205" s="1" t="s">
        <v>20</v>
      </c>
      <c r="C205" s="1">
        <v>2021</v>
      </c>
      <c r="D205" s="1">
        <v>50479</v>
      </c>
      <c r="E205" s="1">
        <v>14.4</v>
      </c>
      <c r="F205" s="1">
        <v>80</v>
      </c>
      <c r="G205" s="1">
        <v>773138670</v>
      </c>
      <c r="H205" s="1">
        <v>90</v>
      </c>
      <c r="I205" s="1">
        <v>5</v>
      </c>
      <c r="J205" s="1">
        <v>76</v>
      </c>
      <c r="K205" s="1">
        <v>70</v>
      </c>
      <c r="L205" s="1" t="s">
        <v>20</v>
      </c>
    </row>
    <row r="206" spans="1:12" hidden="1" x14ac:dyDescent="0.25">
      <c r="A206" s="1" t="s">
        <v>21</v>
      </c>
      <c r="B206" s="1" t="s">
        <v>22</v>
      </c>
      <c r="C206" s="1">
        <v>2021</v>
      </c>
      <c r="D206" s="1">
        <v>40007</v>
      </c>
      <c r="E206" s="1">
        <v>6.7</v>
      </c>
      <c r="F206" s="1">
        <v>82</v>
      </c>
      <c r="G206" s="1">
        <v>1073901460</v>
      </c>
      <c r="H206" s="1">
        <v>50</v>
      </c>
      <c r="I206" s="1">
        <v>12.1</v>
      </c>
      <c r="J206" s="1">
        <v>97</v>
      </c>
      <c r="K206" s="1">
        <v>56</v>
      </c>
      <c r="L206" s="1" t="s">
        <v>14</v>
      </c>
    </row>
    <row r="207" spans="1:12" hidden="1" x14ac:dyDescent="0.25">
      <c r="A207" s="1" t="s">
        <v>23</v>
      </c>
      <c r="B207" s="1" t="s">
        <v>18</v>
      </c>
      <c r="C207" s="1">
        <v>2021</v>
      </c>
      <c r="D207" s="1">
        <v>28234</v>
      </c>
      <c r="E207" s="1">
        <v>15.1</v>
      </c>
      <c r="F207" s="1">
        <v>70</v>
      </c>
      <c r="G207" s="1">
        <v>154075773</v>
      </c>
      <c r="H207" s="1">
        <v>91</v>
      </c>
      <c r="I207" s="1">
        <v>17.600000000000001</v>
      </c>
      <c r="J207" s="1">
        <v>79</v>
      </c>
      <c r="K207" s="1">
        <v>56</v>
      </c>
      <c r="L207" s="1" t="s">
        <v>18</v>
      </c>
    </row>
    <row r="208" spans="1:12" hidden="1" x14ac:dyDescent="0.25">
      <c r="A208" s="1" t="s">
        <v>24</v>
      </c>
      <c r="B208" s="1" t="s">
        <v>16</v>
      </c>
      <c r="C208" s="1">
        <v>2020</v>
      </c>
      <c r="D208" s="1">
        <v>64203</v>
      </c>
      <c r="E208" s="1">
        <v>9.1999999999999993</v>
      </c>
      <c r="F208" s="1">
        <v>62</v>
      </c>
      <c r="G208" s="1">
        <v>804347792</v>
      </c>
      <c r="H208" s="1">
        <v>58</v>
      </c>
      <c r="I208" s="1">
        <v>6.9</v>
      </c>
      <c r="J208" s="1">
        <v>75</v>
      </c>
      <c r="K208" s="1">
        <v>45</v>
      </c>
      <c r="L208" s="1" t="s">
        <v>16</v>
      </c>
    </row>
    <row r="209" spans="1:12" hidden="1" x14ac:dyDescent="0.25">
      <c r="A209" s="1" t="s">
        <v>25</v>
      </c>
      <c r="B209" s="1" t="s">
        <v>26</v>
      </c>
      <c r="C209" s="1">
        <v>2020</v>
      </c>
      <c r="D209" s="1">
        <v>18226</v>
      </c>
      <c r="E209" s="1">
        <v>13.3</v>
      </c>
      <c r="F209" s="1">
        <v>79</v>
      </c>
      <c r="G209" s="1">
        <v>10101523</v>
      </c>
      <c r="H209" s="1">
        <v>53</v>
      </c>
      <c r="I209" s="1">
        <v>11.5</v>
      </c>
      <c r="J209" s="1">
        <v>89</v>
      </c>
      <c r="K209" s="1">
        <v>45</v>
      </c>
      <c r="L209" s="1" t="s">
        <v>26</v>
      </c>
    </row>
    <row r="210" spans="1:12" hidden="1" x14ac:dyDescent="0.25">
      <c r="A210" s="1" t="s">
        <v>27</v>
      </c>
      <c r="B210" s="1" t="s">
        <v>22</v>
      </c>
      <c r="C210" s="1">
        <v>2020</v>
      </c>
      <c r="D210" s="1">
        <v>29364</v>
      </c>
      <c r="E210" s="1">
        <v>14</v>
      </c>
      <c r="F210" s="1">
        <v>84</v>
      </c>
      <c r="G210" s="1">
        <v>1098239651</v>
      </c>
      <c r="H210" s="1">
        <v>51</v>
      </c>
      <c r="I210" s="1">
        <v>14.1</v>
      </c>
      <c r="J210" s="1">
        <v>91</v>
      </c>
      <c r="K210" s="1">
        <v>72</v>
      </c>
      <c r="L210" s="1" t="s">
        <v>14</v>
      </c>
    </row>
    <row r="211" spans="1:12" hidden="1" x14ac:dyDescent="0.25">
      <c r="A211" s="1" t="s">
        <v>28</v>
      </c>
      <c r="B211" s="1" t="s">
        <v>29</v>
      </c>
      <c r="C211" s="1">
        <v>2021</v>
      </c>
      <c r="D211" s="1">
        <v>56951</v>
      </c>
      <c r="E211" s="1">
        <v>4.4000000000000004</v>
      </c>
      <c r="F211" s="1">
        <v>72</v>
      </c>
      <c r="G211" s="1">
        <v>326854857</v>
      </c>
      <c r="H211" s="1">
        <v>75</v>
      </c>
      <c r="I211" s="1">
        <v>5.3</v>
      </c>
      <c r="J211" s="1">
        <v>96</v>
      </c>
      <c r="K211" s="1">
        <v>42</v>
      </c>
      <c r="L211" s="1" t="s">
        <v>29</v>
      </c>
    </row>
    <row r="212" spans="1:12" hidden="1" x14ac:dyDescent="0.25">
      <c r="A212" s="1" t="s">
        <v>12</v>
      </c>
      <c r="B212" s="1" t="s">
        <v>13</v>
      </c>
      <c r="C212" s="1">
        <v>2021</v>
      </c>
      <c r="D212" s="1">
        <v>48719</v>
      </c>
      <c r="E212" s="1">
        <v>16.3</v>
      </c>
      <c r="F212" s="1">
        <v>72</v>
      </c>
      <c r="G212" s="1">
        <v>1330075108</v>
      </c>
      <c r="H212" s="1">
        <v>70</v>
      </c>
      <c r="I212" s="1">
        <v>9.9</v>
      </c>
      <c r="J212" s="1">
        <v>97</v>
      </c>
      <c r="K212" s="1">
        <v>43</v>
      </c>
      <c r="L212" s="1" t="s">
        <v>14</v>
      </c>
    </row>
    <row r="213" spans="1:12" hidden="1" x14ac:dyDescent="0.25">
      <c r="A213" s="1" t="s">
        <v>15</v>
      </c>
      <c r="B213" s="1" t="s">
        <v>16</v>
      </c>
      <c r="C213" s="1">
        <v>2021</v>
      </c>
      <c r="D213" s="1">
        <v>25391</v>
      </c>
      <c r="E213" s="1">
        <v>8</v>
      </c>
      <c r="F213" s="1">
        <v>69</v>
      </c>
      <c r="G213" s="1">
        <v>641610669</v>
      </c>
      <c r="H213" s="1">
        <v>88</v>
      </c>
      <c r="I213" s="1">
        <v>20.100000000000001</v>
      </c>
      <c r="J213" s="1">
        <v>84</v>
      </c>
      <c r="K213" s="1">
        <v>57</v>
      </c>
      <c r="L213" s="1" t="s">
        <v>16</v>
      </c>
    </row>
    <row r="214" spans="1:12" hidden="1" x14ac:dyDescent="0.25">
      <c r="A214" s="1" t="s">
        <v>17</v>
      </c>
      <c r="B214" s="1" t="s">
        <v>18</v>
      </c>
      <c r="C214" s="1">
        <v>2020</v>
      </c>
      <c r="D214" s="1">
        <v>65349</v>
      </c>
      <c r="E214" s="1">
        <v>6.8</v>
      </c>
      <c r="F214" s="1">
        <v>75</v>
      </c>
      <c r="G214" s="1">
        <v>506013176</v>
      </c>
      <c r="H214" s="1">
        <v>82</v>
      </c>
      <c r="I214" s="1">
        <v>23.9</v>
      </c>
      <c r="J214" s="1">
        <v>100</v>
      </c>
      <c r="K214" s="1">
        <v>50</v>
      </c>
      <c r="L214" s="1" t="s">
        <v>18</v>
      </c>
    </row>
    <row r="215" spans="1:12" hidden="1" x14ac:dyDescent="0.25">
      <c r="A215" s="1" t="s">
        <v>19</v>
      </c>
      <c r="B215" s="1" t="s">
        <v>20</v>
      </c>
      <c r="C215" s="1">
        <v>2022</v>
      </c>
      <c r="D215" s="1">
        <v>69420</v>
      </c>
      <c r="E215" s="1">
        <v>15</v>
      </c>
      <c r="F215" s="1">
        <v>82</v>
      </c>
      <c r="G215" s="1">
        <v>1398349896</v>
      </c>
      <c r="H215" s="1">
        <v>54</v>
      </c>
      <c r="I215" s="1">
        <v>14.1</v>
      </c>
      <c r="J215" s="1">
        <v>97</v>
      </c>
      <c r="K215" s="1">
        <v>83</v>
      </c>
      <c r="L215" s="1" t="s">
        <v>20</v>
      </c>
    </row>
    <row r="216" spans="1:12" hidden="1" x14ac:dyDescent="0.25">
      <c r="A216" s="1" t="s">
        <v>21</v>
      </c>
      <c r="B216" s="1" t="s">
        <v>22</v>
      </c>
      <c r="C216" s="1">
        <v>2020</v>
      </c>
      <c r="D216" s="1">
        <v>25281</v>
      </c>
      <c r="E216" s="1">
        <v>9.6</v>
      </c>
      <c r="F216" s="1">
        <v>66</v>
      </c>
      <c r="G216" s="1">
        <v>186912023</v>
      </c>
      <c r="H216" s="1">
        <v>75</v>
      </c>
      <c r="I216" s="1">
        <v>4.8</v>
      </c>
      <c r="J216" s="1">
        <v>85</v>
      </c>
      <c r="K216" s="1">
        <v>60</v>
      </c>
      <c r="L216" s="1" t="s">
        <v>14</v>
      </c>
    </row>
    <row r="217" spans="1:12" hidden="1" x14ac:dyDescent="0.25">
      <c r="A217" s="1" t="s">
        <v>23</v>
      </c>
      <c r="B217" s="1" t="s">
        <v>18</v>
      </c>
      <c r="C217" s="1">
        <v>2022</v>
      </c>
      <c r="D217" s="1">
        <v>27693</v>
      </c>
      <c r="E217" s="1">
        <v>4.5</v>
      </c>
      <c r="F217" s="1">
        <v>73</v>
      </c>
      <c r="G217" s="1">
        <v>406612262</v>
      </c>
      <c r="H217" s="1">
        <v>58</v>
      </c>
      <c r="I217" s="1">
        <v>20.9</v>
      </c>
      <c r="J217" s="1">
        <v>89</v>
      </c>
      <c r="K217" s="1">
        <v>53</v>
      </c>
      <c r="L217" s="1" t="s">
        <v>18</v>
      </c>
    </row>
    <row r="218" spans="1:12" hidden="1" x14ac:dyDescent="0.25">
      <c r="A218" s="1" t="s">
        <v>24</v>
      </c>
      <c r="B218" s="1" t="s">
        <v>16</v>
      </c>
      <c r="C218" s="1">
        <v>2022</v>
      </c>
      <c r="D218" s="1">
        <v>54392</v>
      </c>
      <c r="E218" s="1">
        <v>9.4</v>
      </c>
      <c r="F218" s="1">
        <v>63</v>
      </c>
      <c r="G218" s="1">
        <v>756127784</v>
      </c>
      <c r="H218" s="1">
        <v>57</v>
      </c>
      <c r="I218" s="1">
        <v>11.1</v>
      </c>
      <c r="J218" s="1">
        <v>91</v>
      </c>
      <c r="K218" s="1">
        <v>71</v>
      </c>
      <c r="L218" s="1" t="s">
        <v>16</v>
      </c>
    </row>
    <row r="219" spans="1:12" hidden="1" x14ac:dyDescent="0.25">
      <c r="A219" s="1" t="s">
        <v>25</v>
      </c>
      <c r="B219" s="1" t="s">
        <v>26</v>
      </c>
      <c r="C219" s="1">
        <v>2022</v>
      </c>
      <c r="D219" s="1">
        <v>45061</v>
      </c>
      <c r="E219" s="1">
        <v>6</v>
      </c>
      <c r="F219" s="1">
        <v>68</v>
      </c>
      <c r="G219" s="1">
        <v>1087600014</v>
      </c>
      <c r="H219" s="1">
        <v>95</v>
      </c>
      <c r="I219" s="1">
        <v>15.1</v>
      </c>
      <c r="J219" s="1">
        <v>100</v>
      </c>
      <c r="K219" s="1">
        <v>66</v>
      </c>
      <c r="L219" s="1" t="s">
        <v>26</v>
      </c>
    </row>
    <row r="220" spans="1:12" hidden="1" x14ac:dyDescent="0.25">
      <c r="A220" s="1" t="s">
        <v>27</v>
      </c>
      <c r="B220" s="1" t="s">
        <v>22</v>
      </c>
      <c r="C220" s="1">
        <v>2021</v>
      </c>
      <c r="D220" s="1">
        <v>12832</v>
      </c>
      <c r="E220" s="1">
        <v>4.5999999999999996</v>
      </c>
      <c r="F220" s="1">
        <v>67</v>
      </c>
      <c r="G220" s="1">
        <v>1351589766</v>
      </c>
      <c r="H220" s="1">
        <v>73</v>
      </c>
      <c r="I220" s="1">
        <v>14.8</v>
      </c>
      <c r="J220" s="1">
        <v>70</v>
      </c>
      <c r="K220" s="1">
        <v>79</v>
      </c>
      <c r="L220" s="1" t="s">
        <v>14</v>
      </c>
    </row>
    <row r="221" spans="1:12" hidden="1" x14ac:dyDescent="0.25">
      <c r="A221" s="1" t="s">
        <v>28</v>
      </c>
      <c r="B221" s="1" t="s">
        <v>29</v>
      </c>
      <c r="C221" s="1">
        <v>2022</v>
      </c>
      <c r="D221" s="1">
        <v>36196</v>
      </c>
      <c r="E221" s="1">
        <v>9.5</v>
      </c>
      <c r="F221" s="1">
        <v>76</v>
      </c>
      <c r="G221" s="1">
        <v>568305105</v>
      </c>
      <c r="H221" s="1">
        <v>64</v>
      </c>
      <c r="I221" s="1">
        <v>9</v>
      </c>
      <c r="J221" s="1">
        <v>90</v>
      </c>
      <c r="K221" s="1">
        <v>42</v>
      </c>
      <c r="L221" s="1" t="s">
        <v>29</v>
      </c>
    </row>
    <row r="222" spans="1:12" hidden="1" x14ac:dyDescent="0.25">
      <c r="A222" s="1" t="s">
        <v>12</v>
      </c>
      <c r="B222" s="1" t="s">
        <v>13</v>
      </c>
      <c r="C222" s="1">
        <v>2020</v>
      </c>
      <c r="D222" s="1">
        <v>50070</v>
      </c>
      <c r="E222" s="1">
        <v>6.6</v>
      </c>
      <c r="F222" s="1">
        <v>70</v>
      </c>
      <c r="G222" s="1">
        <v>132933727</v>
      </c>
      <c r="H222" s="1">
        <v>51</v>
      </c>
      <c r="I222" s="1">
        <v>10.9</v>
      </c>
      <c r="J222" s="1">
        <v>82</v>
      </c>
      <c r="K222" s="1">
        <v>73</v>
      </c>
      <c r="L222" s="1" t="s">
        <v>14</v>
      </c>
    </row>
    <row r="223" spans="1:12" hidden="1" x14ac:dyDescent="0.25">
      <c r="A223" s="1" t="s">
        <v>15</v>
      </c>
      <c r="B223" s="1" t="s">
        <v>16</v>
      </c>
      <c r="C223" s="1">
        <v>2021</v>
      </c>
      <c r="D223" s="1">
        <v>61031</v>
      </c>
      <c r="E223" s="1">
        <v>14.2</v>
      </c>
      <c r="F223" s="1">
        <v>62</v>
      </c>
      <c r="G223" s="1">
        <v>66452698</v>
      </c>
      <c r="H223" s="1">
        <v>64</v>
      </c>
      <c r="I223" s="1">
        <v>15.6</v>
      </c>
      <c r="J223" s="1">
        <v>87</v>
      </c>
      <c r="K223" s="1">
        <v>30</v>
      </c>
      <c r="L223" s="1" t="s">
        <v>16</v>
      </c>
    </row>
    <row r="224" spans="1:12" hidden="1" x14ac:dyDescent="0.25">
      <c r="A224" s="1" t="s">
        <v>17</v>
      </c>
      <c r="B224" s="1" t="s">
        <v>18</v>
      </c>
      <c r="C224" s="1">
        <v>2021</v>
      </c>
      <c r="D224" s="1">
        <v>38446</v>
      </c>
      <c r="E224" s="1">
        <v>10.1</v>
      </c>
      <c r="F224" s="1">
        <v>65</v>
      </c>
      <c r="G224" s="1">
        <v>1215430400</v>
      </c>
      <c r="H224" s="1">
        <v>77</v>
      </c>
      <c r="I224" s="1">
        <v>11.1</v>
      </c>
      <c r="J224" s="1">
        <v>94</v>
      </c>
      <c r="K224" s="1">
        <v>80</v>
      </c>
      <c r="L224" s="1" t="s">
        <v>18</v>
      </c>
    </row>
    <row r="225" spans="1:12" hidden="1" x14ac:dyDescent="0.25">
      <c r="A225" s="1" t="s">
        <v>19</v>
      </c>
      <c r="B225" s="1" t="s">
        <v>20</v>
      </c>
      <c r="C225" s="1">
        <v>2022</v>
      </c>
      <c r="D225" s="1">
        <v>3632</v>
      </c>
      <c r="E225" s="1">
        <v>3.9</v>
      </c>
      <c r="F225" s="1">
        <v>66</v>
      </c>
      <c r="G225" s="1">
        <v>436429142</v>
      </c>
      <c r="H225" s="1">
        <v>92</v>
      </c>
      <c r="I225" s="1">
        <v>23.5</v>
      </c>
      <c r="J225" s="1">
        <v>95</v>
      </c>
      <c r="K225" s="1">
        <v>88</v>
      </c>
      <c r="L225" s="1" t="s">
        <v>20</v>
      </c>
    </row>
    <row r="226" spans="1:12" hidden="1" x14ac:dyDescent="0.25">
      <c r="A226" s="1" t="s">
        <v>21</v>
      </c>
      <c r="B226" s="1" t="s">
        <v>22</v>
      </c>
      <c r="C226" s="1">
        <v>2020</v>
      </c>
      <c r="D226" s="1">
        <v>14361</v>
      </c>
      <c r="E226" s="1">
        <v>15.8</v>
      </c>
      <c r="F226" s="1">
        <v>75</v>
      </c>
      <c r="G226" s="1">
        <v>826168098</v>
      </c>
      <c r="H226" s="1">
        <v>61</v>
      </c>
      <c r="I226" s="1">
        <v>17.399999999999999</v>
      </c>
      <c r="J226" s="1">
        <v>74</v>
      </c>
      <c r="K226" s="1">
        <v>77</v>
      </c>
      <c r="L226" s="1" t="s">
        <v>14</v>
      </c>
    </row>
    <row r="227" spans="1:12" hidden="1" x14ac:dyDescent="0.25">
      <c r="A227" s="1" t="s">
        <v>23</v>
      </c>
      <c r="B227" s="1" t="s">
        <v>18</v>
      </c>
      <c r="C227" s="1">
        <v>2022</v>
      </c>
      <c r="D227" s="1">
        <v>67471</v>
      </c>
      <c r="E227" s="1">
        <v>15.5</v>
      </c>
      <c r="F227" s="1">
        <v>60</v>
      </c>
      <c r="G227" s="1">
        <v>586887745</v>
      </c>
      <c r="H227" s="1">
        <v>71</v>
      </c>
      <c r="I227" s="1">
        <v>4.8</v>
      </c>
      <c r="J227" s="1">
        <v>82</v>
      </c>
      <c r="K227" s="1">
        <v>64</v>
      </c>
      <c r="L227" s="1" t="s">
        <v>18</v>
      </c>
    </row>
    <row r="228" spans="1:12" hidden="1" x14ac:dyDescent="0.25">
      <c r="A228" s="1" t="s">
        <v>24</v>
      </c>
      <c r="B228" s="1" t="s">
        <v>16</v>
      </c>
      <c r="C228" s="1">
        <v>2022</v>
      </c>
      <c r="D228" s="1">
        <v>45776</v>
      </c>
      <c r="E228" s="1">
        <v>15.7</v>
      </c>
      <c r="F228" s="1">
        <v>77</v>
      </c>
      <c r="G228" s="1">
        <v>1066928404</v>
      </c>
      <c r="H228" s="1">
        <v>55</v>
      </c>
      <c r="I228" s="1">
        <v>18.7</v>
      </c>
      <c r="J228" s="1">
        <v>93</v>
      </c>
      <c r="K228" s="1">
        <v>53</v>
      </c>
      <c r="L228" s="1" t="s">
        <v>16</v>
      </c>
    </row>
    <row r="229" spans="1:12" hidden="1" x14ac:dyDescent="0.25">
      <c r="A229" s="1" t="s">
        <v>25</v>
      </c>
      <c r="B229" s="1" t="s">
        <v>26</v>
      </c>
      <c r="C229" s="1">
        <v>2021</v>
      </c>
      <c r="D229" s="1">
        <v>2895</v>
      </c>
      <c r="E229" s="1">
        <v>7</v>
      </c>
      <c r="F229" s="1">
        <v>60</v>
      </c>
      <c r="G229" s="1">
        <v>735193385</v>
      </c>
      <c r="H229" s="1">
        <v>72</v>
      </c>
      <c r="I229" s="1">
        <v>21.2</v>
      </c>
      <c r="J229" s="1">
        <v>99</v>
      </c>
      <c r="K229" s="1">
        <v>47</v>
      </c>
      <c r="L229" s="1" t="s">
        <v>26</v>
      </c>
    </row>
    <row r="230" spans="1:12" hidden="1" x14ac:dyDescent="0.25">
      <c r="A230" s="1" t="s">
        <v>27</v>
      </c>
      <c r="B230" s="1" t="s">
        <v>22</v>
      </c>
      <c r="C230" s="1">
        <v>2020</v>
      </c>
      <c r="D230" s="1">
        <v>20794</v>
      </c>
      <c r="E230" s="1">
        <v>16.899999999999999</v>
      </c>
      <c r="F230" s="1">
        <v>82</v>
      </c>
      <c r="G230" s="1">
        <v>593687566</v>
      </c>
      <c r="H230" s="1">
        <v>54</v>
      </c>
      <c r="I230" s="1">
        <v>14.7</v>
      </c>
      <c r="J230" s="1">
        <v>91</v>
      </c>
      <c r="K230" s="1">
        <v>55</v>
      </c>
      <c r="L230" s="1" t="s">
        <v>14</v>
      </c>
    </row>
    <row r="231" spans="1:12" hidden="1" x14ac:dyDescent="0.25">
      <c r="A231" s="1" t="s">
        <v>28</v>
      </c>
      <c r="B231" s="1" t="s">
        <v>29</v>
      </c>
      <c r="C231" s="1">
        <v>2020</v>
      </c>
      <c r="D231" s="1">
        <v>58145</v>
      </c>
      <c r="E231" s="1">
        <v>3.7</v>
      </c>
      <c r="F231" s="1">
        <v>84</v>
      </c>
      <c r="G231" s="1">
        <v>178559054</v>
      </c>
      <c r="H231" s="1">
        <v>80</v>
      </c>
      <c r="I231" s="1">
        <v>20</v>
      </c>
      <c r="J231" s="1">
        <v>95</v>
      </c>
      <c r="K231" s="1">
        <v>31</v>
      </c>
      <c r="L231" s="1" t="s">
        <v>29</v>
      </c>
    </row>
    <row r="232" spans="1:12" x14ac:dyDescent="0.25">
      <c r="A232" s="1" t="s">
        <v>12</v>
      </c>
      <c r="B232" s="1" t="s">
        <v>13</v>
      </c>
      <c r="C232" s="1">
        <v>2022</v>
      </c>
      <c r="D232" s="1">
        <v>15391</v>
      </c>
      <c r="E232" s="1">
        <v>10.8</v>
      </c>
      <c r="F232" s="1">
        <v>85</v>
      </c>
      <c r="G232" s="1">
        <v>721289780</v>
      </c>
      <c r="H232" s="1">
        <v>94</v>
      </c>
      <c r="I232" s="1">
        <v>5.8</v>
      </c>
      <c r="J232" s="1">
        <v>82</v>
      </c>
      <c r="K232" s="1">
        <v>61</v>
      </c>
      <c r="L232" s="1" t="s">
        <v>14</v>
      </c>
    </row>
    <row r="233" spans="1:12" hidden="1" x14ac:dyDescent="0.25">
      <c r="A233" s="1" t="s">
        <v>15</v>
      </c>
      <c r="B233" s="1" t="s">
        <v>16</v>
      </c>
      <c r="C233" s="1">
        <v>2021</v>
      </c>
      <c r="D233" s="1">
        <v>30566</v>
      </c>
      <c r="E233" s="1">
        <v>16.8</v>
      </c>
      <c r="F233" s="1">
        <v>79</v>
      </c>
      <c r="G233" s="1">
        <v>1490429098</v>
      </c>
      <c r="H233" s="1">
        <v>77</v>
      </c>
      <c r="I233" s="1">
        <v>5.3</v>
      </c>
      <c r="J233" s="1">
        <v>86</v>
      </c>
      <c r="K233" s="1">
        <v>64</v>
      </c>
      <c r="L233" s="1" t="s">
        <v>16</v>
      </c>
    </row>
    <row r="234" spans="1:12" hidden="1" x14ac:dyDescent="0.25">
      <c r="A234" s="1" t="s">
        <v>17</v>
      </c>
      <c r="B234" s="1" t="s">
        <v>18</v>
      </c>
      <c r="C234" s="1">
        <v>2020</v>
      </c>
      <c r="D234" s="1">
        <v>44913</v>
      </c>
      <c r="E234" s="1">
        <v>15.5</v>
      </c>
      <c r="F234" s="1">
        <v>71</v>
      </c>
      <c r="G234" s="1">
        <v>768731173</v>
      </c>
      <c r="H234" s="1">
        <v>57</v>
      </c>
      <c r="I234" s="1">
        <v>9.9</v>
      </c>
      <c r="J234" s="1">
        <v>79</v>
      </c>
      <c r="K234" s="1">
        <v>44</v>
      </c>
      <c r="L234" s="1" t="s">
        <v>18</v>
      </c>
    </row>
    <row r="235" spans="1:12" hidden="1" x14ac:dyDescent="0.25">
      <c r="A235" s="1" t="s">
        <v>19</v>
      </c>
      <c r="B235" s="1" t="s">
        <v>20</v>
      </c>
      <c r="C235" s="1">
        <v>2022</v>
      </c>
      <c r="D235" s="1">
        <v>8422</v>
      </c>
      <c r="E235" s="1">
        <v>7.8</v>
      </c>
      <c r="F235" s="1">
        <v>67</v>
      </c>
      <c r="G235" s="1">
        <v>542020568</v>
      </c>
      <c r="H235" s="1">
        <v>94</v>
      </c>
      <c r="I235" s="1">
        <v>4.3</v>
      </c>
      <c r="J235" s="1">
        <v>81</v>
      </c>
      <c r="K235" s="1">
        <v>35</v>
      </c>
      <c r="L235" s="1" t="s">
        <v>20</v>
      </c>
    </row>
    <row r="236" spans="1:12" hidden="1" x14ac:dyDescent="0.25">
      <c r="A236" s="1" t="s">
        <v>21</v>
      </c>
      <c r="B236" s="1" t="s">
        <v>22</v>
      </c>
      <c r="C236" s="1">
        <v>2020</v>
      </c>
      <c r="D236" s="1">
        <v>24162</v>
      </c>
      <c r="E236" s="1">
        <v>12.5</v>
      </c>
      <c r="F236" s="1">
        <v>68</v>
      </c>
      <c r="G236" s="1">
        <v>699868506</v>
      </c>
      <c r="H236" s="1">
        <v>68</v>
      </c>
      <c r="I236" s="1">
        <v>20.3</v>
      </c>
      <c r="J236" s="1">
        <v>81</v>
      </c>
      <c r="K236" s="1">
        <v>76</v>
      </c>
      <c r="L236" s="1" t="s">
        <v>14</v>
      </c>
    </row>
    <row r="237" spans="1:12" hidden="1" x14ac:dyDescent="0.25">
      <c r="A237" s="1" t="s">
        <v>23</v>
      </c>
      <c r="B237" s="1" t="s">
        <v>18</v>
      </c>
      <c r="C237" s="1">
        <v>2020</v>
      </c>
      <c r="D237" s="1">
        <v>64150</v>
      </c>
      <c r="E237" s="1">
        <v>11.6</v>
      </c>
      <c r="F237" s="1">
        <v>77</v>
      </c>
      <c r="G237" s="1">
        <v>451311215</v>
      </c>
      <c r="H237" s="1">
        <v>90</v>
      </c>
      <c r="I237" s="1">
        <v>17.7</v>
      </c>
      <c r="J237" s="1">
        <v>96</v>
      </c>
      <c r="K237" s="1">
        <v>58</v>
      </c>
      <c r="L237" s="1" t="s">
        <v>18</v>
      </c>
    </row>
    <row r="238" spans="1:12" hidden="1" x14ac:dyDescent="0.25">
      <c r="A238" s="1" t="s">
        <v>24</v>
      </c>
      <c r="B238" s="1" t="s">
        <v>16</v>
      </c>
      <c r="C238" s="1">
        <v>2022</v>
      </c>
      <c r="D238" s="1">
        <v>58981</v>
      </c>
      <c r="E238" s="1">
        <v>8.6999999999999993</v>
      </c>
      <c r="F238" s="1">
        <v>66</v>
      </c>
      <c r="G238" s="1">
        <v>1494679285</v>
      </c>
      <c r="H238" s="1">
        <v>54</v>
      </c>
      <c r="I238" s="1">
        <v>7.2</v>
      </c>
      <c r="J238" s="1">
        <v>93</v>
      </c>
      <c r="K238" s="1">
        <v>67</v>
      </c>
      <c r="L238" s="1" t="s">
        <v>16</v>
      </c>
    </row>
    <row r="239" spans="1:12" hidden="1" x14ac:dyDescent="0.25">
      <c r="A239" s="1" t="s">
        <v>25</v>
      </c>
      <c r="B239" s="1" t="s">
        <v>26</v>
      </c>
      <c r="C239" s="1">
        <v>2022</v>
      </c>
      <c r="D239" s="1">
        <v>27083</v>
      </c>
      <c r="E239" s="1">
        <v>5.4</v>
      </c>
      <c r="F239" s="1">
        <v>68</v>
      </c>
      <c r="G239" s="1">
        <v>991560709</v>
      </c>
      <c r="H239" s="1">
        <v>94</v>
      </c>
      <c r="I239" s="1">
        <v>24.5</v>
      </c>
      <c r="J239" s="1">
        <v>78</v>
      </c>
      <c r="K239" s="1">
        <v>66</v>
      </c>
      <c r="L239" s="1" t="s">
        <v>26</v>
      </c>
    </row>
    <row r="240" spans="1:12" hidden="1" x14ac:dyDescent="0.25">
      <c r="A240" s="1" t="s">
        <v>27</v>
      </c>
      <c r="B240" s="1" t="s">
        <v>22</v>
      </c>
      <c r="C240" s="1">
        <v>2021</v>
      </c>
      <c r="D240" s="1">
        <v>2323</v>
      </c>
      <c r="E240" s="1">
        <v>11.1</v>
      </c>
      <c r="F240" s="1">
        <v>70</v>
      </c>
      <c r="G240" s="1">
        <v>859378086</v>
      </c>
      <c r="H240" s="1">
        <v>86</v>
      </c>
      <c r="I240" s="1">
        <v>21.4</v>
      </c>
      <c r="J240" s="1">
        <v>93</v>
      </c>
      <c r="K240" s="1">
        <v>76</v>
      </c>
      <c r="L240" s="1" t="s">
        <v>14</v>
      </c>
    </row>
    <row r="241" spans="1:12" hidden="1" x14ac:dyDescent="0.25">
      <c r="A241" s="1" t="s">
        <v>28</v>
      </c>
      <c r="B241" s="1" t="s">
        <v>29</v>
      </c>
      <c r="C241" s="1">
        <v>2020</v>
      </c>
      <c r="D241" s="1">
        <v>54686</v>
      </c>
      <c r="E241" s="1">
        <v>4</v>
      </c>
      <c r="F241" s="1">
        <v>84</v>
      </c>
      <c r="G241" s="1">
        <v>785066722</v>
      </c>
      <c r="H241" s="1">
        <v>60</v>
      </c>
      <c r="I241" s="1">
        <v>24.6</v>
      </c>
      <c r="J241" s="1">
        <v>81</v>
      </c>
      <c r="K241" s="1">
        <v>37</v>
      </c>
      <c r="L241" s="1" t="s">
        <v>29</v>
      </c>
    </row>
    <row r="242" spans="1:12" hidden="1" x14ac:dyDescent="0.25">
      <c r="A242" s="1" t="s">
        <v>12</v>
      </c>
      <c r="B242" s="1" t="s">
        <v>13</v>
      </c>
      <c r="C242" s="1">
        <v>2020</v>
      </c>
      <c r="D242" s="1">
        <v>23478</v>
      </c>
      <c r="E242" s="1">
        <v>8.5</v>
      </c>
      <c r="F242" s="1">
        <v>64</v>
      </c>
      <c r="G242" s="1">
        <v>856670434</v>
      </c>
      <c r="H242" s="1">
        <v>69</v>
      </c>
      <c r="I242" s="1">
        <v>15.8</v>
      </c>
      <c r="J242" s="1">
        <v>75</v>
      </c>
      <c r="K242" s="1">
        <v>69</v>
      </c>
      <c r="L242" s="1" t="s">
        <v>14</v>
      </c>
    </row>
    <row r="243" spans="1:12" hidden="1" x14ac:dyDescent="0.25">
      <c r="A243" s="1" t="s">
        <v>15</v>
      </c>
      <c r="B243" s="1" t="s">
        <v>16</v>
      </c>
      <c r="C243" s="1">
        <v>2020</v>
      </c>
      <c r="D243" s="1">
        <v>45491</v>
      </c>
      <c r="E243" s="1">
        <v>7.4</v>
      </c>
      <c r="F243" s="1">
        <v>61</v>
      </c>
      <c r="G243" s="1">
        <v>1066551966</v>
      </c>
      <c r="H243" s="1">
        <v>76</v>
      </c>
      <c r="I243" s="1">
        <v>15.2</v>
      </c>
      <c r="J243" s="1">
        <v>86</v>
      </c>
      <c r="K243" s="1">
        <v>38</v>
      </c>
      <c r="L243" s="1" t="s">
        <v>16</v>
      </c>
    </row>
    <row r="244" spans="1:12" hidden="1" x14ac:dyDescent="0.25">
      <c r="A244" s="1" t="s">
        <v>17</v>
      </c>
      <c r="B244" s="1" t="s">
        <v>18</v>
      </c>
      <c r="C244" s="1">
        <v>2020</v>
      </c>
      <c r="D244" s="1">
        <v>59630</v>
      </c>
      <c r="E244" s="1">
        <v>11.1</v>
      </c>
      <c r="F244" s="1">
        <v>82</v>
      </c>
      <c r="G244" s="1">
        <v>1296401631</v>
      </c>
      <c r="H244" s="1">
        <v>77</v>
      </c>
      <c r="I244" s="1">
        <v>12.1</v>
      </c>
      <c r="J244" s="1">
        <v>92</v>
      </c>
      <c r="K244" s="1">
        <v>55</v>
      </c>
      <c r="L244" s="1" t="s">
        <v>18</v>
      </c>
    </row>
    <row r="245" spans="1:12" hidden="1" x14ac:dyDescent="0.25">
      <c r="A245" s="1" t="s">
        <v>19</v>
      </c>
      <c r="B245" s="1" t="s">
        <v>20</v>
      </c>
      <c r="C245" s="1">
        <v>2021</v>
      </c>
      <c r="D245" s="1">
        <v>55137</v>
      </c>
      <c r="E245" s="1">
        <v>8.1999999999999993</v>
      </c>
      <c r="F245" s="1">
        <v>67</v>
      </c>
      <c r="G245" s="1">
        <v>127144716</v>
      </c>
      <c r="H245" s="1">
        <v>58</v>
      </c>
      <c r="I245" s="1">
        <v>22.7</v>
      </c>
      <c r="J245" s="1">
        <v>90</v>
      </c>
      <c r="K245" s="1">
        <v>30</v>
      </c>
      <c r="L245" s="1" t="s">
        <v>20</v>
      </c>
    </row>
    <row r="246" spans="1:12" hidden="1" x14ac:dyDescent="0.25">
      <c r="A246" s="1" t="s">
        <v>21</v>
      </c>
      <c r="B246" s="1" t="s">
        <v>22</v>
      </c>
      <c r="C246" s="1">
        <v>2022</v>
      </c>
      <c r="D246" s="1">
        <v>48794</v>
      </c>
      <c r="E246" s="1">
        <v>6.4</v>
      </c>
      <c r="F246" s="1">
        <v>64</v>
      </c>
      <c r="G246" s="1">
        <v>1494088218</v>
      </c>
      <c r="H246" s="1">
        <v>53</v>
      </c>
      <c r="I246" s="1">
        <v>25</v>
      </c>
      <c r="J246" s="1">
        <v>72</v>
      </c>
      <c r="K246" s="1">
        <v>76</v>
      </c>
      <c r="L246" s="1" t="s">
        <v>14</v>
      </c>
    </row>
    <row r="247" spans="1:12" hidden="1" x14ac:dyDescent="0.25">
      <c r="A247" s="1" t="s">
        <v>23</v>
      </c>
      <c r="B247" s="1" t="s">
        <v>18</v>
      </c>
      <c r="C247" s="1">
        <v>2022</v>
      </c>
      <c r="D247" s="1">
        <v>6744</v>
      </c>
      <c r="E247" s="1">
        <v>16.100000000000001</v>
      </c>
      <c r="F247" s="1">
        <v>76</v>
      </c>
      <c r="G247" s="1">
        <v>874401344</v>
      </c>
      <c r="H247" s="1">
        <v>90</v>
      </c>
      <c r="I247" s="1">
        <v>11.8</v>
      </c>
      <c r="J247" s="1">
        <v>86</v>
      </c>
      <c r="K247" s="1">
        <v>72</v>
      </c>
      <c r="L247" s="1" t="s">
        <v>18</v>
      </c>
    </row>
    <row r="248" spans="1:12" hidden="1" x14ac:dyDescent="0.25">
      <c r="A248" s="1" t="s">
        <v>24</v>
      </c>
      <c r="B248" s="1" t="s">
        <v>16</v>
      </c>
      <c r="C248" s="1">
        <v>2020</v>
      </c>
      <c r="D248" s="1">
        <v>69528</v>
      </c>
      <c r="E248" s="1">
        <v>5.9</v>
      </c>
      <c r="F248" s="1">
        <v>75</v>
      </c>
      <c r="G248" s="1">
        <v>1043953467</v>
      </c>
      <c r="H248" s="1">
        <v>88</v>
      </c>
      <c r="I248" s="1">
        <v>19.100000000000001</v>
      </c>
      <c r="J248" s="1">
        <v>100</v>
      </c>
      <c r="K248" s="1">
        <v>46</v>
      </c>
      <c r="L248" s="1" t="s">
        <v>16</v>
      </c>
    </row>
    <row r="249" spans="1:12" hidden="1" x14ac:dyDescent="0.25">
      <c r="A249" s="1" t="s">
        <v>25</v>
      </c>
      <c r="B249" s="1" t="s">
        <v>26</v>
      </c>
      <c r="C249" s="1">
        <v>2020</v>
      </c>
      <c r="D249" s="1">
        <v>11110</v>
      </c>
      <c r="E249" s="1">
        <v>14.3</v>
      </c>
      <c r="F249" s="1">
        <v>66</v>
      </c>
      <c r="G249" s="1">
        <v>656298314</v>
      </c>
      <c r="H249" s="1">
        <v>88</v>
      </c>
      <c r="I249" s="1">
        <v>14.7</v>
      </c>
      <c r="J249" s="1">
        <v>79</v>
      </c>
      <c r="K249" s="1">
        <v>52</v>
      </c>
      <c r="L249" s="1" t="s">
        <v>26</v>
      </c>
    </row>
    <row r="250" spans="1:12" hidden="1" x14ac:dyDescent="0.25">
      <c r="A250" s="1" t="s">
        <v>27</v>
      </c>
      <c r="B250" s="1" t="s">
        <v>22</v>
      </c>
      <c r="C250" s="1">
        <v>2021</v>
      </c>
      <c r="D250" s="1">
        <v>2217</v>
      </c>
      <c r="E250" s="1">
        <v>3.3</v>
      </c>
      <c r="F250" s="1">
        <v>65</v>
      </c>
      <c r="G250" s="1">
        <v>850897555</v>
      </c>
      <c r="H250" s="1">
        <v>84</v>
      </c>
      <c r="I250" s="1">
        <v>2.5</v>
      </c>
      <c r="J250" s="1">
        <v>79</v>
      </c>
      <c r="K250" s="1">
        <v>73</v>
      </c>
      <c r="L250" s="1" t="s">
        <v>14</v>
      </c>
    </row>
    <row r="251" spans="1:12" hidden="1" x14ac:dyDescent="0.25">
      <c r="A251" s="1" t="s">
        <v>28</v>
      </c>
      <c r="B251" s="1" t="s">
        <v>29</v>
      </c>
      <c r="C251" s="1">
        <v>2021</v>
      </c>
      <c r="D251" s="1">
        <v>10496</v>
      </c>
      <c r="E251" s="1">
        <v>15.7</v>
      </c>
      <c r="F251" s="1">
        <v>83</v>
      </c>
      <c r="G251" s="1">
        <v>428133100</v>
      </c>
      <c r="H251" s="1">
        <v>59</v>
      </c>
      <c r="I251" s="1">
        <v>21.2</v>
      </c>
      <c r="J251" s="1">
        <v>96</v>
      </c>
      <c r="K251" s="1">
        <v>80</v>
      </c>
      <c r="L251" s="1" t="s">
        <v>29</v>
      </c>
    </row>
    <row r="252" spans="1:12" x14ac:dyDescent="0.25">
      <c r="A252" s="1" t="s">
        <v>12</v>
      </c>
      <c r="B252" s="1" t="s">
        <v>13</v>
      </c>
      <c r="C252" s="1">
        <v>2022</v>
      </c>
      <c r="D252" s="1">
        <v>12017</v>
      </c>
      <c r="E252" s="1">
        <v>6.9</v>
      </c>
      <c r="F252" s="1">
        <v>82</v>
      </c>
      <c r="G252" s="1">
        <v>583736500</v>
      </c>
      <c r="H252" s="1">
        <v>50</v>
      </c>
      <c r="I252" s="1">
        <v>13</v>
      </c>
      <c r="J252" s="1">
        <v>71</v>
      </c>
      <c r="K252" s="1">
        <v>72</v>
      </c>
      <c r="L252" s="1" t="s">
        <v>14</v>
      </c>
    </row>
    <row r="253" spans="1:12" hidden="1" x14ac:dyDescent="0.25">
      <c r="A253" s="1" t="s">
        <v>15</v>
      </c>
      <c r="B253" s="1" t="s">
        <v>16</v>
      </c>
      <c r="C253" s="1">
        <v>2022</v>
      </c>
      <c r="D253" s="1">
        <v>8177</v>
      </c>
      <c r="E253" s="1">
        <v>10.1</v>
      </c>
      <c r="F253" s="1">
        <v>78</v>
      </c>
      <c r="G253" s="1">
        <v>764470568</v>
      </c>
      <c r="H253" s="1">
        <v>60</v>
      </c>
      <c r="I253" s="1">
        <v>21.9</v>
      </c>
      <c r="J253" s="1">
        <v>91</v>
      </c>
      <c r="K253" s="1">
        <v>59</v>
      </c>
      <c r="L253" s="1" t="s">
        <v>16</v>
      </c>
    </row>
    <row r="254" spans="1:12" hidden="1" x14ac:dyDescent="0.25">
      <c r="A254" s="1" t="s">
        <v>17</v>
      </c>
      <c r="B254" s="1" t="s">
        <v>18</v>
      </c>
      <c r="C254" s="1">
        <v>2022</v>
      </c>
      <c r="D254" s="1">
        <v>43885</v>
      </c>
      <c r="E254" s="1">
        <v>7.9</v>
      </c>
      <c r="F254" s="1">
        <v>74</v>
      </c>
      <c r="G254" s="1">
        <v>983771547</v>
      </c>
      <c r="H254" s="1">
        <v>95</v>
      </c>
      <c r="I254" s="1">
        <v>4.9000000000000004</v>
      </c>
      <c r="J254" s="1">
        <v>98</v>
      </c>
      <c r="K254" s="1">
        <v>82</v>
      </c>
      <c r="L254" s="1" t="s">
        <v>18</v>
      </c>
    </row>
    <row r="255" spans="1:12" hidden="1" x14ac:dyDescent="0.25">
      <c r="A255" s="1" t="s">
        <v>19</v>
      </c>
      <c r="B255" s="1" t="s">
        <v>20</v>
      </c>
      <c r="C255" s="1">
        <v>2020</v>
      </c>
      <c r="D255" s="1">
        <v>32588</v>
      </c>
      <c r="E255" s="1">
        <v>5.8</v>
      </c>
      <c r="F255" s="1">
        <v>61</v>
      </c>
      <c r="G255" s="1">
        <v>827223739</v>
      </c>
      <c r="H255" s="1">
        <v>59</v>
      </c>
      <c r="I255" s="1">
        <v>19.399999999999999</v>
      </c>
      <c r="J255" s="1">
        <v>73</v>
      </c>
      <c r="K255" s="1">
        <v>47</v>
      </c>
      <c r="L255" s="1" t="s">
        <v>20</v>
      </c>
    </row>
    <row r="256" spans="1:12" hidden="1" x14ac:dyDescent="0.25">
      <c r="A256" s="1" t="s">
        <v>21</v>
      </c>
      <c r="B256" s="1" t="s">
        <v>22</v>
      </c>
      <c r="C256" s="1">
        <v>2020</v>
      </c>
      <c r="D256" s="1">
        <v>46512</v>
      </c>
      <c r="E256" s="1">
        <v>13.6</v>
      </c>
      <c r="F256" s="1">
        <v>71</v>
      </c>
      <c r="G256" s="1">
        <v>624229972</v>
      </c>
      <c r="H256" s="1">
        <v>81</v>
      </c>
      <c r="I256" s="1">
        <v>11.7</v>
      </c>
      <c r="J256" s="1">
        <v>92</v>
      </c>
      <c r="K256" s="1">
        <v>45</v>
      </c>
      <c r="L256" s="1" t="s">
        <v>14</v>
      </c>
    </row>
    <row r="257" spans="1:12" hidden="1" x14ac:dyDescent="0.25">
      <c r="A257" s="1" t="s">
        <v>23</v>
      </c>
      <c r="B257" s="1" t="s">
        <v>18</v>
      </c>
      <c r="C257" s="1">
        <v>2022</v>
      </c>
      <c r="D257" s="1">
        <v>36536</v>
      </c>
      <c r="E257" s="1">
        <v>6.8</v>
      </c>
      <c r="F257" s="1">
        <v>61</v>
      </c>
      <c r="G257" s="1">
        <v>61277754</v>
      </c>
      <c r="H257" s="1">
        <v>85</v>
      </c>
      <c r="I257" s="1">
        <v>7.2</v>
      </c>
      <c r="J257" s="1">
        <v>82</v>
      </c>
      <c r="K257" s="1">
        <v>46</v>
      </c>
      <c r="L257" s="1" t="s">
        <v>18</v>
      </c>
    </row>
    <row r="258" spans="1:12" hidden="1" x14ac:dyDescent="0.25">
      <c r="A258" s="1" t="s">
        <v>24</v>
      </c>
      <c r="B258" s="1" t="s">
        <v>16</v>
      </c>
      <c r="C258" s="1">
        <v>2020</v>
      </c>
      <c r="D258" s="1">
        <v>20070</v>
      </c>
      <c r="E258" s="1">
        <v>11.9</v>
      </c>
      <c r="F258" s="1">
        <v>72</v>
      </c>
      <c r="G258" s="1">
        <v>936085937</v>
      </c>
      <c r="H258" s="1">
        <v>80</v>
      </c>
      <c r="I258" s="1">
        <v>14.2</v>
      </c>
      <c r="J258" s="1">
        <v>98</v>
      </c>
      <c r="K258" s="1">
        <v>66</v>
      </c>
      <c r="L258" s="1" t="s">
        <v>16</v>
      </c>
    </row>
    <row r="259" spans="1:12" hidden="1" x14ac:dyDescent="0.25">
      <c r="A259" s="1" t="s">
        <v>25</v>
      </c>
      <c r="B259" s="1" t="s">
        <v>26</v>
      </c>
      <c r="C259" s="1">
        <v>2021</v>
      </c>
      <c r="D259" s="1">
        <v>34028</v>
      </c>
      <c r="E259" s="1">
        <v>12.2</v>
      </c>
      <c r="F259" s="1">
        <v>75</v>
      </c>
      <c r="G259" s="1">
        <v>1172149943</v>
      </c>
      <c r="H259" s="1">
        <v>89</v>
      </c>
      <c r="I259" s="1">
        <v>3.8</v>
      </c>
      <c r="J259" s="1">
        <v>99</v>
      </c>
      <c r="K259" s="1">
        <v>75</v>
      </c>
      <c r="L259" s="1" t="s">
        <v>26</v>
      </c>
    </row>
    <row r="260" spans="1:12" hidden="1" x14ac:dyDescent="0.25">
      <c r="A260" s="1" t="s">
        <v>27</v>
      </c>
      <c r="B260" s="1" t="s">
        <v>22</v>
      </c>
      <c r="C260" s="1">
        <v>2021</v>
      </c>
      <c r="D260" s="1">
        <v>57072</v>
      </c>
      <c r="E260" s="1">
        <v>7</v>
      </c>
      <c r="F260" s="1">
        <v>81</v>
      </c>
      <c r="G260" s="1">
        <v>1265374410</v>
      </c>
      <c r="H260" s="1">
        <v>90</v>
      </c>
      <c r="I260" s="1">
        <v>13</v>
      </c>
      <c r="J260" s="1">
        <v>88</v>
      </c>
      <c r="K260" s="1">
        <v>65</v>
      </c>
      <c r="L260" s="1" t="s">
        <v>14</v>
      </c>
    </row>
    <row r="261" spans="1:12" hidden="1" x14ac:dyDescent="0.25">
      <c r="A261" s="1" t="s">
        <v>28</v>
      </c>
      <c r="B261" s="1" t="s">
        <v>29</v>
      </c>
      <c r="C261" s="1">
        <v>2022</v>
      </c>
      <c r="D261" s="1">
        <v>17332</v>
      </c>
      <c r="E261" s="1">
        <v>16.399999999999999</v>
      </c>
      <c r="F261" s="1">
        <v>81</v>
      </c>
      <c r="G261" s="1">
        <v>1402500309</v>
      </c>
      <c r="H261" s="1">
        <v>79</v>
      </c>
      <c r="I261" s="1">
        <v>12.7</v>
      </c>
      <c r="J261" s="1">
        <v>74</v>
      </c>
      <c r="K261" s="1">
        <v>59</v>
      </c>
      <c r="L261" s="1" t="s">
        <v>29</v>
      </c>
    </row>
    <row r="262" spans="1:12" hidden="1" x14ac:dyDescent="0.25">
      <c r="A262" s="1" t="s">
        <v>12</v>
      </c>
      <c r="B262" s="1" t="s">
        <v>13</v>
      </c>
      <c r="C262" s="1">
        <v>2021</v>
      </c>
      <c r="D262" s="1">
        <v>54844</v>
      </c>
      <c r="E262" s="1">
        <v>12.8</v>
      </c>
      <c r="F262" s="1">
        <v>82</v>
      </c>
      <c r="G262" s="1">
        <v>977424254</v>
      </c>
      <c r="H262" s="1">
        <v>78</v>
      </c>
      <c r="I262" s="1">
        <v>23</v>
      </c>
      <c r="J262" s="1">
        <v>89</v>
      </c>
      <c r="K262" s="1">
        <v>86</v>
      </c>
      <c r="L262" s="1" t="s">
        <v>14</v>
      </c>
    </row>
    <row r="263" spans="1:12" hidden="1" x14ac:dyDescent="0.25">
      <c r="A263" s="1" t="s">
        <v>15</v>
      </c>
      <c r="B263" s="1" t="s">
        <v>16</v>
      </c>
      <c r="C263" s="1">
        <v>2022</v>
      </c>
      <c r="D263" s="1">
        <v>23013</v>
      </c>
      <c r="E263" s="1">
        <v>16.2</v>
      </c>
      <c r="F263" s="1">
        <v>75</v>
      </c>
      <c r="G263" s="1">
        <v>1288390039</v>
      </c>
      <c r="H263" s="1">
        <v>76</v>
      </c>
      <c r="I263" s="1">
        <v>22.9</v>
      </c>
      <c r="J263" s="1">
        <v>76</v>
      </c>
      <c r="K263" s="1">
        <v>89</v>
      </c>
      <c r="L263" s="1" t="s">
        <v>16</v>
      </c>
    </row>
    <row r="264" spans="1:12" hidden="1" x14ac:dyDescent="0.25">
      <c r="A264" s="1" t="s">
        <v>17</v>
      </c>
      <c r="B264" s="1" t="s">
        <v>18</v>
      </c>
      <c r="C264" s="1">
        <v>2022</v>
      </c>
      <c r="D264" s="1">
        <v>56722</v>
      </c>
      <c r="E264" s="1">
        <v>7.2</v>
      </c>
      <c r="F264" s="1">
        <v>78</v>
      </c>
      <c r="G264" s="1">
        <v>595157673</v>
      </c>
      <c r="H264" s="1">
        <v>71</v>
      </c>
      <c r="I264" s="1">
        <v>5.9</v>
      </c>
      <c r="J264" s="1">
        <v>70</v>
      </c>
      <c r="K264" s="1">
        <v>33</v>
      </c>
      <c r="L264" s="1" t="s">
        <v>18</v>
      </c>
    </row>
    <row r="265" spans="1:12" hidden="1" x14ac:dyDescent="0.25">
      <c r="A265" s="1" t="s">
        <v>19</v>
      </c>
      <c r="B265" s="1" t="s">
        <v>20</v>
      </c>
      <c r="C265" s="1">
        <v>2022</v>
      </c>
      <c r="D265" s="1">
        <v>13668</v>
      </c>
      <c r="E265" s="1">
        <v>7.1</v>
      </c>
      <c r="F265" s="1">
        <v>72</v>
      </c>
      <c r="G265" s="1">
        <v>805387120</v>
      </c>
      <c r="H265" s="1">
        <v>66</v>
      </c>
      <c r="I265" s="1">
        <v>19.2</v>
      </c>
      <c r="J265" s="1">
        <v>90</v>
      </c>
      <c r="K265" s="1">
        <v>38</v>
      </c>
      <c r="L265" s="1" t="s">
        <v>20</v>
      </c>
    </row>
    <row r="266" spans="1:12" hidden="1" x14ac:dyDescent="0.25">
      <c r="A266" s="1" t="s">
        <v>21</v>
      </c>
      <c r="B266" s="1" t="s">
        <v>22</v>
      </c>
      <c r="C266" s="1">
        <v>2020</v>
      </c>
      <c r="D266" s="1">
        <v>29396</v>
      </c>
      <c r="E266" s="1">
        <v>8.9</v>
      </c>
      <c r="F266" s="1">
        <v>82</v>
      </c>
      <c r="G266" s="1">
        <v>199492409</v>
      </c>
      <c r="H266" s="1">
        <v>82</v>
      </c>
      <c r="I266" s="1">
        <v>8.8000000000000007</v>
      </c>
      <c r="J266" s="1">
        <v>83</v>
      </c>
      <c r="K266" s="1">
        <v>58</v>
      </c>
      <c r="L266" s="1" t="s">
        <v>14</v>
      </c>
    </row>
    <row r="267" spans="1:12" hidden="1" x14ac:dyDescent="0.25">
      <c r="A267" s="1" t="s">
        <v>23</v>
      </c>
      <c r="B267" s="1" t="s">
        <v>18</v>
      </c>
      <c r="C267" s="1">
        <v>2020</v>
      </c>
      <c r="D267" s="1">
        <v>26649</v>
      </c>
      <c r="E267" s="1">
        <v>14.5</v>
      </c>
      <c r="F267" s="1">
        <v>60</v>
      </c>
      <c r="G267" s="1">
        <v>1266988135</v>
      </c>
      <c r="H267" s="1">
        <v>59</v>
      </c>
      <c r="I267" s="1">
        <v>7.3</v>
      </c>
      <c r="J267" s="1">
        <v>95</v>
      </c>
      <c r="K267" s="1">
        <v>39</v>
      </c>
      <c r="L267" s="1" t="s">
        <v>18</v>
      </c>
    </row>
    <row r="268" spans="1:12" hidden="1" x14ac:dyDescent="0.25">
      <c r="A268" s="1" t="s">
        <v>24</v>
      </c>
      <c r="B268" s="1" t="s">
        <v>16</v>
      </c>
      <c r="C268" s="1">
        <v>2020</v>
      </c>
      <c r="D268" s="1">
        <v>53818</v>
      </c>
      <c r="E268" s="1">
        <v>7.6</v>
      </c>
      <c r="F268" s="1">
        <v>63</v>
      </c>
      <c r="G268" s="1">
        <v>898957493</v>
      </c>
      <c r="H268" s="1">
        <v>60</v>
      </c>
      <c r="I268" s="1">
        <v>15.4</v>
      </c>
      <c r="J268" s="1">
        <v>71</v>
      </c>
      <c r="K268" s="1">
        <v>76</v>
      </c>
      <c r="L268" s="1" t="s">
        <v>16</v>
      </c>
    </row>
    <row r="269" spans="1:12" hidden="1" x14ac:dyDescent="0.25">
      <c r="A269" s="1" t="s">
        <v>25</v>
      </c>
      <c r="B269" s="1" t="s">
        <v>26</v>
      </c>
      <c r="C269" s="1">
        <v>2022</v>
      </c>
      <c r="D269" s="1">
        <v>69415</v>
      </c>
      <c r="E269" s="1">
        <v>10.9</v>
      </c>
      <c r="F269" s="1">
        <v>74</v>
      </c>
      <c r="G269" s="1">
        <v>699390462</v>
      </c>
      <c r="H269" s="1">
        <v>74</v>
      </c>
      <c r="I269" s="1">
        <v>3.7</v>
      </c>
      <c r="J269" s="1">
        <v>94</v>
      </c>
      <c r="K269" s="1">
        <v>45</v>
      </c>
      <c r="L269" s="1" t="s">
        <v>26</v>
      </c>
    </row>
    <row r="270" spans="1:12" hidden="1" x14ac:dyDescent="0.25">
      <c r="A270" s="1" t="s">
        <v>27</v>
      </c>
      <c r="B270" s="1" t="s">
        <v>22</v>
      </c>
      <c r="C270" s="1">
        <v>2020</v>
      </c>
      <c r="D270" s="1">
        <v>65388</v>
      </c>
      <c r="E270" s="1">
        <v>15.3</v>
      </c>
      <c r="F270" s="1">
        <v>64</v>
      </c>
      <c r="G270" s="1">
        <v>571665392</v>
      </c>
      <c r="H270" s="1">
        <v>71</v>
      </c>
      <c r="I270" s="1">
        <v>24.9</v>
      </c>
      <c r="J270" s="1">
        <v>96</v>
      </c>
      <c r="K270" s="1">
        <v>38</v>
      </c>
      <c r="L270" s="1" t="s">
        <v>14</v>
      </c>
    </row>
    <row r="271" spans="1:12" hidden="1" x14ac:dyDescent="0.25">
      <c r="A271" s="1" t="s">
        <v>28</v>
      </c>
      <c r="B271" s="1" t="s">
        <v>29</v>
      </c>
      <c r="C271" s="1">
        <v>2020</v>
      </c>
      <c r="D271" s="1">
        <v>24879</v>
      </c>
      <c r="E271" s="1">
        <v>4.0999999999999996</v>
      </c>
      <c r="F271" s="1">
        <v>74</v>
      </c>
      <c r="G271" s="1">
        <v>527359192</v>
      </c>
      <c r="H271" s="1">
        <v>72</v>
      </c>
      <c r="I271" s="1">
        <v>19.600000000000001</v>
      </c>
      <c r="J271" s="1">
        <v>87</v>
      </c>
      <c r="K271" s="1">
        <v>83</v>
      </c>
      <c r="L271" s="1" t="s">
        <v>29</v>
      </c>
    </row>
    <row r="272" spans="1:12" hidden="1" x14ac:dyDescent="0.25">
      <c r="A272" s="1" t="s">
        <v>12</v>
      </c>
      <c r="B272" s="1" t="s">
        <v>13</v>
      </c>
      <c r="C272" s="1">
        <v>2020</v>
      </c>
      <c r="D272" s="1">
        <v>16565</v>
      </c>
      <c r="E272" s="1">
        <v>4.5</v>
      </c>
      <c r="F272" s="1">
        <v>80</v>
      </c>
      <c r="G272" s="1">
        <v>906211892</v>
      </c>
      <c r="H272" s="1">
        <v>66</v>
      </c>
      <c r="I272" s="1">
        <v>16.2</v>
      </c>
      <c r="J272" s="1">
        <v>98</v>
      </c>
      <c r="K272" s="1">
        <v>78</v>
      </c>
      <c r="L272" s="1" t="s">
        <v>14</v>
      </c>
    </row>
    <row r="273" spans="1:12" hidden="1" x14ac:dyDescent="0.25">
      <c r="A273" s="1" t="s">
        <v>15</v>
      </c>
      <c r="B273" s="1" t="s">
        <v>16</v>
      </c>
      <c r="C273" s="1">
        <v>2020</v>
      </c>
      <c r="D273" s="1">
        <v>31517</v>
      </c>
      <c r="E273" s="1">
        <v>6.3</v>
      </c>
      <c r="F273" s="1">
        <v>83</v>
      </c>
      <c r="G273" s="1">
        <v>699552144</v>
      </c>
      <c r="H273" s="1">
        <v>79</v>
      </c>
      <c r="I273" s="1">
        <v>11.4</v>
      </c>
      <c r="J273" s="1">
        <v>95</v>
      </c>
      <c r="K273" s="1">
        <v>85</v>
      </c>
      <c r="L273" s="1" t="s">
        <v>16</v>
      </c>
    </row>
    <row r="274" spans="1:12" hidden="1" x14ac:dyDescent="0.25">
      <c r="A274" s="1" t="s">
        <v>17</v>
      </c>
      <c r="B274" s="1" t="s">
        <v>18</v>
      </c>
      <c r="C274" s="1">
        <v>2020</v>
      </c>
      <c r="D274" s="1">
        <v>19510</v>
      </c>
      <c r="E274" s="1">
        <v>4.2</v>
      </c>
      <c r="F274" s="1">
        <v>83</v>
      </c>
      <c r="G274" s="1">
        <v>706334425</v>
      </c>
      <c r="H274" s="1">
        <v>59</v>
      </c>
      <c r="I274" s="1">
        <v>9.1</v>
      </c>
      <c r="J274" s="1">
        <v>86</v>
      </c>
      <c r="K274" s="1">
        <v>41</v>
      </c>
      <c r="L274" s="1" t="s">
        <v>18</v>
      </c>
    </row>
    <row r="275" spans="1:12" hidden="1" x14ac:dyDescent="0.25">
      <c r="A275" s="1" t="s">
        <v>19</v>
      </c>
      <c r="B275" s="1" t="s">
        <v>20</v>
      </c>
      <c r="C275" s="1">
        <v>2020</v>
      </c>
      <c r="D275" s="1">
        <v>36987</v>
      </c>
      <c r="E275" s="1">
        <v>6.1</v>
      </c>
      <c r="F275" s="1">
        <v>62</v>
      </c>
      <c r="G275" s="1">
        <v>341643496</v>
      </c>
      <c r="H275" s="1">
        <v>79</v>
      </c>
      <c r="I275" s="1">
        <v>15.5</v>
      </c>
      <c r="J275" s="1">
        <v>91</v>
      </c>
      <c r="K275" s="1">
        <v>64</v>
      </c>
      <c r="L275" s="1" t="s">
        <v>20</v>
      </c>
    </row>
    <row r="276" spans="1:12" hidden="1" x14ac:dyDescent="0.25">
      <c r="A276" s="1" t="s">
        <v>21</v>
      </c>
      <c r="B276" s="1" t="s">
        <v>22</v>
      </c>
      <c r="C276" s="1">
        <v>2020</v>
      </c>
      <c r="D276" s="1">
        <v>3463</v>
      </c>
      <c r="E276" s="1">
        <v>13.1</v>
      </c>
      <c r="F276" s="1">
        <v>71</v>
      </c>
      <c r="G276" s="1">
        <v>961353170</v>
      </c>
      <c r="H276" s="1">
        <v>54</v>
      </c>
      <c r="I276" s="1">
        <v>19.2</v>
      </c>
      <c r="J276" s="1">
        <v>79</v>
      </c>
      <c r="K276" s="1">
        <v>53</v>
      </c>
      <c r="L276" s="1" t="s">
        <v>14</v>
      </c>
    </row>
    <row r="277" spans="1:12" hidden="1" x14ac:dyDescent="0.25">
      <c r="A277" s="1" t="s">
        <v>23</v>
      </c>
      <c r="B277" s="1" t="s">
        <v>18</v>
      </c>
      <c r="C277" s="1">
        <v>2020</v>
      </c>
      <c r="D277" s="1">
        <v>42051</v>
      </c>
      <c r="E277" s="1">
        <v>3.3</v>
      </c>
      <c r="F277" s="1">
        <v>71</v>
      </c>
      <c r="G277" s="1">
        <v>1292519312</v>
      </c>
      <c r="H277" s="1">
        <v>65</v>
      </c>
      <c r="I277" s="1">
        <v>13.2</v>
      </c>
      <c r="J277" s="1">
        <v>87</v>
      </c>
      <c r="K277" s="1">
        <v>63</v>
      </c>
      <c r="L277" s="1" t="s">
        <v>18</v>
      </c>
    </row>
    <row r="278" spans="1:12" hidden="1" x14ac:dyDescent="0.25">
      <c r="A278" s="1" t="s">
        <v>24</v>
      </c>
      <c r="B278" s="1" t="s">
        <v>16</v>
      </c>
      <c r="C278" s="1">
        <v>2021</v>
      </c>
      <c r="D278" s="1">
        <v>45233</v>
      </c>
      <c r="E278" s="1">
        <v>12.1</v>
      </c>
      <c r="F278" s="1">
        <v>82</v>
      </c>
      <c r="G278" s="1">
        <v>291838115</v>
      </c>
      <c r="H278" s="1">
        <v>55</v>
      </c>
      <c r="I278" s="1">
        <v>8.4</v>
      </c>
      <c r="J278" s="1">
        <v>82</v>
      </c>
      <c r="K278" s="1">
        <v>54</v>
      </c>
      <c r="L278" s="1" t="s">
        <v>16</v>
      </c>
    </row>
    <row r="279" spans="1:12" hidden="1" x14ac:dyDescent="0.25">
      <c r="A279" s="1" t="s">
        <v>25</v>
      </c>
      <c r="B279" s="1" t="s">
        <v>26</v>
      </c>
      <c r="C279" s="1">
        <v>2022</v>
      </c>
      <c r="D279" s="1">
        <v>40675</v>
      </c>
      <c r="E279" s="1">
        <v>14.8</v>
      </c>
      <c r="F279" s="1">
        <v>84</v>
      </c>
      <c r="G279" s="1">
        <v>1028631086</v>
      </c>
      <c r="H279" s="1">
        <v>58</v>
      </c>
      <c r="I279" s="1">
        <v>16.2</v>
      </c>
      <c r="J279" s="1">
        <v>90</v>
      </c>
      <c r="K279" s="1">
        <v>87</v>
      </c>
      <c r="L279" s="1" t="s">
        <v>26</v>
      </c>
    </row>
    <row r="280" spans="1:12" hidden="1" x14ac:dyDescent="0.25">
      <c r="A280" s="1" t="s">
        <v>27</v>
      </c>
      <c r="B280" s="1" t="s">
        <v>22</v>
      </c>
      <c r="C280" s="1">
        <v>2021</v>
      </c>
      <c r="D280" s="1">
        <v>60927</v>
      </c>
      <c r="E280" s="1">
        <v>10</v>
      </c>
      <c r="F280" s="1">
        <v>70</v>
      </c>
      <c r="G280" s="1">
        <v>427540401</v>
      </c>
      <c r="H280" s="1">
        <v>94</v>
      </c>
      <c r="I280" s="1">
        <v>21.3</v>
      </c>
      <c r="J280" s="1">
        <v>92</v>
      </c>
      <c r="K280" s="1">
        <v>34</v>
      </c>
      <c r="L280" s="1" t="s">
        <v>14</v>
      </c>
    </row>
    <row r="281" spans="1:12" hidden="1" x14ac:dyDescent="0.25">
      <c r="A281" s="1" t="s">
        <v>28</v>
      </c>
      <c r="B281" s="1" t="s">
        <v>29</v>
      </c>
      <c r="C281" s="1">
        <v>2020</v>
      </c>
      <c r="D281" s="1">
        <v>66545</v>
      </c>
      <c r="E281" s="1">
        <v>13.8</v>
      </c>
      <c r="F281" s="1">
        <v>67</v>
      </c>
      <c r="G281" s="1">
        <v>589885790</v>
      </c>
      <c r="H281" s="1">
        <v>63</v>
      </c>
      <c r="I281" s="1">
        <v>3.6</v>
      </c>
      <c r="J281" s="1">
        <v>75</v>
      </c>
      <c r="K281" s="1">
        <v>89</v>
      </c>
      <c r="L281" s="1" t="s">
        <v>29</v>
      </c>
    </row>
    <row r="282" spans="1:12" hidden="1" x14ac:dyDescent="0.25">
      <c r="A282" s="1" t="s">
        <v>12</v>
      </c>
      <c r="B282" s="1" t="s">
        <v>13</v>
      </c>
      <c r="C282" s="1">
        <v>2021</v>
      </c>
      <c r="D282" s="1">
        <v>7041</v>
      </c>
      <c r="E282" s="1">
        <v>15.2</v>
      </c>
      <c r="F282" s="1">
        <v>81</v>
      </c>
      <c r="G282" s="1">
        <v>399130520</v>
      </c>
      <c r="H282" s="1">
        <v>82</v>
      </c>
      <c r="I282" s="1">
        <v>22.5</v>
      </c>
      <c r="J282" s="1">
        <v>73</v>
      </c>
      <c r="K282" s="1">
        <v>43</v>
      </c>
      <c r="L282" s="1" t="s">
        <v>14</v>
      </c>
    </row>
    <row r="283" spans="1:12" hidden="1" x14ac:dyDescent="0.25">
      <c r="A283" s="1" t="s">
        <v>15</v>
      </c>
      <c r="B283" s="1" t="s">
        <v>16</v>
      </c>
      <c r="C283" s="1">
        <v>2021</v>
      </c>
      <c r="D283" s="1">
        <v>5207</v>
      </c>
      <c r="E283" s="1">
        <v>6.6</v>
      </c>
      <c r="F283" s="1">
        <v>79</v>
      </c>
      <c r="G283" s="1">
        <v>283346459</v>
      </c>
      <c r="H283" s="1">
        <v>50</v>
      </c>
      <c r="I283" s="1">
        <v>24.2</v>
      </c>
      <c r="J283" s="1">
        <v>84</v>
      </c>
      <c r="K283" s="1">
        <v>68</v>
      </c>
      <c r="L283" s="1" t="s">
        <v>16</v>
      </c>
    </row>
    <row r="284" spans="1:12" hidden="1" x14ac:dyDescent="0.25">
      <c r="A284" s="1" t="s">
        <v>17</v>
      </c>
      <c r="B284" s="1" t="s">
        <v>18</v>
      </c>
      <c r="C284" s="1">
        <v>2022</v>
      </c>
      <c r="D284" s="1">
        <v>37347</v>
      </c>
      <c r="E284" s="1">
        <v>12.4</v>
      </c>
      <c r="F284" s="1">
        <v>60</v>
      </c>
      <c r="G284" s="1">
        <v>1277376759</v>
      </c>
      <c r="H284" s="1">
        <v>90</v>
      </c>
      <c r="I284" s="1">
        <v>23.9</v>
      </c>
      <c r="J284" s="1">
        <v>90</v>
      </c>
      <c r="K284" s="1">
        <v>90</v>
      </c>
      <c r="L284" s="1" t="s">
        <v>18</v>
      </c>
    </row>
    <row r="285" spans="1:12" hidden="1" x14ac:dyDescent="0.25">
      <c r="A285" s="1" t="s">
        <v>19</v>
      </c>
      <c r="B285" s="1" t="s">
        <v>20</v>
      </c>
      <c r="C285" s="1">
        <v>2020</v>
      </c>
      <c r="D285" s="1">
        <v>17074</v>
      </c>
      <c r="E285" s="1">
        <v>3.6</v>
      </c>
      <c r="F285" s="1">
        <v>79</v>
      </c>
      <c r="G285" s="1">
        <v>1354307721</v>
      </c>
      <c r="H285" s="1">
        <v>51</v>
      </c>
      <c r="I285" s="1">
        <v>11.1</v>
      </c>
      <c r="J285" s="1">
        <v>84</v>
      </c>
      <c r="K285" s="1">
        <v>74</v>
      </c>
      <c r="L285" s="1" t="s">
        <v>20</v>
      </c>
    </row>
    <row r="286" spans="1:12" hidden="1" x14ac:dyDescent="0.25">
      <c r="A286" s="1" t="s">
        <v>21</v>
      </c>
      <c r="B286" s="1" t="s">
        <v>22</v>
      </c>
      <c r="C286" s="1">
        <v>2022</v>
      </c>
      <c r="D286" s="1">
        <v>22458</v>
      </c>
      <c r="E286" s="1">
        <v>11.1</v>
      </c>
      <c r="F286" s="1">
        <v>76</v>
      </c>
      <c r="G286" s="1">
        <v>1468157032</v>
      </c>
      <c r="H286" s="1">
        <v>56</v>
      </c>
      <c r="I286" s="1">
        <v>24.5</v>
      </c>
      <c r="J286" s="1">
        <v>78</v>
      </c>
      <c r="K286" s="1">
        <v>44</v>
      </c>
      <c r="L286" s="1" t="s">
        <v>14</v>
      </c>
    </row>
    <row r="287" spans="1:12" hidden="1" x14ac:dyDescent="0.25">
      <c r="A287" s="1" t="s">
        <v>23</v>
      </c>
      <c r="B287" s="1" t="s">
        <v>18</v>
      </c>
      <c r="C287" s="1">
        <v>2020</v>
      </c>
      <c r="D287" s="1">
        <v>22854</v>
      </c>
      <c r="E287" s="1">
        <v>11</v>
      </c>
      <c r="F287" s="1">
        <v>84</v>
      </c>
      <c r="G287" s="1">
        <v>1247965140</v>
      </c>
      <c r="H287" s="1">
        <v>84</v>
      </c>
      <c r="I287" s="1">
        <v>2.4</v>
      </c>
      <c r="J287" s="1">
        <v>70</v>
      </c>
      <c r="K287" s="1">
        <v>75</v>
      </c>
      <c r="L287" s="1" t="s">
        <v>18</v>
      </c>
    </row>
    <row r="288" spans="1:12" hidden="1" x14ac:dyDescent="0.25">
      <c r="A288" s="1" t="s">
        <v>24</v>
      </c>
      <c r="B288" s="1" t="s">
        <v>16</v>
      </c>
      <c r="C288" s="1">
        <v>2020</v>
      </c>
      <c r="D288" s="1">
        <v>28708</v>
      </c>
      <c r="E288" s="1">
        <v>4.0999999999999996</v>
      </c>
      <c r="F288" s="1">
        <v>78</v>
      </c>
      <c r="G288" s="1">
        <v>340827256</v>
      </c>
      <c r="H288" s="1">
        <v>77</v>
      </c>
      <c r="I288" s="1">
        <v>5.7</v>
      </c>
      <c r="J288" s="1">
        <v>97</v>
      </c>
      <c r="K288" s="1">
        <v>63</v>
      </c>
      <c r="L288" s="1" t="s">
        <v>16</v>
      </c>
    </row>
    <row r="289" spans="1:12" hidden="1" x14ac:dyDescent="0.25">
      <c r="A289" s="1" t="s">
        <v>25</v>
      </c>
      <c r="B289" s="1" t="s">
        <v>26</v>
      </c>
      <c r="C289" s="1">
        <v>2021</v>
      </c>
      <c r="D289" s="1">
        <v>59791</v>
      </c>
      <c r="E289" s="1">
        <v>16.100000000000001</v>
      </c>
      <c r="F289" s="1">
        <v>61</v>
      </c>
      <c r="G289" s="1">
        <v>638699977</v>
      </c>
      <c r="H289" s="1">
        <v>54</v>
      </c>
      <c r="I289" s="1">
        <v>16.399999999999999</v>
      </c>
      <c r="J289" s="1">
        <v>97</v>
      </c>
      <c r="K289" s="1">
        <v>44</v>
      </c>
      <c r="L289" s="1" t="s">
        <v>26</v>
      </c>
    </row>
    <row r="290" spans="1:12" hidden="1" x14ac:dyDescent="0.25">
      <c r="A290" s="1" t="s">
        <v>27</v>
      </c>
      <c r="B290" s="1" t="s">
        <v>22</v>
      </c>
      <c r="C290" s="1">
        <v>2021</v>
      </c>
      <c r="D290" s="1">
        <v>61868</v>
      </c>
      <c r="E290" s="1">
        <v>16.3</v>
      </c>
      <c r="F290" s="1">
        <v>69</v>
      </c>
      <c r="G290" s="1">
        <v>1360087715</v>
      </c>
      <c r="H290" s="1">
        <v>75</v>
      </c>
      <c r="I290" s="1">
        <v>17.2</v>
      </c>
      <c r="J290" s="1">
        <v>98</v>
      </c>
      <c r="K290" s="1">
        <v>74</v>
      </c>
      <c r="L290" s="1" t="s">
        <v>14</v>
      </c>
    </row>
    <row r="291" spans="1:12" hidden="1" x14ac:dyDescent="0.25">
      <c r="A291" s="1" t="s">
        <v>28</v>
      </c>
      <c r="B291" s="1" t="s">
        <v>29</v>
      </c>
      <c r="C291" s="1">
        <v>2022</v>
      </c>
      <c r="D291" s="1">
        <v>57878</v>
      </c>
      <c r="E291" s="1">
        <v>7.5</v>
      </c>
      <c r="F291" s="1">
        <v>85</v>
      </c>
      <c r="G291" s="1">
        <v>786621987</v>
      </c>
      <c r="H291" s="1">
        <v>59</v>
      </c>
      <c r="I291" s="1">
        <v>13</v>
      </c>
      <c r="J291" s="1">
        <v>84</v>
      </c>
      <c r="K291" s="1">
        <v>65</v>
      </c>
      <c r="L291" s="1" t="s">
        <v>29</v>
      </c>
    </row>
    <row r="292" spans="1:12" hidden="1" x14ac:dyDescent="0.25">
      <c r="A292" s="1" t="s">
        <v>12</v>
      </c>
      <c r="B292" s="1" t="s">
        <v>13</v>
      </c>
      <c r="C292" s="1">
        <v>2020</v>
      </c>
      <c r="D292" s="1">
        <v>2518</v>
      </c>
      <c r="E292" s="1">
        <v>10.8</v>
      </c>
      <c r="F292" s="1">
        <v>85</v>
      </c>
      <c r="G292" s="1">
        <v>496945704</v>
      </c>
      <c r="H292" s="1">
        <v>87</v>
      </c>
      <c r="I292" s="1">
        <v>9.5</v>
      </c>
      <c r="J292" s="1">
        <v>95</v>
      </c>
      <c r="K292" s="1">
        <v>87</v>
      </c>
      <c r="L292" s="1" t="s">
        <v>14</v>
      </c>
    </row>
    <row r="293" spans="1:12" hidden="1" x14ac:dyDescent="0.25">
      <c r="A293" s="1" t="s">
        <v>15</v>
      </c>
      <c r="B293" s="1" t="s">
        <v>16</v>
      </c>
      <c r="C293" s="1">
        <v>2021</v>
      </c>
      <c r="D293" s="1">
        <v>22895</v>
      </c>
      <c r="E293" s="1">
        <v>7.8</v>
      </c>
      <c r="F293" s="1">
        <v>84</v>
      </c>
      <c r="G293" s="1">
        <v>142579345</v>
      </c>
      <c r="H293" s="1">
        <v>82</v>
      </c>
      <c r="I293" s="1">
        <v>13.5</v>
      </c>
      <c r="J293" s="1">
        <v>71</v>
      </c>
      <c r="K293" s="1">
        <v>85</v>
      </c>
      <c r="L293" s="1" t="s">
        <v>16</v>
      </c>
    </row>
    <row r="294" spans="1:12" hidden="1" x14ac:dyDescent="0.25">
      <c r="A294" s="1" t="s">
        <v>17</v>
      </c>
      <c r="B294" s="1" t="s">
        <v>18</v>
      </c>
      <c r="C294" s="1">
        <v>2022</v>
      </c>
      <c r="D294" s="1">
        <v>9675</v>
      </c>
      <c r="E294" s="1">
        <v>5.8</v>
      </c>
      <c r="F294" s="1">
        <v>71</v>
      </c>
      <c r="G294" s="1">
        <v>428842037</v>
      </c>
      <c r="H294" s="1">
        <v>52</v>
      </c>
      <c r="I294" s="1">
        <v>6.5</v>
      </c>
      <c r="J294" s="1">
        <v>82</v>
      </c>
      <c r="K294" s="1">
        <v>38</v>
      </c>
      <c r="L294" s="1" t="s">
        <v>18</v>
      </c>
    </row>
    <row r="295" spans="1:12" hidden="1" x14ac:dyDescent="0.25">
      <c r="A295" s="1" t="s">
        <v>19</v>
      </c>
      <c r="B295" s="1" t="s">
        <v>20</v>
      </c>
      <c r="C295" s="1">
        <v>2022</v>
      </c>
      <c r="D295" s="1">
        <v>42941</v>
      </c>
      <c r="E295" s="1">
        <v>9.8000000000000007</v>
      </c>
      <c r="F295" s="1">
        <v>82</v>
      </c>
      <c r="G295" s="1">
        <v>1394902341</v>
      </c>
      <c r="H295" s="1">
        <v>86</v>
      </c>
      <c r="I295" s="1">
        <v>23.2</v>
      </c>
      <c r="J295" s="1">
        <v>99</v>
      </c>
      <c r="K295" s="1">
        <v>76</v>
      </c>
      <c r="L295" s="1" t="s">
        <v>20</v>
      </c>
    </row>
    <row r="296" spans="1:12" hidden="1" x14ac:dyDescent="0.25">
      <c r="A296" s="1" t="s">
        <v>21</v>
      </c>
      <c r="B296" s="1" t="s">
        <v>22</v>
      </c>
      <c r="C296" s="1">
        <v>2020</v>
      </c>
      <c r="D296" s="1">
        <v>32996</v>
      </c>
      <c r="E296" s="1">
        <v>13.1</v>
      </c>
      <c r="F296" s="1">
        <v>62</v>
      </c>
      <c r="G296" s="1">
        <v>1300724914</v>
      </c>
      <c r="H296" s="1">
        <v>54</v>
      </c>
      <c r="I296" s="1">
        <v>19.3</v>
      </c>
      <c r="J296" s="1">
        <v>84</v>
      </c>
      <c r="K296" s="1">
        <v>63</v>
      </c>
      <c r="L296" s="1" t="s">
        <v>14</v>
      </c>
    </row>
    <row r="297" spans="1:12" hidden="1" x14ac:dyDescent="0.25">
      <c r="A297" s="1" t="s">
        <v>23</v>
      </c>
      <c r="B297" s="1" t="s">
        <v>18</v>
      </c>
      <c r="C297" s="1">
        <v>2021</v>
      </c>
      <c r="D297" s="1">
        <v>62020</v>
      </c>
      <c r="E297" s="1">
        <v>8.1</v>
      </c>
      <c r="F297" s="1">
        <v>76</v>
      </c>
      <c r="G297" s="1">
        <v>644376168</v>
      </c>
      <c r="H297" s="1">
        <v>50</v>
      </c>
      <c r="I297" s="1">
        <v>3.4</v>
      </c>
      <c r="J297" s="1">
        <v>78</v>
      </c>
      <c r="K297" s="1">
        <v>60</v>
      </c>
      <c r="L297" s="1" t="s">
        <v>18</v>
      </c>
    </row>
    <row r="298" spans="1:12" hidden="1" x14ac:dyDescent="0.25">
      <c r="A298" s="1" t="s">
        <v>24</v>
      </c>
      <c r="B298" s="1" t="s">
        <v>16</v>
      </c>
      <c r="C298" s="1">
        <v>2020</v>
      </c>
      <c r="D298" s="1">
        <v>47826</v>
      </c>
      <c r="E298" s="1">
        <v>7.2</v>
      </c>
      <c r="F298" s="1">
        <v>83</v>
      </c>
      <c r="G298" s="1">
        <v>655753625</v>
      </c>
      <c r="H298" s="1">
        <v>58</v>
      </c>
      <c r="I298" s="1">
        <v>16.3</v>
      </c>
      <c r="J298" s="1">
        <v>71</v>
      </c>
      <c r="K298" s="1">
        <v>69</v>
      </c>
      <c r="L298" s="1" t="s">
        <v>16</v>
      </c>
    </row>
    <row r="299" spans="1:12" hidden="1" x14ac:dyDescent="0.25">
      <c r="A299" s="1" t="s">
        <v>25</v>
      </c>
      <c r="B299" s="1" t="s">
        <v>26</v>
      </c>
      <c r="C299" s="1">
        <v>2021</v>
      </c>
      <c r="D299" s="1">
        <v>27935</v>
      </c>
      <c r="E299" s="1">
        <v>6.1</v>
      </c>
      <c r="F299" s="1">
        <v>66</v>
      </c>
      <c r="G299" s="1">
        <v>54981057</v>
      </c>
      <c r="H299" s="1">
        <v>90</v>
      </c>
      <c r="I299" s="1">
        <v>22.5</v>
      </c>
      <c r="J299" s="1">
        <v>72</v>
      </c>
      <c r="K299" s="1">
        <v>45</v>
      </c>
      <c r="L299" s="1" t="s">
        <v>26</v>
      </c>
    </row>
    <row r="300" spans="1:12" hidden="1" x14ac:dyDescent="0.25">
      <c r="A300" s="1" t="s">
        <v>27</v>
      </c>
      <c r="B300" s="1" t="s">
        <v>22</v>
      </c>
      <c r="C300" s="1">
        <v>2022</v>
      </c>
      <c r="D300" s="1">
        <v>55247</v>
      </c>
      <c r="E300" s="1">
        <v>4.5999999999999996</v>
      </c>
      <c r="F300" s="1">
        <v>66</v>
      </c>
      <c r="G300" s="1">
        <v>715165571</v>
      </c>
      <c r="H300" s="1">
        <v>93</v>
      </c>
      <c r="I300" s="1">
        <v>16.3</v>
      </c>
      <c r="J300" s="1">
        <v>86</v>
      </c>
      <c r="K300" s="1">
        <v>73</v>
      </c>
      <c r="L300" s="1" t="s">
        <v>14</v>
      </c>
    </row>
    <row r="301" spans="1:12" hidden="1" x14ac:dyDescent="0.25">
      <c r="A301" s="1" t="s">
        <v>28</v>
      </c>
      <c r="B301" s="1" t="s">
        <v>29</v>
      </c>
      <c r="C301" s="1">
        <v>2022</v>
      </c>
      <c r="D301" s="1">
        <v>31685</v>
      </c>
      <c r="E301" s="1">
        <v>12.4</v>
      </c>
      <c r="F301" s="1">
        <v>65</v>
      </c>
      <c r="G301" s="1">
        <v>824090686</v>
      </c>
      <c r="H301" s="1">
        <v>67</v>
      </c>
      <c r="I301" s="1">
        <v>10.3</v>
      </c>
      <c r="J301" s="1">
        <v>91</v>
      </c>
      <c r="K301" s="1">
        <v>82</v>
      </c>
      <c r="L301" s="1" t="s">
        <v>29</v>
      </c>
    </row>
    <row r="302" spans="1:12" x14ac:dyDescent="0.25">
      <c r="A302" s="1" t="s">
        <v>12</v>
      </c>
      <c r="B302" s="1" t="s">
        <v>13</v>
      </c>
      <c r="C302" s="1">
        <v>2022</v>
      </c>
      <c r="D302" s="1">
        <v>69200</v>
      </c>
      <c r="E302" s="1">
        <v>4.5</v>
      </c>
      <c r="F302" s="1">
        <v>65</v>
      </c>
      <c r="G302" s="1">
        <v>546847975</v>
      </c>
      <c r="H302" s="1">
        <v>50</v>
      </c>
      <c r="I302" s="1">
        <v>15.7</v>
      </c>
      <c r="J302" s="1">
        <v>81</v>
      </c>
      <c r="K302" s="1">
        <v>52</v>
      </c>
      <c r="L302" s="1" t="s">
        <v>14</v>
      </c>
    </row>
    <row r="303" spans="1:12" hidden="1" x14ac:dyDescent="0.25">
      <c r="A303" s="1" t="s">
        <v>15</v>
      </c>
      <c r="B303" s="1" t="s">
        <v>16</v>
      </c>
      <c r="C303" s="1">
        <v>2021</v>
      </c>
      <c r="D303" s="1">
        <v>31189</v>
      </c>
      <c r="E303" s="1">
        <v>4.5999999999999996</v>
      </c>
      <c r="F303" s="1">
        <v>66</v>
      </c>
      <c r="G303" s="1">
        <v>777729750</v>
      </c>
      <c r="H303" s="1">
        <v>54</v>
      </c>
      <c r="I303" s="1">
        <v>5.8</v>
      </c>
      <c r="J303" s="1">
        <v>79</v>
      </c>
      <c r="K303" s="1">
        <v>79</v>
      </c>
      <c r="L303" s="1" t="s">
        <v>16</v>
      </c>
    </row>
    <row r="304" spans="1:12" hidden="1" x14ac:dyDescent="0.25">
      <c r="A304" s="1" t="s">
        <v>17</v>
      </c>
      <c r="B304" s="1" t="s">
        <v>18</v>
      </c>
      <c r="C304" s="1">
        <v>2021</v>
      </c>
      <c r="D304" s="1">
        <v>9830</v>
      </c>
      <c r="E304" s="1">
        <v>10</v>
      </c>
      <c r="F304" s="1">
        <v>79</v>
      </c>
      <c r="G304" s="1">
        <v>184122617</v>
      </c>
      <c r="H304" s="1">
        <v>76</v>
      </c>
      <c r="I304" s="1">
        <v>7.1</v>
      </c>
      <c r="J304" s="1">
        <v>95</v>
      </c>
      <c r="K304" s="1">
        <v>50</v>
      </c>
      <c r="L304" s="1" t="s">
        <v>18</v>
      </c>
    </row>
    <row r="305" spans="1:12" hidden="1" x14ac:dyDescent="0.25">
      <c r="A305" s="1" t="s">
        <v>19</v>
      </c>
      <c r="B305" s="1" t="s">
        <v>20</v>
      </c>
      <c r="C305" s="1">
        <v>2021</v>
      </c>
      <c r="D305" s="1">
        <v>6895</v>
      </c>
      <c r="E305" s="1">
        <v>12.4</v>
      </c>
      <c r="F305" s="1">
        <v>67</v>
      </c>
      <c r="G305" s="1">
        <v>1087676656</v>
      </c>
      <c r="H305" s="1">
        <v>78</v>
      </c>
      <c r="I305" s="1">
        <v>24.2</v>
      </c>
      <c r="J305" s="1">
        <v>96</v>
      </c>
      <c r="K305" s="1">
        <v>61</v>
      </c>
      <c r="L305" s="1" t="s">
        <v>20</v>
      </c>
    </row>
    <row r="306" spans="1:12" hidden="1" x14ac:dyDescent="0.25">
      <c r="A306" s="1" t="s">
        <v>21</v>
      </c>
      <c r="B306" s="1" t="s">
        <v>22</v>
      </c>
      <c r="C306" s="1">
        <v>2021</v>
      </c>
      <c r="D306" s="1">
        <v>19042</v>
      </c>
      <c r="E306" s="1">
        <v>4.2</v>
      </c>
      <c r="F306" s="1">
        <v>65</v>
      </c>
      <c r="G306" s="1">
        <v>567396274</v>
      </c>
      <c r="H306" s="1">
        <v>61</v>
      </c>
      <c r="I306" s="1">
        <v>23.7</v>
      </c>
      <c r="J306" s="1">
        <v>81</v>
      </c>
      <c r="K306" s="1">
        <v>35</v>
      </c>
      <c r="L306" s="1" t="s">
        <v>14</v>
      </c>
    </row>
    <row r="307" spans="1:12" hidden="1" x14ac:dyDescent="0.25">
      <c r="A307" s="1" t="s">
        <v>23</v>
      </c>
      <c r="B307" s="1" t="s">
        <v>18</v>
      </c>
      <c r="C307" s="1">
        <v>2020</v>
      </c>
      <c r="D307" s="1">
        <v>4479</v>
      </c>
      <c r="E307" s="1">
        <v>12.2</v>
      </c>
      <c r="F307" s="1">
        <v>74</v>
      </c>
      <c r="G307" s="1">
        <v>1352400045</v>
      </c>
      <c r="H307" s="1">
        <v>51</v>
      </c>
      <c r="I307" s="1">
        <v>23.1</v>
      </c>
      <c r="J307" s="1">
        <v>76</v>
      </c>
      <c r="K307" s="1">
        <v>69</v>
      </c>
      <c r="L307" s="1" t="s">
        <v>18</v>
      </c>
    </row>
    <row r="308" spans="1:12" hidden="1" x14ac:dyDescent="0.25">
      <c r="A308" s="1" t="s">
        <v>24</v>
      </c>
      <c r="B308" s="1" t="s">
        <v>16</v>
      </c>
      <c r="C308" s="1">
        <v>2021</v>
      </c>
      <c r="D308" s="1">
        <v>38455</v>
      </c>
      <c r="E308" s="1">
        <v>15.1</v>
      </c>
      <c r="F308" s="1">
        <v>65</v>
      </c>
      <c r="G308" s="1">
        <v>1010075292</v>
      </c>
      <c r="H308" s="1">
        <v>94</v>
      </c>
      <c r="I308" s="1">
        <v>5.5</v>
      </c>
      <c r="J308" s="1">
        <v>79</v>
      </c>
      <c r="K308" s="1">
        <v>58</v>
      </c>
      <c r="L308" s="1" t="s">
        <v>16</v>
      </c>
    </row>
    <row r="309" spans="1:12" hidden="1" x14ac:dyDescent="0.25">
      <c r="A309" s="1" t="s">
        <v>25</v>
      </c>
      <c r="B309" s="1" t="s">
        <v>26</v>
      </c>
      <c r="C309" s="1">
        <v>2022</v>
      </c>
      <c r="D309" s="1">
        <v>31443</v>
      </c>
      <c r="E309" s="1">
        <v>11.5</v>
      </c>
      <c r="F309" s="1">
        <v>62</v>
      </c>
      <c r="G309" s="1">
        <v>953750645</v>
      </c>
      <c r="H309" s="1">
        <v>64</v>
      </c>
      <c r="I309" s="1">
        <v>9.1999999999999993</v>
      </c>
      <c r="J309" s="1">
        <v>95</v>
      </c>
      <c r="K309" s="1">
        <v>37</v>
      </c>
      <c r="L309" s="1" t="s">
        <v>26</v>
      </c>
    </row>
    <row r="310" spans="1:12" hidden="1" x14ac:dyDescent="0.25">
      <c r="A310" s="1" t="s">
        <v>27</v>
      </c>
      <c r="B310" s="1" t="s">
        <v>22</v>
      </c>
      <c r="C310" s="1">
        <v>2020</v>
      </c>
      <c r="D310" s="1">
        <v>40599</v>
      </c>
      <c r="E310" s="1">
        <v>12.8</v>
      </c>
      <c r="F310" s="1">
        <v>68</v>
      </c>
      <c r="G310" s="1">
        <v>388891570</v>
      </c>
      <c r="H310" s="1">
        <v>92</v>
      </c>
      <c r="I310" s="1">
        <v>24.3</v>
      </c>
      <c r="J310" s="1">
        <v>92</v>
      </c>
      <c r="K310" s="1">
        <v>82</v>
      </c>
      <c r="L310" s="1" t="s">
        <v>14</v>
      </c>
    </row>
    <row r="311" spans="1:12" hidden="1" x14ac:dyDescent="0.25">
      <c r="A311" s="1" t="s">
        <v>28</v>
      </c>
      <c r="B311" s="1" t="s">
        <v>29</v>
      </c>
      <c r="C311" s="1">
        <v>2021</v>
      </c>
      <c r="D311" s="1">
        <v>30884</v>
      </c>
      <c r="E311" s="1">
        <v>7.2</v>
      </c>
      <c r="F311" s="1">
        <v>71</v>
      </c>
      <c r="G311" s="1">
        <v>838739934</v>
      </c>
      <c r="H311" s="1">
        <v>70</v>
      </c>
      <c r="I311" s="1">
        <v>12.4</v>
      </c>
      <c r="J311" s="1">
        <v>89</v>
      </c>
      <c r="K311" s="1">
        <v>42</v>
      </c>
      <c r="L311" s="1" t="s">
        <v>29</v>
      </c>
    </row>
    <row r="312" spans="1:12" hidden="1" x14ac:dyDescent="0.25">
      <c r="A312" s="1" t="s">
        <v>12</v>
      </c>
      <c r="B312" s="1" t="s">
        <v>13</v>
      </c>
      <c r="C312" s="1">
        <v>2021</v>
      </c>
      <c r="D312" s="1">
        <v>8088</v>
      </c>
      <c r="E312" s="1">
        <v>10.5</v>
      </c>
      <c r="F312" s="1">
        <v>62</v>
      </c>
      <c r="G312" s="1">
        <v>1438981351</v>
      </c>
      <c r="H312" s="1">
        <v>93</v>
      </c>
      <c r="I312" s="1">
        <v>3.3</v>
      </c>
      <c r="J312" s="1">
        <v>74</v>
      </c>
      <c r="K312" s="1">
        <v>78</v>
      </c>
      <c r="L312" s="1" t="s">
        <v>14</v>
      </c>
    </row>
    <row r="313" spans="1:12" hidden="1" x14ac:dyDescent="0.25">
      <c r="A313" s="1" t="s">
        <v>15</v>
      </c>
      <c r="B313" s="1" t="s">
        <v>16</v>
      </c>
      <c r="C313" s="1">
        <v>2020</v>
      </c>
      <c r="D313" s="1">
        <v>52254</v>
      </c>
      <c r="E313" s="1">
        <v>14.7</v>
      </c>
      <c r="F313" s="1">
        <v>71</v>
      </c>
      <c r="G313" s="1">
        <v>536167628</v>
      </c>
      <c r="H313" s="1">
        <v>51</v>
      </c>
      <c r="I313" s="1">
        <v>7.5</v>
      </c>
      <c r="J313" s="1">
        <v>98</v>
      </c>
      <c r="K313" s="1">
        <v>55</v>
      </c>
      <c r="L313" s="1" t="s">
        <v>16</v>
      </c>
    </row>
    <row r="314" spans="1:12" hidden="1" x14ac:dyDescent="0.25">
      <c r="A314" s="1" t="s">
        <v>17</v>
      </c>
      <c r="B314" s="1" t="s">
        <v>18</v>
      </c>
      <c r="C314" s="1">
        <v>2020</v>
      </c>
      <c r="D314" s="1">
        <v>25129</v>
      </c>
      <c r="E314" s="1">
        <v>9.5</v>
      </c>
      <c r="F314" s="1">
        <v>69</v>
      </c>
      <c r="G314" s="1">
        <v>1244586459</v>
      </c>
      <c r="H314" s="1">
        <v>58</v>
      </c>
      <c r="I314" s="1">
        <v>21.2</v>
      </c>
      <c r="J314" s="1">
        <v>96</v>
      </c>
      <c r="K314" s="1">
        <v>59</v>
      </c>
      <c r="L314" s="1" t="s">
        <v>18</v>
      </c>
    </row>
    <row r="315" spans="1:12" hidden="1" x14ac:dyDescent="0.25">
      <c r="A315" s="1" t="s">
        <v>19</v>
      </c>
      <c r="B315" s="1" t="s">
        <v>20</v>
      </c>
      <c r="C315" s="1">
        <v>2021</v>
      </c>
      <c r="D315" s="1">
        <v>4331</v>
      </c>
      <c r="E315" s="1">
        <v>16.3</v>
      </c>
      <c r="F315" s="1">
        <v>74</v>
      </c>
      <c r="G315" s="1">
        <v>47967447</v>
      </c>
      <c r="H315" s="1">
        <v>58</v>
      </c>
      <c r="I315" s="1">
        <v>8.6</v>
      </c>
      <c r="J315" s="1">
        <v>72</v>
      </c>
      <c r="K315" s="1">
        <v>42</v>
      </c>
      <c r="L315" s="1" t="s">
        <v>20</v>
      </c>
    </row>
    <row r="316" spans="1:12" hidden="1" x14ac:dyDescent="0.25">
      <c r="A316" s="1" t="s">
        <v>21</v>
      </c>
      <c r="B316" s="1" t="s">
        <v>22</v>
      </c>
      <c r="C316" s="1">
        <v>2022</v>
      </c>
      <c r="D316" s="1">
        <v>58368</v>
      </c>
      <c r="E316" s="1">
        <v>4.8</v>
      </c>
      <c r="F316" s="1">
        <v>64</v>
      </c>
      <c r="G316" s="1">
        <v>585456731</v>
      </c>
      <c r="H316" s="1">
        <v>54</v>
      </c>
      <c r="I316" s="1">
        <v>14.4</v>
      </c>
      <c r="J316" s="1">
        <v>93</v>
      </c>
      <c r="K316" s="1">
        <v>55</v>
      </c>
      <c r="L316" s="1" t="s">
        <v>14</v>
      </c>
    </row>
    <row r="317" spans="1:12" hidden="1" x14ac:dyDescent="0.25">
      <c r="A317" s="1" t="s">
        <v>23</v>
      </c>
      <c r="B317" s="1" t="s">
        <v>18</v>
      </c>
      <c r="C317" s="1">
        <v>2020</v>
      </c>
      <c r="D317" s="1">
        <v>33367</v>
      </c>
      <c r="E317" s="1">
        <v>11.4</v>
      </c>
      <c r="F317" s="1">
        <v>69</v>
      </c>
      <c r="G317" s="1">
        <v>119689761</v>
      </c>
      <c r="H317" s="1">
        <v>84</v>
      </c>
      <c r="I317" s="1">
        <v>9</v>
      </c>
      <c r="J317" s="1">
        <v>91</v>
      </c>
      <c r="K317" s="1">
        <v>73</v>
      </c>
      <c r="L317" s="1" t="s">
        <v>18</v>
      </c>
    </row>
    <row r="318" spans="1:12" hidden="1" x14ac:dyDescent="0.25">
      <c r="A318" s="1" t="s">
        <v>24</v>
      </c>
      <c r="B318" s="1" t="s">
        <v>16</v>
      </c>
      <c r="C318" s="1">
        <v>2022</v>
      </c>
      <c r="D318" s="1">
        <v>43109</v>
      </c>
      <c r="E318" s="1">
        <v>4.7</v>
      </c>
      <c r="F318" s="1">
        <v>77</v>
      </c>
      <c r="G318" s="1">
        <v>581988730</v>
      </c>
      <c r="H318" s="1">
        <v>67</v>
      </c>
      <c r="I318" s="1">
        <v>9.5</v>
      </c>
      <c r="J318" s="1">
        <v>98</v>
      </c>
      <c r="K318" s="1">
        <v>60</v>
      </c>
      <c r="L318" s="1" t="s">
        <v>16</v>
      </c>
    </row>
    <row r="319" spans="1:12" hidden="1" x14ac:dyDescent="0.25">
      <c r="A319" s="1" t="s">
        <v>25</v>
      </c>
      <c r="B319" s="1" t="s">
        <v>26</v>
      </c>
      <c r="C319" s="1">
        <v>2021</v>
      </c>
      <c r="D319" s="1">
        <v>11953</v>
      </c>
      <c r="E319" s="1">
        <v>15</v>
      </c>
      <c r="F319" s="1">
        <v>63</v>
      </c>
      <c r="G319" s="1">
        <v>1008189171</v>
      </c>
      <c r="H319" s="1">
        <v>91</v>
      </c>
      <c r="I319" s="1">
        <v>19.3</v>
      </c>
      <c r="J319" s="1">
        <v>100</v>
      </c>
      <c r="K319" s="1">
        <v>90</v>
      </c>
      <c r="L319" s="1" t="s">
        <v>26</v>
      </c>
    </row>
    <row r="320" spans="1:12" hidden="1" x14ac:dyDescent="0.25">
      <c r="A320" s="1" t="s">
        <v>27</v>
      </c>
      <c r="B320" s="1" t="s">
        <v>22</v>
      </c>
      <c r="C320" s="1">
        <v>2022</v>
      </c>
      <c r="D320" s="1">
        <v>42457</v>
      </c>
      <c r="E320" s="1">
        <v>6.7</v>
      </c>
      <c r="F320" s="1">
        <v>64</v>
      </c>
      <c r="G320" s="1">
        <v>995432119</v>
      </c>
      <c r="H320" s="1">
        <v>89</v>
      </c>
      <c r="I320" s="1">
        <v>22.9</v>
      </c>
      <c r="J320" s="1">
        <v>73</v>
      </c>
      <c r="K320" s="1">
        <v>58</v>
      </c>
      <c r="L320" s="1" t="s">
        <v>14</v>
      </c>
    </row>
    <row r="321" spans="1:12" hidden="1" x14ac:dyDescent="0.25">
      <c r="A321" s="1" t="s">
        <v>28</v>
      </c>
      <c r="B321" s="1" t="s">
        <v>29</v>
      </c>
      <c r="C321" s="1">
        <v>2020</v>
      </c>
      <c r="D321" s="1">
        <v>64269</v>
      </c>
      <c r="E321" s="1">
        <v>4.5999999999999996</v>
      </c>
      <c r="F321" s="1">
        <v>63</v>
      </c>
      <c r="G321" s="1">
        <v>591421225</v>
      </c>
      <c r="H321" s="1">
        <v>51</v>
      </c>
      <c r="I321" s="1">
        <v>9.3000000000000007</v>
      </c>
      <c r="J321" s="1">
        <v>81</v>
      </c>
      <c r="K321" s="1">
        <v>51</v>
      </c>
      <c r="L321" s="1" t="s">
        <v>29</v>
      </c>
    </row>
    <row r="322" spans="1:12" hidden="1" x14ac:dyDescent="0.25">
      <c r="A322" s="1" t="s">
        <v>12</v>
      </c>
      <c r="B322" s="1" t="s">
        <v>13</v>
      </c>
      <c r="C322" s="1">
        <v>2020</v>
      </c>
      <c r="D322" s="1">
        <v>37447</v>
      </c>
      <c r="E322" s="1">
        <v>7.5</v>
      </c>
      <c r="F322" s="1">
        <v>61</v>
      </c>
      <c r="G322" s="1">
        <v>643543016</v>
      </c>
      <c r="H322" s="1">
        <v>85</v>
      </c>
      <c r="I322" s="1">
        <v>19.899999999999999</v>
      </c>
      <c r="J322" s="1">
        <v>89</v>
      </c>
      <c r="K322" s="1">
        <v>42</v>
      </c>
      <c r="L322" s="1" t="s">
        <v>14</v>
      </c>
    </row>
    <row r="323" spans="1:12" hidden="1" x14ac:dyDescent="0.25">
      <c r="A323" s="1" t="s">
        <v>15</v>
      </c>
      <c r="B323" s="1" t="s">
        <v>16</v>
      </c>
      <c r="C323" s="1">
        <v>2020</v>
      </c>
      <c r="D323" s="1">
        <v>20949</v>
      </c>
      <c r="E323" s="1">
        <v>16.2</v>
      </c>
      <c r="F323" s="1">
        <v>75</v>
      </c>
      <c r="G323" s="1">
        <v>830554157</v>
      </c>
      <c r="H323" s="1">
        <v>94</v>
      </c>
      <c r="I323" s="1">
        <v>11.5</v>
      </c>
      <c r="J323" s="1">
        <v>76</v>
      </c>
      <c r="K323" s="1">
        <v>84</v>
      </c>
      <c r="L323" s="1" t="s">
        <v>16</v>
      </c>
    </row>
    <row r="324" spans="1:12" hidden="1" x14ac:dyDescent="0.25">
      <c r="A324" s="1" t="s">
        <v>17</v>
      </c>
      <c r="B324" s="1" t="s">
        <v>18</v>
      </c>
      <c r="C324" s="1">
        <v>2020</v>
      </c>
      <c r="D324" s="1">
        <v>14552</v>
      </c>
      <c r="E324" s="1">
        <v>16.7</v>
      </c>
      <c r="F324" s="1">
        <v>76</v>
      </c>
      <c r="G324" s="1">
        <v>916954073</v>
      </c>
      <c r="H324" s="1">
        <v>70</v>
      </c>
      <c r="I324" s="1">
        <v>7.9</v>
      </c>
      <c r="J324" s="1">
        <v>77</v>
      </c>
      <c r="K324" s="1">
        <v>49</v>
      </c>
      <c r="L324" s="1" t="s">
        <v>18</v>
      </c>
    </row>
    <row r="325" spans="1:12" hidden="1" x14ac:dyDescent="0.25">
      <c r="A325" s="1" t="s">
        <v>19</v>
      </c>
      <c r="B325" s="1" t="s">
        <v>20</v>
      </c>
      <c r="C325" s="1">
        <v>2022</v>
      </c>
      <c r="D325" s="1">
        <v>29169</v>
      </c>
      <c r="E325" s="1">
        <v>3.9</v>
      </c>
      <c r="F325" s="1">
        <v>61</v>
      </c>
      <c r="G325" s="1">
        <v>493774114</v>
      </c>
      <c r="H325" s="1">
        <v>60</v>
      </c>
      <c r="I325" s="1">
        <v>13.7</v>
      </c>
      <c r="J325" s="1">
        <v>88</v>
      </c>
      <c r="K325" s="1">
        <v>79</v>
      </c>
      <c r="L325" s="1" t="s">
        <v>20</v>
      </c>
    </row>
    <row r="326" spans="1:12" hidden="1" x14ac:dyDescent="0.25">
      <c r="A326" s="1" t="s">
        <v>21</v>
      </c>
      <c r="B326" s="1" t="s">
        <v>22</v>
      </c>
      <c r="C326" s="1">
        <v>2021</v>
      </c>
      <c r="D326" s="1">
        <v>67325</v>
      </c>
      <c r="E326" s="1">
        <v>8.8000000000000007</v>
      </c>
      <c r="F326" s="1">
        <v>74</v>
      </c>
      <c r="G326" s="1">
        <v>198751555</v>
      </c>
      <c r="H326" s="1">
        <v>85</v>
      </c>
      <c r="I326" s="1">
        <v>4.3</v>
      </c>
      <c r="J326" s="1">
        <v>76</v>
      </c>
      <c r="K326" s="1">
        <v>53</v>
      </c>
      <c r="L326" s="1" t="s">
        <v>14</v>
      </c>
    </row>
    <row r="327" spans="1:12" hidden="1" x14ac:dyDescent="0.25">
      <c r="A327" s="1" t="s">
        <v>23</v>
      </c>
      <c r="B327" s="1" t="s">
        <v>18</v>
      </c>
      <c r="C327" s="1">
        <v>2020</v>
      </c>
      <c r="D327" s="1">
        <v>26828</v>
      </c>
      <c r="E327" s="1">
        <v>9</v>
      </c>
      <c r="F327" s="1">
        <v>62</v>
      </c>
      <c r="G327" s="1">
        <v>93378703</v>
      </c>
      <c r="H327" s="1">
        <v>81</v>
      </c>
      <c r="I327" s="1">
        <v>2.1</v>
      </c>
      <c r="J327" s="1">
        <v>80</v>
      </c>
      <c r="K327" s="1">
        <v>81</v>
      </c>
      <c r="L327" s="1" t="s">
        <v>18</v>
      </c>
    </row>
    <row r="328" spans="1:12" hidden="1" x14ac:dyDescent="0.25">
      <c r="A328" s="1" t="s">
        <v>24</v>
      </c>
      <c r="B328" s="1" t="s">
        <v>16</v>
      </c>
      <c r="C328" s="1">
        <v>2021</v>
      </c>
      <c r="D328" s="1">
        <v>65159</v>
      </c>
      <c r="E328" s="1">
        <v>8.1999999999999993</v>
      </c>
      <c r="F328" s="1">
        <v>69</v>
      </c>
      <c r="G328" s="1">
        <v>290686228</v>
      </c>
      <c r="H328" s="1">
        <v>61</v>
      </c>
      <c r="I328" s="1">
        <v>9.5</v>
      </c>
      <c r="J328" s="1">
        <v>81</v>
      </c>
      <c r="K328" s="1">
        <v>33</v>
      </c>
      <c r="L328" s="1" t="s">
        <v>16</v>
      </c>
    </row>
    <row r="329" spans="1:12" hidden="1" x14ac:dyDescent="0.25">
      <c r="A329" s="1" t="s">
        <v>25</v>
      </c>
      <c r="B329" s="1" t="s">
        <v>26</v>
      </c>
      <c r="C329" s="1">
        <v>2022</v>
      </c>
      <c r="D329" s="1">
        <v>33340</v>
      </c>
      <c r="E329" s="1">
        <v>14.3</v>
      </c>
      <c r="F329" s="1">
        <v>71</v>
      </c>
      <c r="G329" s="1">
        <v>879517218</v>
      </c>
      <c r="H329" s="1">
        <v>72</v>
      </c>
      <c r="I329" s="1">
        <v>15</v>
      </c>
      <c r="J329" s="1">
        <v>85</v>
      </c>
      <c r="K329" s="1">
        <v>76</v>
      </c>
      <c r="L329" s="1" t="s">
        <v>26</v>
      </c>
    </row>
    <row r="330" spans="1:12" hidden="1" x14ac:dyDescent="0.25">
      <c r="A330" s="1" t="s">
        <v>27</v>
      </c>
      <c r="B330" s="1" t="s">
        <v>22</v>
      </c>
      <c r="C330" s="1">
        <v>2021</v>
      </c>
      <c r="D330" s="1">
        <v>37713</v>
      </c>
      <c r="E330" s="1">
        <v>4.5</v>
      </c>
      <c r="F330" s="1">
        <v>83</v>
      </c>
      <c r="G330" s="1">
        <v>280596008</v>
      </c>
      <c r="H330" s="1">
        <v>60</v>
      </c>
      <c r="I330" s="1">
        <v>17</v>
      </c>
      <c r="J330" s="1">
        <v>85</v>
      </c>
      <c r="K330" s="1">
        <v>46</v>
      </c>
      <c r="L330" s="1" t="s">
        <v>14</v>
      </c>
    </row>
    <row r="331" spans="1:12" hidden="1" x14ac:dyDescent="0.25">
      <c r="A331" s="1" t="s">
        <v>28</v>
      </c>
      <c r="B331" s="1" t="s">
        <v>29</v>
      </c>
      <c r="C331" s="1">
        <v>2021</v>
      </c>
      <c r="D331" s="1">
        <v>30791</v>
      </c>
      <c r="E331" s="1">
        <v>10.1</v>
      </c>
      <c r="F331" s="1">
        <v>84</v>
      </c>
      <c r="G331" s="1">
        <v>1126116189</v>
      </c>
      <c r="H331" s="1">
        <v>95</v>
      </c>
      <c r="I331" s="1">
        <v>20.3</v>
      </c>
      <c r="J331" s="1">
        <v>89</v>
      </c>
      <c r="K331" s="1">
        <v>48</v>
      </c>
      <c r="L331" s="1" t="s">
        <v>29</v>
      </c>
    </row>
    <row r="332" spans="1:12" hidden="1" x14ac:dyDescent="0.25">
      <c r="A332" s="1" t="s">
        <v>12</v>
      </c>
      <c r="B332" s="1" t="s">
        <v>13</v>
      </c>
      <c r="C332" s="1">
        <v>2020</v>
      </c>
      <c r="D332" s="1">
        <v>43675</v>
      </c>
      <c r="E332" s="1">
        <v>5.7</v>
      </c>
      <c r="F332" s="1">
        <v>62</v>
      </c>
      <c r="G332" s="1">
        <v>762571734</v>
      </c>
      <c r="H332" s="1">
        <v>75</v>
      </c>
      <c r="I332" s="1">
        <v>5.9</v>
      </c>
      <c r="J332" s="1">
        <v>87</v>
      </c>
      <c r="K332" s="1">
        <v>39</v>
      </c>
      <c r="L332" s="1" t="s">
        <v>14</v>
      </c>
    </row>
    <row r="333" spans="1:12" hidden="1" x14ac:dyDescent="0.25">
      <c r="A333" s="1" t="s">
        <v>15</v>
      </c>
      <c r="B333" s="1" t="s">
        <v>16</v>
      </c>
      <c r="C333" s="1">
        <v>2020</v>
      </c>
      <c r="D333" s="1">
        <v>68392</v>
      </c>
      <c r="E333" s="1">
        <v>11.2</v>
      </c>
      <c r="F333" s="1">
        <v>63</v>
      </c>
      <c r="G333" s="1">
        <v>1475280515</v>
      </c>
      <c r="H333" s="1">
        <v>73</v>
      </c>
      <c r="I333" s="1">
        <v>21.9</v>
      </c>
      <c r="J333" s="1">
        <v>70</v>
      </c>
      <c r="K333" s="1">
        <v>58</v>
      </c>
      <c r="L333" s="1" t="s">
        <v>16</v>
      </c>
    </row>
    <row r="334" spans="1:12" hidden="1" x14ac:dyDescent="0.25">
      <c r="A334" s="1" t="s">
        <v>17</v>
      </c>
      <c r="B334" s="1" t="s">
        <v>18</v>
      </c>
      <c r="C334" s="1">
        <v>2020</v>
      </c>
      <c r="D334" s="1">
        <v>15020</v>
      </c>
      <c r="E334" s="1">
        <v>4.9000000000000004</v>
      </c>
      <c r="F334" s="1">
        <v>70</v>
      </c>
      <c r="G334" s="1">
        <v>506526463</v>
      </c>
      <c r="H334" s="1">
        <v>65</v>
      </c>
      <c r="I334" s="1">
        <v>15</v>
      </c>
      <c r="J334" s="1">
        <v>78</v>
      </c>
      <c r="K334" s="1">
        <v>46</v>
      </c>
      <c r="L334" s="1" t="s">
        <v>18</v>
      </c>
    </row>
    <row r="335" spans="1:12" hidden="1" x14ac:dyDescent="0.25">
      <c r="A335" s="1" t="s">
        <v>19</v>
      </c>
      <c r="B335" s="1" t="s">
        <v>20</v>
      </c>
      <c r="C335" s="1">
        <v>2022</v>
      </c>
      <c r="D335" s="1">
        <v>3592</v>
      </c>
      <c r="E335" s="1">
        <v>13.4</v>
      </c>
      <c r="F335" s="1">
        <v>79</v>
      </c>
      <c r="G335" s="1">
        <v>1097647114</v>
      </c>
      <c r="H335" s="1">
        <v>67</v>
      </c>
      <c r="I335" s="1">
        <v>13.8</v>
      </c>
      <c r="J335" s="1">
        <v>85</v>
      </c>
      <c r="K335" s="1">
        <v>41</v>
      </c>
      <c r="L335" s="1" t="s">
        <v>20</v>
      </c>
    </row>
    <row r="336" spans="1:12" hidden="1" x14ac:dyDescent="0.25">
      <c r="A336" s="1" t="s">
        <v>21</v>
      </c>
      <c r="B336" s="1" t="s">
        <v>22</v>
      </c>
      <c r="C336" s="1">
        <v>2020</v>
      </c>
      <c r="D336" s="1">
        <v>16623</v>
      </c>
      <c r="E336" s="1">
        <v>7.1</v>
      </c>
      <c r="F336" s="1">
        <v>63</v>
      </c>
      <c r="G336" s="1">
        <v>1153026740</v>
      </c>
      <c r="H336" s="1">
        <v>67</v>
      </c>
      <c r="I336" s="1">
        <v>18.3</v>
      </c>
      <c r="J336" s="1">
        <v>70</v>
      </c>
      <c r="K336" s="1">
        <v>60</v>
      </c>
      <c r="L336" s="1" t="s">
        <v>14</v>
      </c>
    </row>
    <row r="337" spans="1:12" hidden="1" x14ac:dyDescent="0.25">
      <c r="A337" s="1" t="s">
        <v>23</v>
      </c>
      <c r="B337" s="1" t="s">
        <v>18</v>
      </c>
      <c r="C337" s="1">
        <v>2021</v>
      </c>
      <c r="D337" s="1">
        <v>40106</v>
      </c>
      <c r="E337" s="1">
        <v>9.8000000000000007</v>
      </c>
      <c r="F337" s="1">
        <v>64</v>
      </c>
      <c r="G337" s="1">
        <v>295202050</v>
      </c>
      <c r="H337" s="1">
        <v>67</v>
      </c>
      <c r="I337" s="1">
        <v>15.4</v>
      </c>
      <c r="J337" s="1">
        <v>79</v>
      </c>
      <c r="K337" s="1">
        <v>30</v>
      </c>
      <c r="L337" s="1" t="s">
        <v>18</v>
      </c>
    </row>
    <row r="338" spans="1:12" hidden="1" x14ac:dyDescent="0.25">
      <c r="A338" s="1" t="s">
        <v>24</v>
      </c>
      <c r="B338" s="1" t="s">
        <v>16</v>
      </c>
      <c r="C338" s="1">
        <v>2021</v>
      </c>
      <c r="D338" s="1">
        <v>12105</v>
      </c>
      <c r="E338" s="1">
        <v>6.9</v>
      </c>
      <c r="F338" s="1">
        <v>70</v>
      </c>
      <c r="G338" s="1">
        <v>1253164896</v>
      </c>
      <c r="H338" s="1">
        <v>71</v>
      </c>
      <c r="I338" s="1">
        <v>4.5999999999999996</v>
      </c>
      <c r="J338" s="1">
        <v>72</v>
      </c>
      <c r="K338" s="1">
        <v>33</v>
      </c>
      <c r="L338" s="1" t="s">
        <v>16</v>
      </c>
    </row>
    <row r="339" spans="1:12" hidden="1" x14ac:dyDescent="0.25">
      <c r="A339" s="1" t="s">
        <v>25</v>
      </c>
      <c r="B339" s="1" t="s">
        <v>26</v>
      </c>
      <c r="C339" s="1">
        <v>2020</v>
      </c>
      <c r="D339" s="1">
        <v>48363</v>
      </c>
      <c r="E339" s="1">
        <v>9.3000000000000007</v>
      </c>
      <c r="F339" s="1">
        <v>61</v>
      </c>
      <c r="G339" s="1">
        <v>236721507</v>
      </c>
      <c r="H339" s="1">
        <v>78</v>
      </c>
      <c r="I339" s="1">
        <v>5.2</v>
      </c>
      <c r="J339" s="1">
        <v>79</v>
      </c>
      <c r="K339" s="1">
        <v>81</v>
      </c>
      <c r="L339" s="1" t="s">
        <v>26</v>
      </c>
    </row>
    <row r="340" spans="1:12" hidden="1" x14ac:dyDescent="0.25">
      <c r="A340" s="1" t="s">
        <v>27</v>
      </c>
      <c r="B340" s="1" t="s">
        <v>22</v>
      </c>
      <c r="C340" s="1">
        <v>2020</v>
      </c>
      <c r="D340" s="1">
        <v>19002</v>
      </c>
      <c r="E340" s="1">
        <v>12.5</v>
      </c>
      <c r="F340" s="1">
        <v>74</v>
      </c>
      <c r="G340" s="1">
        <v>1176849241</v>
      </c>
      <c r="H340" s="1">
        <v>92</v>
      </c>
      <c r="I340" s="1">
        <v>14.8</v>
      </c>
      <c r="J340" s="1">
        <v>97</v>
      </c>
      <c r="K340" s="1">
        <v>32</v>
      </c>
      <c r="L340" s="1" t="s">
        <v>14</v>
      </c>
    </row>
    <row r="341" spans="1:12" hidden="1" x14ac:dyDescent="0.25">
      <c r="A341" s="1" t="s">
        <v>28</v>
      </c>
      <c r="B341" s="1" t="s">
        <v>29</v>
      </c>
      <c r="C341" s="1">
        <v>2020</v>
      </c>
      <c r="D341" s="1">
        <v>50244</v>
      </c>
      <c r="E341" s="1">
        <v>16.8</v>
      </c>
      <c r="F341" s="1">
        <v>60</v>
      </c>
      <c r="G341" s="1">
        <v>848454583</v>
      </c>
      <c r="H341" s="1">
        <v>61</v>
      </c>
      <c r="I341" s="1">
        <v>20.399999999999999</v>
      </c>
      <c r="J341" s="1">
        <v>77</v>
      </c>
      <c r="K341" s="1">
        <v>31</v>
      </c>
      <c r="L341" s="1" t="s">
        <v>29</v>
      </c>
    </row>
    <row r="342" spans="1:12" hidden="1" x14ac:dyDescent="0.25">
      <c r="A342" s="1" t="s">
        <v>12</v>
      </c>
      <c r="B342" s="1" t="s">
        <v>13</v>
      </c>
      <c r="C342" s="1">
        <v>2021</v>
      </c>
      <c r="D342" s="1">
        <v>19121</v>
      </c>
      <c r="E342" s="1">
        <v>3.2</v>
      </c>
      <c r="F342" s="1">
        <v>64</v>
      </c>
      <c r="G342" s="1">
        <v>897075017</v>
      </c>
      <c r="H342" s="1">
        <v>60</v>
      </c>
      <c r="I342" s="1">
        <v>20.100000000000001</v>
      </c>
      <c r="J342" s="1">
        <v>80</v>
      </c>
      <c r="K342" s="1">
        <v>51</v>
      </c>
      <c r="L342" s="1" t="s">
        <v>14</v>
      </c>
    </row>
    <row r="343" spans="1:12" hidden="1" x14ac:dyDescent="0.25">
      <c r="A343" s="1" t="s">
        <v>15</v>
      </c>
      <c r="B343" s="1" t="s">
        <v>16</v>
      </c>
      <c r="C343" s="1">
        <v>2021</v>
      </c>
      <c r="D343" s="1">
        <v>41996</v>
      </c>
      <c r="E343" s="1">
        <v>13.4</v>
      </c>
      <c r="F343" s="1">
        <v>85</v>
      </c>
      <c r="G343" s="1">
        <v>577123435</v>
      </c>
      <c r="H343" s="1">
        <v>62</v>
      </c>
      <c r="I343" s="1">
        <v>13.7</v>
      </c>
      <c r="J343" s="1">
        <v>76</v>
      </c>
      <c r="K343" s="1">
        <v>39</v>
      </c>
      <c r="L343" s="1" t="s">
        <v>16</v>
      </c>
    </row>
    <row r="344" spans="1:12" hidden="1" x14ac:dyDescent="0.25">
      <c r="A344" s="1" t="s">
        <v>17</v>
      </c>
      <c r="B344" s="1" t="s">
        <v>18</v>
      </c>
      <c r="C344" s="1">
        <v>2021</v>
      </c>
      <c r="D344" s="1">
        <v>6464</v>
      </c>
      <c r="E344" s="1">
        <v>11.6</v>
      </c>
      <c r="F344" s="1">
        <v>69</v>
      </c>
      <c r="G344" s="1">
        <v>127849080</v>
      </c>
      <c r="H344" s="1">
        <v>64</v>
      </c>
      <c r="I344" s="1">
        <v>20.6</v>
      </c>
      <c r="J344" s="1">
        <v>72</v>
      </c>
      <c r="K344" s="1">
        <v>55</v>
      </c>
      <c r="L344" s="1" t="s">
        <v>18</v>
      </c>
    </row>
    <row r="345" spans="1:12" hidden="1" x14ac:dyDescent="0.25">
      <c r="A345" s="1" t="s">
        <v>19</v>
      </c>
      <c r="B345" s="1" t="s">
        <v>20</v>
      </c>
      <c r="C345" s="1">
        <v>2022</v>
      </c>
      <c r="D345" s="1">
        <v>31097</v>
      </c>
      <c r="E345" s="1">
        <v>11.6</v>
      </c>
      <c r="F345" s="1">
        <v>76</v>
      </c>
      <c r="G345" s="1">
        <v>459994120</v>
      </c>
      <c r="H345" s="1">
        <v>67</v>
      </c>
      <c r="I345" s="1">
        <v>22.8</v>
      </c>
      <c r="J345" s="1">
        <v>77</v>
      </c>
      <c r="K345" s="1">
        <v>84</v>
      </c>
      <c r="L345" s="1" t="s">
        <v>20</v>
      </c>
    </row>
    <row r="346" spans="1:12" hidden="1" x14ac:dyDescent="0.25">
      <c r="A346" s="1" t="s">
        <v>21</v>
      </c>
      <c r="B346" s="1" t="s">
        <v>22</v>
      </c>
      <c r="C346" s="1">
        <v>2020</v>
      </c>
      <c r="D346" s="1">
        <v>31723</v>
      </c>
      <c r="E346" s="1">
        <v>14.9</v>
      </c>
      <c r="F346" s="1">
        <v>82</v>
      </c>
      <c r="G346" s="1">
        <v>1357989704</v>
      </c>
      <c r="H346" s="1">
        <v>59</v>
      </c>
      <c r="I346" s="1">
        <v>24.2</v>
      </c>
      <c r="J346" s="1">
        <v>74</v>
      </c>
      <c r="K346" s="1">
        <v>60</v>
      </c>
      <c r="L346" s="1" t="s">
        <v>14</v>
      </c>
    </row>
    <row r="347" spans="1:12" hidden="1" x14ac:dyDescent="0.25">
      <c r="A347" s="1" t="s">
        <v>23</v>
      </c>
      <c r="B347" s="1" t="s">
        <v>18</v>
      </c>
      <c r="C347" s="1">
        <v>2020</v>
      </c>
      <c r="D347" s="1">
        <v>16904</v>
      </c>
      <c r="E347" s="1">
        <v>12.5</v>
      </c>
      <c r="F347" s="1">
        <v>63</v>
      </c>
      <c r="G347" s="1">
        <v>440790761</v>
      </c>
      <c r="H347" s="1">
        <v>81</v>
      </c>
      <c r="I347" s="1">
        <v>23</v>
      </c>
      <c r="J347" s="1">
        <v>87</v>
      </c>
      <c r="K347" s="1">
        <v>62</v>
      </c>
      <c r="L347" s="1" t="s">
        <v>18</v>
      </c>
    </row>
    <row r="348" spans="1:12" hidden="1" x14ac:dyDescent="0.25">
      <c r="A348" s="1" t="s">
        <v>24</v>
      </c>
      <c r="B348" s="1" t="s">
        <v>16</v>
      </c>
      <c r="C348" s="1">
        <v>2022</v>
      </c>
      <c r="D348" s="1">
        <v>25858</v>
      </c>
      <c r="E348" s="1">
        <v>14.1</v>
      </c>
      <c r="F348" s="1">
        <v>79</v>
      </c>
      <c r="G348" s="1">
        <v>215994106</v>
      </c>
      <c r="H348" s="1">
        <v>90</v>
      </c>
      <c r="I348" s="1">
        <v>14.4</v>
      </c>
      <c r="J348" s="1">
        <v>89</v>
      </c>
      <c r="K348" s="1">
        <v>60</v>
      </c>
      <c r="L348" s="1" t="s">
        <v>16</v>
      </c>
    </row>
    <row r="349" spans="1:12" hidden="1" x14ac:dyDescent="0.25">
      <c r="A349" s="1" t="s">
        <v>25</v>
      </c>
      <c r="B349" s="1" t="s">
        <v>26</v>
      </c>
      <c r="C349" s="1">
        <v>2020</v>
      </c>
      <c r="D349" s="1">
        <v>39090</v>
      </c>
      <c r="E349" s="1">
        <v>6.3</v>
      </c>
      <c r="F349" s="1">
        <v>81</v>
      </c>
      <c r="G349" s="1">
        <v>1476134950</v>
      </c>
      <c r="H349" s="1">
        <v>94</v>
      </c>
      <c r="I349" s="1">
        <v>2.2999999999999998</v>
      </c>
      <c r="J349" s="1">
        <v>88</v>
      </c>
      <c r="K349" s="1">
        <v>67</v>
      </c>
      <c r="L349" s="1" t="s">
        <v>26</v>
      </c>
    </row>
    <row r="350" spans="1:12" hidden="1" x14ac:dyDescent="0.25">
      <c r="A350" s="1" t="s">
        <v>27</v>
      </c>
      <c r="B350" s="1" t="s">
        <v>22</v>
      </c>
      <c r="C350" s="1">
        <v>2020</v>
      </c>
      <c r="D350" s="1">
        <v>57924</v>
      </c>
      <c r="E350" s="1">
        <v>16</v>
      </c>
      <c r="F350" s="1">
        <v>77</v>
      </c>
      <c r="G350" s="1">
        <v>1413813761</v>
      </c>
      <c r="H350" s="1">
        <v>58</v>
      </c>
      <c r="I350" s="1">
        <v>20.7</v>
      </c>
      <c r="J350" s="1">
        <v>74</v>
      </c>
      <c r="K350" s="1">
        <v>40</v>
      </c>
      <c r="L350" s="1" t="s">
        <v>14</v>
      </c>
    </row>
    <row r="351" spans="1:12" hidden="1" x14ac:dyDescent="0.25">
      <c r="A351" s="1" t="s">
        <v>28</v>
      </c>
      <c r="B351" s="1" t="s">
        <v>29</v>
      </c>
      <c r="C351" s="1">
        <v>2021</v>
      </c>
      <c r="D351" s="1">
        <v>21162</v>
      </c>
      <c r="E351" s="1">
        <v>6.3</v>
      </c>
      <c r="F351" s="1">
        <v>83</v>
      </c>
      <c r="G351" s="1">
        <v>27917842</v>
      </c>
      <c r="H351" s="1">
        <v>64</v>
      </c>
      <c r="I351" s="1">
        <v>20.5</v>
      </c>
      <c r="J351" s="1">
        <v>100</v>
      </c>
      <c r="K351" s="1">
        <v>74</v>
      </c>
      <c r="L351" s="1" t="s">
        <v>29</v>
      </c>
    </row>
    <row r="352" spans="1:12" hidden="1" x14ac:dyDescent="0.25">
      <c r="A352" s="1" t="s">
        <v>12</v>
      </c>
      <c r="B352" s="1" t="s">
        <v>13</v>
      </c>
      <c r="C352" s="1">
        <v>2021</v>
      </c>
      <c r="D352" s="1">
        <v>55873</v>
      </c>
      <c r="E352" s="1">
        <v>5.4</v>
      </c>
      <c r="F352" s="1">
        <v>69</v>
      </c>
      <c r="G352" s="1">
        <v>218491208</v>
      </c>
      <c r="H352" s="1">
        <v>94</v>
      </c>
      <c r="I352" s="1">
        <v>16.3</v>
      </c>
      <c r="J352" s="1">
        <v>86</v>
      </c>
      <c r="K352" s="1">
        <v>88</v>
      </c>
      <c r="L352" s="1" t="s">
        <v>14</v>
      </c>
    </row>
    <row r="353" spans="1:12" hidden="1" x14ac:dyDescent="0.25">
      <c r="A353" s="1" t="s">
        <v>15</v>
      </c>
      <c r="B353" s="1" t="s">
        <v>16</v>
      </c>
      <c r="C353" s="1">
        <v>2022</v>
      </c>
      <c r="D353" s="1">
        <v>47245</v>
      </c>
      <c r="E353" s="1">
        <v>13.6</v>
      </c>
      <c r="F353" s="1">
        <v>60</v>
      </c>
      <c r="G353" s="1">
        <v>401373216</v>
      </c>
      <c r="H353" s="1">
        <v>66</v>
      </c>
      <c r="I353" s="1">
        <v>12.6</v>
      </c>
      <c r="J353" s="1">
        <v>80</v>
      </c>
      <c r="K353" s="1">
        <v>78</v>
      </c>
      <c r="L353" s="1" t="s">
        <v>16</v>
      </c>
    </row>
    <row r="354" spans="1:12" hidden="1" x14ac:dyDescent="0.25">
      <c r="A354" s="1" t="s">
        <v>17</v>
      </c>
      <c r="B354" s="1" t="s">
        <v>18</v>
      </c>
      <c r="C354" s="1">
        <v>2020</v>
      </c>
      <c r="D354" s="1">
        <v>66912</v>
      </c>
      <c r="E354" s="1">
        <v>14</v>
      </c>
      <c r="F354" s="1">
        <v>70</v>
      </c>
      <c r="G354" s="1">
        <v>893992750</v>
      </c>
      <c r="H354" s="1">
        <v>58</v>
      </c>
      <c r="I354" s="1">
        <v>3.6</v>
      </c>
      <c r="J354" s="1">
        <v>94</v>
      </c>
      <c r="K354" s="1">
        <v>58</v>
      </c>
      <c r="L354" s="1" t="s">
        <v>18</v>
      </c>
    </row>
    <row r="355" spans="1:12" hidden="1" x14ac:dyDescent="0.25">
      <c r="A355" s="1" t="s">
        <v>19</v>
      </c>
      <c r="B355" s="1" t="s">
        <v>20</v>
      </c>
      <c r="C355" s="1">
        <v>2022</v>
      </c>
      <c r="D355" s="1">
        <v>46344</v>
      </c>
      <c r="E355" s="1">
        <v>10.7</v>
      </c>
      <c r="F355" s="1">
        <v>65</v>
      </c>
      <c r="G355" s="1">
        <v>701763525</v>
      </c>
      <c r="H355" s="1">
        <v>86</v>
      </c>
      <c r="I355" s="1">
        <v>12.6</v>
      </c>
      <c r="J355" s="1">
        <v>90</v>
      </c>
      <c r="K355" s="1">
        <v>35</v>
      </c>
      <c r="L355" s="1" t="s">
        <v>20</v>
      </c>
    </row>
    <row r="356" spans="1:12" hidden="1" x14ac:dyDescent="0.25">
      <c r="A356" s="1" t="s">
        <v>21</v>
      </c>
      <c r="B356" s="1" t="s">
        <v>22</v>
      </c>
      <c r="C356" s="1">
        <v>2022</v>
      </c>
      <c r="D356" s="1">
        <v>25337</v>
      </c>
      <c r="E356" s="1">
        <v>4.9000000000000004</v>
      </c>
      <c r="F356" s="1">
        <v>76</v>
      </c>
      <c r="G356" s="1">
        <v>856009677</v>
      </c>
      <c r="H356" s="1">
        <v>84</v>
      </c>
      <c r="I356" s="1">
        <v>12</v>
      </c>
      <c r="J356" s="1">
        <v>77</v>
      </c>
      <c r="K356" s="1">
        <v>33</v>
      </c>
      <c r="L356" s="1" t="s">
        <v>14</v>
      </c>
    </row>
    <row r="357" spans="1:12" hidden="1" x14ac:dyDescent="0.25">
      <c r="A357" s="1" t="s">
        <v>23</v>
      </c>
      <c r="B357" s="1" t="s">
        <v>18</v>
      </c>
      <c r="C357" s="1">
        <v>2021</v>
      </c>
      <c r="D357" s="1">
        <v>60407</v>
      </c>
      <c r="E357" s="1">
        <v>10</v>
      </c>
      <c r="F357" s="1">
        <v>81</v>
      </c>
      <c r="G357" s="1">
        <v>83865122</v>
      </c>
      <c r="H357" s="1">
        <v>60</v>
      </c>
      <c r="I357" s="1">
        <v>10.6</v>
      </c>
      <c r="J357" s="1">
        <v>100</v>
      </c>
      <c r="K357" s="1">
        <v>81</v>
      </c>
      <c r="L357" s="1" t="s">
        <v>18</v>
      </c>
    </row>
    <row r="358" spans="1:12" hidden="1" x14ac:dyDescent="0.25">
      <c r="A358" s="1" t="s">
        <v>24</v>
      </c>
      <c r="B358" s="1" t="s">
        <v>16</v>
      </c>
      <c r="C358" s="1">
        <v>2022</v>
      </c>
      <c r="D358" s="1">
        <v>34173</v>
      </c>
      <c r="E358" s="1">
        <v>14.1</v>
      </c>
      <c r="F358" s="1">
        <v>68</v>
      </c>
      <c r="G358" s="1">
        <v>661590179</v>
      </c>
      <c r="H358" s="1">
        <v>60</v>
      </c>
      <c r="I358" s="1">
        <v>21.6</v>
      </c>
      <c r="J358" s="1">
        <v>100</v>
      </c>
      <c r="K358" s="1">
        <v>75</v>
      </c>
      <c r="L358" s="1" t="s">
        <v>16</v>
      </c>
    </row>
    <row r="359" spans="1:12" hidden="1" x14ac:dyDescent="0.25">
      <c r="A359" s="1" t="s">
        <v>25</v>
      </c>
      <c r="B359" s="1" t="s">
        <v>26</v>
      </c>
      <c r="C359" s="1">
        <v>2020</v>
      </c>
      <c r="D359" s="1">
        <v>9212</v>
      </c>
      <c r="E359" s="1">
        <v>8.1999999999999993</v>
      </c>
      <c r="F359" s="1">
        <v>81</v>
      </c>
      <c r="G359" s="1">
        <v>1116574399</v>
      </c>
      <c r="H359" s="1">
        <v>83</v>
      </c>
      <c r="I359" s="1">
        <v>2.4</v>
      </c>
      <c r="J359" s="1">
        <v>95</v>
      </c>
      <c r="K359" s="1">
        <v>31</v>
      </c>
      <c r="L359" s="1" t="s">
        <v>26</v>
      </c>
    </row>
    <row r="360" spans="1:12" hidden="1" x14ac:dyDescent="0.25">
      <c r="A360" s="1" t="s">
        <v>27</v>
      </c>
      <c r="B360" s="1" t="s">
        <v>22</v>
      </c>
      <c r="C360" s="1">
        <v>2022</v>
      </c>
      <c r="D360" s="1">
        <v>62364</v>
      </c>
      <c r="E360" s="1">
        <v>13.8</v>
      </c>
      <c r="F360" s="1">
        <v>85</v>
      </c>
      <c r="G360" s="1">
        <v>94654996</v>
      </c>
      <c r="H360" s="1">
        <v>67</v>
      </c>
      <c r="I360" s="1">
        <v>12.7</v>
      </c>
      <c r="J360" s="1">
        <v>76</v>
      </c>
      <c r="K360" s="1">
        <v>63</v>
      </c>
      <c r="L360" s="1" t="s">
        <v>14</v>
      </c>
    </row>
    <row r="361" spans="1:12" hidden="1" x14ac:dyDescent="0.25">
      <c r="A361" s="1" t="s">
        <v>28</v>
      </c>
      <c r="B361" s="1" t="s">
        <v>29</v>
      </c>
      <c r="C361" s="1">
        <v>2022</v>
      </c>
      <c r="D361" s="1">
        <v>22421</v>
      </c>
      <c r="E361" s="1">
        <v>9.6</v>
      </c>
      <c r="F361" s="1">
        <v>71</v>
      </c>
      <c r="G361" s="1">
        <v>1003413259</v>
      </c>
      <c r="H361" s="1">
        <v>75</v>
      </c>
      <c r="I361" s="1">
        <v>15.9</v>
      </c>
      <c r="J361" s="1">
        <v>97</v>
      </c>
      <c r="K361" s="1">
        <v>53</v>
      </c>
      <c r="L361" s="1" t="s">
        <v>29</v>
      </c>
    </row>
    <row r="362" spans="1:12" x14ac:dyDescent="0.25">
      <c r="A362" s="1" t="s">
        <v>12</v>
      </c>
      <c r="B362" s="1" t="s">
        <v>13</v>
      </c>
      <c r="C362" s="1">
        <v>2022</v>
      </c>
      <c r="D362" s="1">
        <v>52069</v>
      </c>
      <c r="E362" s="1">
        <v>10.3</v>
      </c>
      <c r="F362" s="1">
        <v>74</v>
      </c>
      <c r="G362" s="1">
        <v>494801498</v>
      </c>
      <c r="H362" s="1">
        <v>53</v>
      </c>
      <c r="I362" s="1">
        <v>11.9</v>
      </c>
      <c r="J362" s="1">
        <v>94</v>
      </c>
      <c r="K362" s="1">
        <v>39</v>
      </c>
      <c r="L362" s="1" t="s">
        <v>14</v>
      </c>
    </row>
    <row r="363" spans="1:12" hidden="1" x14ac:dyDescent="0.25">
      <c r="A363" s="1" t="s">
        <v>15</v>
      </c>
      <c r="B363" s="1" t="s">
        <v>16</v>
      </c>
      <c r="C363" s="1">
        <v>2020</v>
      </c>
      <c r="D363" s="1">
        <v>23422</v>
      </c>
      <c r="E363" s="1">
        <v>10.8</v>
      </c>
      <c r="F363" s="1">
        <v>75</v>
      </c>
      <c r="G363" s="1">
        <v>278348910</v>
      </c>
      <c r="H363" s="1">
        <v>86</v>
      </c>
      <c r="I363" s="1">
        <v>23.4</v>
      </c>
      <c r="J363" s="1">
        <v>82</v>
      </c>
      <c r="K363" s="1">
        <v>40</v>
      </c>
      <c r="L363" s="1" t="s">
        <v>16</v>
      </c>
    </row>
    <row r="364" spans="1:12" hidden="1" x14ac:dyDescent="0.25">
      <c r="A364" s="1" t="s">
        <v>17</v>
      </c>
      <c r="B364" s="1" t="s">
        <v>18</v>
      </c>
      <c r="C364" s="1">
        <v>2022</v>
      </c>
      <c r="D364" s="1">
        <v>55688</v>
      </c>
      <c r="E364" s="1">
        <v>15.6</v>
      </c>
      <c r="F364" s="1">
        <v>65</v>
      </c>
      <c r="G364" s="1">
        <v>1183515905</v>
      </c>
      <c r="H364" s="1">
        <v>69</v>
      </c>
      <c r="I364" s="1">
        <v>8.6999999999999993</v>
      </c>
      <c r="J364" s="1">
        <v>96</v>
      </c>
      <c r="K364" s="1">
        <v>79</v>
      </c>
      <c r="L364" s="1" t="s">
        <v>18</v>
      </c>
    </row>
    <row r="365" spans="1:12" hidden="1" x14ac:dyDescent="0.25">
      <c r="A365" s="1" t="s">
        <v>19</v>
      </c>
      <c r="B365" s="1" t="s">
        <v>20</v>
      </c>
      <c r="C365" s="1">
        <v>2021</v>
      </c>
      <c r="D365" s="1">
        <v>52617</v>
      </c>
      <c r="E365" s="1">
        <v>7.3</v>
      </c>
      <c r="F365" s="1">
        <v>68</v>
      </c>
      <c r="G365" s="1">
        <v>360684735</v>
      </c>
      <c r="H365" s="1">
        <v>60</v>
      </c>
      <c r="I365" s="1">
        <v>16.2</v>
      </c>
      <c r="J365" s="1">
        <v>90</v>
      </c>
      <c r="K365" s="1">
        <v>71</v>
      </c>
      <c r="L365" s="1" t="s">
        <v>20</v>
      </c>
    </row>
    <row r="366" spans="1:12" hidden="1" x14ac:dyDescent="0.25">
      <c r="A366" s="1" t="s">
        <v>21</v>
      </c>
      <c r="B366" s="1" t="s">
        <v>22</v>
      </c>
      <c r="C366" s="1">
        <v>2022</v>
      </c>
      <c r="D366" s="1">
        <v>18268</v>
      </c>
      <c r="E366" s="1">
        <v>16.100000000000001</v>
      </c>
      <c r="F366" s="1">
        <v>60</v>
      </c>
      <c r="G366" s="1">
        <v>488893672</v>
      </c>
      <c r="H366" s="1">
        <v>75</v>
      </c>
      <c r="I366" s="1">
        <v>24</v>
      </c>
      <c r="J366" s="1">
        <v>79</v>
      </c>
      <c r="K366" s="1">
        <v>59</v>
      </c>
      <c r="L366" s="1" t="s">
        <v>14</v>
      </c>
    </row>
    <row r="367" spans="1:12" hidden="1" x14ac:dyDescent="0.25">
      <c r="A367" s="1" t="s">
        <v>23</v>
      </c>
      <c r="B367" s="1" t="s">
        <v>18</v>
      </c>
      <c r="C367" s="1">
        <v>2022</v>
      </c>
      <c r="D367" s="1">
        <v>58179</v>
      </c>
      <c r="E367" s="1">
        <v>10.7</v>
      </c>
      <c r="F367" s="1">
        <v>60</v>
      </c>
      <c r="G367" s="1">
        <v>58407393</v>
      </c>
      <c r="H367" s="1">
        <v>78</v>
      </c>
      <c r="I367" s="1">
        <v>14.7</v>
      </c>
      <c r="J367" s="1">
        <v>100</v>
      </c>
      <c r="K367" s="1">
        <v>67</v>
      </c>
      <c r="L367" s="1" t="s">
        <v>18</v>
      </c>
    </row>
    <row r="368" spans="1:12" hidden="1" x14ac:dyDescent="0.25">
      <c r="A368" s="1" t="s">
        <v>24</v>
      </c>
      <c r="B368" s="1" t="s">
        <v>16</v>
      </c>
      <c r="C368" s="1">
        <v>2020</v>
      </c>
      <c r="D368" s="1">
        <v>67212</v>
      </c>
      <c r="E368" s="1">
        <v>10.4</v>
      </c>
      <c r="F368" s="1">
        <v>81</v>
      </c>
      <c r="G368" s="1">
        <v>443057589</v>
      </c>
      <c r="H368" s="1">
        <v>52</v>
      </c>
      <c r="I368" s="1">
        <v>19.899999999999999</v>
      </c>
      <c r="J368" s="1">
        <v>78</v>
      </c>
      <c r="K368" s="1">
        <v>85</v>
      </c>
      <c r="L368" s="1" t="s">
        <v>16</v>
      </c>
    </row>
    <row r="369" spans="1:12" hidden="1" x14ac:dyDescent="0.25">
      <c r="A369" s="1" t="s">
        <v>25</v>
      </c>
      <c r="B369" s="1" t="s">
        <v>26</v>
      </c>
      <c r="C369" s="1">
        <v>2020</v>
      </c>
      <c r="D369" s="1">
        <v>28417</v>
      </c>
      <c r="E369" s="1">
        <v>13.3</v>
      </c>
      <c r="F369" s="1">
        <v>81</v>
      </c>
      <c r="G369" s="1">
        <v>207120040</v>
      </c>
      <c r="H369" s="1">
        <v>83</v>
      </c>
      <c r="I369" s="1">
        <v>15.7</v>
      </c>
      <c r="J369" s="1">
        <v>87</v>
      </c>
      <c r="K369" s="1">
        <v>83</v>
      </c>
      <c r="L369" s="1" t="s">
        <v>26</v>
      </c>
    </row>
    <row r="370" spans="1:12" hidden="1" x14ac:dyDescent="0.25">
      <c r="A370" s="1" t="s">
        <v>27</v>
      </c>
      <c r="B370" s="1" t="s">
        <v>22</v>
      </c>
      <c r="C370" s="1">
        <v>2022</v>
      </c>
      <c r="D370" s="1">
        <v>61755</v>
      </c>
      <c r="E370" s="1">
        <v>6.9</v>
      </c>
      <c r="F370" s="1">
        <v>60</v>
      </c>
      <c r="G370" s="1">
        <v>736063375</v>
      </c>
      <c r="H370" s="1">
        <v>91</v>
      </c>
      <c r="I370" s="1">
        <v>2.6</v>
      </c>
      <c r="J370" s="1">
        <v>81</v>
      </c>
      <c r="K370" s="1">
        <v>71</v>
      </c>
      <c r="L370" s="1" t="s">
        <v>14</v>
      </c>
    </row>
    <row r="371" spans="1:12" hidden="1" x14ac:dyDescent="0.25">
      <c r="A371" s="1" t="s">
        <v>28</v>
      </c>
      <c r="B371" s="1" t="s">
        <v>29</v>
      </c>
      <c r="C371" s="1">
        <v>2020</v>
      </c>
      <c r="D371" s="1">
        <v>52971</v>
      </c>
      <c r="E371" s="1">
        <v>5.0999999999999996</v>
      </c>
      <c r="F371" s="1">
        <v>73</v>
      </c>
      <c r="G371" s="1">
        <v>1361638540</v>
      </c>
      <c r="H371" s="1">
        <v>55</v>
      </c>
      <c r="I371" s="1">
        <v>17.7</v>
      </c>
      <c r="J371" s="1">
        <v>83</v>
      </c>
      <c r="K371" s="1">
        <v>60</v>
      </c>
      <c r="L371" s="1" t="s">
        <v>29</v>
      </c>
    </row>
    <row r="372" spans="1:12" x14ac:dyDescent="0.25">
      <c r="A372" s="1" t="s">
        <v>12</v>
      </c>
      <c r="B372" s="1" t="s">
        <v>13</v>
      </c>
      <c r="C372" s="1">
        <v>2022</v>
      </c>
      <c r="D372" s="1">
        <v>5352</v>
      </c>
      <c r="E372" s="1">
        <v>14.2</v>
      </c>
      <c r="F372" s="1">
        <v>67</v>
      </c>
      <c r="G372" s="1">
        <v>414625913</v>
      </c>
      <c r="H372" s="1">
        <v>61</v>
      </c>
      <c r="I372" s="1">
        <v>10.5</v>
      </c>
      <c r="J372" s="1">
        <v>82</v>
      </c>
      <c r="K372" s="1">
        <v>33</v>
      </c>
      <c r="L372" s="1" t="s">
        <v>14</v>
      </c>
    </row>
    <row r="373" spans="1:12" hidden="1" x14ac:dyDescent="0.25">
      <c r="A373" s="1" t="s">
        <v>15</v>
      </c>
      <c r="B373" s="1" t="s">
        <v>16</v>
      </c>
      <c r="C373" s="1">
        <v>2022</v>
      </c>
      <c r="D373" s="1">
        <v>23935</v>
      </c>
      <c r="E373" s="1">
        <v>10.5</v>
      </c>
      <c r="F373" s="1">
        <v>75</v>
      </c>
      <c r="G373" s="1">
        <v>461110423</v>
      </c>
      <c r="H373" s="1">
        <v>57</v>
      </c>
      <c r="I373" s="1">
        <v>9.6</v>
      </c>
      <c r="J373" s="1">
        <v>98</v>
      </c>
      <c r="K373" s="1">
        <v>39</v>
      </c>
      <c r="L373" s="1" t="s">
        <v>16</v>
      </c>
    </row>
    <row r="374" spans="1:12" hidden="1" x14ac:dyDescent="0.25">
      <c r="A374" s="1" t="s">
        <v>17</v>
      </c>
      <c r="B374" s="1" t="s">
        <v>18</v>
      </c>
      <c r="C374" s="1">
        <v>2022</v>
      </c>
      <c r="D374" s="1">
        <v>27508</v>
      </c>
      <c r="E374" s="1">
        <v>4.5999999999999996</v>
      </c>
      <c r="F374" s="1">
        <v>72</v>
      </c>
      <c r="G374" s="1">
        <v>725536174</v>
      </c>
      <c r="H374" s="1">
        <v>81</v>
      </c>
      <c r="I374" s="1">
        <v>3.5</v>
      </c>
      <c r="J374" s="1">
        <v>73</v>
      </c>
      <c r="K374" s="1">
        <v>65</v>
      </c>
      <c r="L374" s="1" t="s">
        <v>18</v>
      </c>
    </row>
    <row r="375" spans="1:12" hidden="1" x14ac:dyDescent="0.25">
      <c r="A375" s="1" t="s">
        <v>19</v>
      </c>
      <c r="B375" s="1" t="s">
        <v>20</v>
      </c>
      <c r="C375" s="1">
        <v>2021</v>
      </c>
      <c r="D375" s="1">
        <v>67905</v>
      </c>
      <c r="E375" s="1">
        <v>9.6</v>
      </c>
      <c r="F375" s="1">
        <v>78</v>
      </c>
      <c r="G375" s="1">
        <v>967550619</v>
      </c>
      <c r="H375" s="1">
        <v>88</v>
      </c>
      <c r="I375" s="1">
        <v>12.8</v>
      </c>
      <c r="J375" s="1">
        <v>93</v>
      </c>
      <c r="K375" s="1">
        <v>44</v>
      </c>
      <c r="L375" s="1" t="s">
        <v>20</v>
      </c>
    </row>
    <row r="376" spans="1:12" hidden="1" x14ac:dyDescent="0.25">
      <c r="A376" s="1" t="s">
        <v>21</v>
      </c>
      <c r="B376" s="1" t="s">
        <v>22</v>
      </c>
      <c r="C376" s="1">
        <v>2020</v>
      </c>
      <c r="D376" s="1">
        <v>13503</v>
      </c>
      <c r="E376" s="1">
        <v>4.7</v>
      </c>
      <c r="F376" s="1">
        <v>81</v>
      </c>
      <c r="G376" s="1">
        <v>236743613</v>
      </c>
      <c r="H376" s="1">
        <v>81</v>
      </c>
      <c r="I376" s="1">
        <v>20.2</v>
      </c>
      <c r="J376" s="1">
        <v>71</v>
      </c>
      <c r="K376" s="1">
        <v>71</v>
      </c>
      <c r="L376" s="1" t="s">
        <v>14</v>
      </c>
    </row>
    <row r="377" spans="1:12" hidden="1" x14ac:dyDescent="0.25">
      <c r="A377" s="1" t="s">
        <v>23</v>
      </c>
      <c r="B377" s="1" t="s">
        <v>18</v>
      </c>
      <c r="C377" s="1">
        <v>2020</v>
      </c>
      <c r="D377" s="1">
        <v>3780</v>
      </c>
      <c r="E377" s="1">
        <v>3</v>
      </c>
      <c r="F377" s="1">
        <v>78</v>
      </c>
      <c r="G377" s="1">
        <v>212496804</v>
      </c>
      <c r="H377" s="1">
        <v>75</v>
      </c>
      <c r="I377" s="1">
        <v>13.1</v>
      </c>
      <c r="J377" s="1">
        <v>77</v>
      </c>
      <c r="K377" s="1">
        <v>48</v>
      </c>
      <c r="L377" s="1" t="s">
        <v>18</v>
      </c>
    </row>
    <row r="378" spans="1:12" hidden="1" x14ac:dyDescent="0.25">
      <c r="A378" s="1" t="s">
        <v>24</v>
      </c>
      <c r="B378" s="1" t="s">
        <v>16</v>
      </c>
      <c r="C378" s="1">
        <v>2020</v>
      </c>
      <c r="D378" s="1">
        <v>6049</v>
      </c>
      <c r="E378" s="1">
        <v>14.3</v>
      </c>
      <c r="F378" s="1">
        <v>74</v>
      </c>
      <c r="G378" s="1">
        <v>61857679</v>
      </c>
      <c r="H378" s="1">
        <v>85</v>
      </c>
      <c r="I378" s="1">
        <v>23.1</v>
      </c>
      <c r="J378" s="1">
        <v>97</v>
      </c>
      <c r="K378" s="1">
        <v>37</v>
      </c>
      <c r="L378" s="1" t="s">
        <v>16</v>
      </c>
    </row>
    <row r="379" spans="1:12" hidden="1" x14ac:dyDescent="0.25">
      <c r="A379" s="1" t="s">
        <v>25</v>
      </c>
      <c r="B379" s="1" t="s">
        <v>26</v>
      </c>
      <c r="C379" s="1">
        <v>2022</v>
      </c>
      <c r="D379" s="1">
        <v>8851</v>
      </c>
      <c r="E379" s="1">
        <v>12</v>
      </c>
      <c r="F379" s="1">
        <v>78</v>
      </c>
      <c r="G379" s="1">
        <v>946720689</v>
      </c>
      <c r="H379" s="1">
        <v>92</v>
      </c>
      <c r="I379" s="1">
        <v>10.5</v>
      </c>
      <c r="J379" s="1">
        <v>91</v>
      </c>
      <c r="K379" s="1">
        <v>43</v>
      </c>
      <c r="L379" s="1" t="s">
        <v>26</v>
      </c>
    </row>
    <row r="380" spans="1:12" hidden="1" x14ac:dyDescent="0.25">
      <c r="A380" s="1" t="s">
        <v>27</v>
      </c>
      <c r="B380" s="1" t="s">
        <v>22</v>
      </c>
      <c r="C380" s="1">
        <v>2020</v>
      </c>
      <c r="D380" s="1">
        <v>14242</v>
      </c>
      <c r="E380" s="1">
        <v>5</v>
      </c>
      <c r="F380" s="1">
        <v>84</v>
      </c>
      <c r="G380" s="1">
        <v>1205376478</v>
      </c>
      <c r="H380" s="1">
        <v>81</v>
      </c>
      <c r="I380" s="1">
        <v>7.1</v>
      </c>
      <c r="J380" s="1">
        <v>87</v>
      </c>
      <c r="K380" s="1">
        <v>84</v>
      </c>
      <c r="L380" s="1" t="s">
        <v>14</v>
      </c>
    </row>
    <row r="381" spans="1:12" hidden="1" x14ac:dyDescent="0.25">
      <c r="A381" s="1" t="s">
        <v>28</v>
      </c>
      <c r="B381" s="1" t="s">
        <v>29</v>
      </c>
      <c r="C381" s="1">
        <v>2020</v>
      </c>
      <c r="D381" s="1">
        <v>19980</v>
      </c>
      <c r="E381" s="1">
        <v>3.4</v>
      </c>
      <c r="F381" s="1">
        <v>67</v>
      </c>
      <c r="G381" s="1">
        <v>392211162</v>
      </c>
      <c r="H381" s="1">
        <v>53</v>
      </c>
      <c r="I381" s="1">
        <v>17.5</v>
      </c>
      <c r="J381" s="1">
        <v>73</v>
      </c>
      <c r="K381" s="1">
        <v>88</v>
      </c>
      <c r="L381" s="1" t="s">
        <v>29</v>
      </c>
    </row>
    <row r="382" spans="1:12" hidden="1" x14ac:dyDescent="0.25">
      <c r="A382" s="1" t="s">
        <v>12</v>
      </c>
      <c r="B382" s="1" t="s">
        <v>13</v>
      </c>
      <c r="C382" s="1">
        <v>2020</v>
      </c>
      <c r="D382" s="1">
        <v>68223</v>
      </c>
      <c r="E382" s="1">
        <v>3.2</v>
      </c>
      <c r="F382" s="1">
        <v>72</v>
      </c>
      <c r="G382" s="1">
        <v>189284618</v>
      </c>
      <c r="H382" s="1">
        <v>58</v>
      </c>
      <c r="I382" s="1">
        <v>3.1</v>
      </c>
      <c r="J382" s="1">
        <v>82</v>
      </c>
      <c r="K382" s="1">
        <v>40</v>
      </c>
      <c r="L382" s="1" t="s">
        <v>14</v>
      </c>
    </row>
    <row r="383" spans="1:12" hidden="1" x14ac:dyDescent="0.25">
      <c r="A383" s="1" t="s">
        <v>15</v>
      </c>
      <c r="B383" s="1" t="s">
        <v>16</v>
      </c>
      <c r="C383" s="1">
        <v>2022</v>
      </c>
      <c r="D383" s="1">
        <v>65750</v>
      </c>
      <c r="E383" s="1">
        <v>13.4</v>
      </c>
      <c r="F383" s="1">
        <v>72</v>
      </c>
      <c r="G383" s="1">
        <v>705030364</v>
      </c>
      <c r="H383" s="1">
        <v>71</v>
      </c>
      <c r="I383" s="1">
        <v>9</v>
      </c>
      <c r="J383" s="1">
        <v>89</v>
      </c>
      <c r="K383" s="1">
        <v>46</v>
      </c>
      <c r="L383" s="1" t="s">
        <v>16</v>
      </c>
    </row>
    <row r="384" spans="1:12" hidden="1" x14ac:dyDescent="0.25">
      <c r="A384" s="1" t="s">
        <v>17</v>
      </c>
      <c r="B384" s="1" t="s">
        <v>18</v>
      </c>
      <c r="C384" s="1">
        <v>2020</v>
      </c>
      <c r="D384" s="1">
        <v>27111</v>
      </c>
      <c r="E384" s="1">
        <v>14.4</v>
      </c>
      <c r="F384" s="1">
        <v>82</v>
      </c>
      <c r="G384" s="1">
        <v>1059301565</v>
      </c>
      <c r="H384" s="1">
        <v>53</v>
      </c>
      <c r="I384" s="1">
        <v>5.0999999999999996</v>
      </c>
      <c r="J384" s="1">
        <v>97</v>
      </c>
      <c r="K384" s="1">
        <v>53</v>
      </c>
      <c r="L384" s="1" t="s">
        <v>18</v>
      </c>
    </row>
    <row r="385" spans="1:12" hidden="1" x14ac:dyDescent="0.25">
      <c r="A385" s="1" t="s">
        <v>19</v>
      </c>
      <c r="B385" s="1" t="s">
        <v>20</v>
      </c>
      <c r="C385" s="1">
        <v>2022</v>
      </c>
      <c r="D385" s="1">
        <v>8980</v>
      </c>
      <c r="E385" s="1">
        <v>13.3</v>
      </c>
      <c r="F385" s="1">
        <v>84</v>
      </c>
      <c r="G385" s="1">
        <v>324191940</v>
      </c>
      <c r="H385" s="1">
        <v>82</v>
      </c>
      <c r="I385" s="1">
        <v>11.5</v>
      </c>
      <c r="J385" s="1">
        <v>75</v>
      </c>
      <c r="K385" s="1">
        <v>83</v>
      </c>
      <c r="L385" s="1" t="s">
        <v>20</v>
      </c>
    </row>
    <row r="386" spans="1:12" hidden="1" x14ac:dyDescent="0.25">
      <c r="A386" s="1" t="s">
        <v>21</v>
      </c>
      <c r="B386" s="1" t="s">
        <v>22</v>
      </c>
      <c r="C386" s="1">
        <v>2020</v>
      </c>
      <c r="D386" s="1">
        <v>46639</v>
      </c>
      <c r="E386" s="1">
        <v>8.9</v>
      </c>
      <c r="F386" s="1">
        <v>84</v>
      </c>
      <c r="G386" s="1">
        <v>1499869837</v>
      </c>
      <c r="H386" s="1">
        <v>69</v>
      </c>
      <c r="I386" s="1">
        <v>21.1</v>
      </c>
      <c r="J386" s="1">
        <v>84</v>
      </c>
      <c r="K386" s="1">
        <v>47</v>
      </c>
      <c r="L386" s="1" t="s">
        <v>14</v>
      </c>
    </row>
    <row r="387" spans="1:12" hidden="1" x14ac:dyDescent="0.25">
      <c r="A387" s="1" t="s">
        <v>23</v>
      </c>
      <c r="B387" s="1" t="s">
        <v>18</v>
      </c>
      <c r="C387" s="1">
        <v>2021</v>
      </c>
      <c r="D387" s="1">
        <v>23918</v>
      </c>
      <c r="E387" s="1">
        <v>10</v>
      </c>
      <c r="F387" s="1">
        <v>74</v>
      </c>
      <c r="G387" s="1">
        <v>844049896</v>
      </c>
      <c r="H387" s="1">
        <v>76</v>
      </c>
      <c r="I387" s="1">
        <v>15.5</v>
      </c>
      <c r="J387" s="1">
        <v>93</v>
      </c>
      <c r="K387" s="1">
        <v>49</v>
      </c>
      <c r="L387" s="1" t="s">
        <v>18</v>
      </c>
    </row>
    <row r="388" spans="1:12" hidden="1" x14ac:dyDescent="0.25">
      <c r="A388" s="1" t="s">
        <v>24</v>
      </c>
      <c r="B388" s="1" t="s">
        <v>16</v>
      </c>
      <c r="C388" s="1">
        <v>2022</v>
      </c>
      <c r="D388" s="1">
        <v>59228</v>
      </c>
      <c r="E388" s="1">
        <v>8.8000000000000007</v>
      </c>
      <c r="F388" s="1">
        <v>66</v>
      </c>
      <c r="G388" s="1">
        <v>96035002</v>
      </c>
      <c r="H388" s="1">
        <v>76</v>
      </c>
      <c r="I388" s="1">
        <v>21.8</v>
      </c>
      <c r="J388" s="1">
        <v>89</v>
      </c>
      <c r="K388" s="1">
        <v>74</v>
      </c>
      <c r="L388" s="1" t="s">
        <v>16</v>
      </c>
    </row>
    <row r="389" spans="1:12" hidden="1" x14ac:dyDescent="0.25">
      <c r="A389" s="1" t="s">
        <v>25</v>
      </c>
      <c r="B389" s="1" t="s">
        <v>26</v>
      </c>
      <c r="C389" s="1">
        <v>2022</v>
      </c>
      <c r="D389" s="1">
        <v>28349</v>
      </c>
      <c r="E389" s="1">
        <v>7</v>
      </c>
      <c r="F389" s="1">
        <v>61</v>
      </c>
      <c r="G389" s="1">
        <v>421151082</v>
      </c>
      <c r="H389" s="1">
        <v>93</v>
      </c>
      <c r="I389" s="1">
        <v>19</v>
      </c>
      <c r="J389" s="1">
        <v>74</v>
      </c>
      <c r="K389" s="1">
        <v>47</v>
      </c>
      <c r="L389" s="1" t="s">
        <v>26</v>
      </c>
    </row>
    <row r="390" spans="1:12" hidden="1" x14ac:dyDescent="0.25">
      <c r="A390" s="1" t="s">
        <v>27</v>
      </c>
      <c r="B390" s="1" t="s">
        <v>22</v>
      </c>
      <c r="C390" s="1">
        <v>2022</v>
      </c>
      <c r="D390" s="1">
        <v>34011</v>
      </c>
      <c r="E390" s="1">
        <v>7.9</v>
      </c>
      <c r="F390" s="1">
        <v>63</v>
      </c>
      <c r="G390" s="1">
        <v>454896118</v>
      </c>
      <c r="H390" s="1">
        <v>59</v>
      </c>
      <c r="I390" s="1">
        <v>23.1</v>
      </c>
      <c r="J390" s="1">
        <v>79</v>
      </c>
      <c r="K390" s="1">
        <v>31</v>
      </c>
      <c r="L390" s="1" t="s">
        <v>14</v>
      </c>
    </row>
    <row r="391" spans="1:12" hidden="1" x14ac:dyDescent="0.25">
      <c r="A391" s="1" t="s">
        <v>28</v>
      </c>
      <c r="B391" s="1" t="s">
        <v>29</v>
      </c>
      <c r="C391" s="1">
        <v>2020</v>
      </c>
      <c r="D391" s="1">
        <v>19879</v>
      </c>
      <c r="E391" s="1">
        <v>10.5</v>
      </c>
      <c r="F391" s="1">
        <v>66</v>
      </c>
      <c r="G391" s="1">
        <v>876409362</v>
      </c>
      <c r="H391" s="1">
        <v>90</v>
      </c>
      <c r="I391" s="1">
        <v>23.3</v>
      </c>
      <c r="J391" s="1">
        <v>79</v>
      </c>
      <c r="K391" s="1">
        <v>70</v>
      </c>
      <c r="L391" s="1" t="s">
        <v>29</v>
      </c>
    </row>
    <row r="392" spans="1:12" hidden="1" x14ac:dyDescent="0.25">
      <c r="A392" s="1" t="s">
        <v>12</v>
      </c>
      <c r="B392" s="1" t="s">
        <v>13</v>
      </c>
      <c r="C392" s="1">
        <v>2020</v>
      </c>
      <c r="D392" s="1">
        <v>40859</v>
      </c>
      <c r="E392" s="1">
        <v>4.9000000000000004</v>
      </c>
      <c r="F392" s="1">
        <v>70</v>
      </c>
      <c r="G392" s="1">
        <v>1265409244</v>
      </c>
      <c r="H392" s="1">
        <v>69</v>
      </c>
      <c r="I392" s="1">
        <v>14.4</v>
      </c>
      <c r="J392" s="1">
        <v>86</v>
      </c>
      <c r="K392" s="1">
        <v>33</v>
      </c>
      <c r="L392" s="1" t="s">
        <v>14</v>
      </c>
    </row>
    <row r="393" spans="1:12" hidden="1" x14ac:dyDescent="0.25">
      <c r="A393" s="1" t="s">
        <v>15</v>
      </c>
      <c r="B393" s="1" t="s">
        <v>16</v>
      </c>
      <c r="C393" s="1">
        <v>2021</v>
      </c>
      <c r="D393" s="1">
        <v>3658</v>
      </c>
      <c r="E393" s="1">
        <v>16.2</v>
      </c>
      <c r="F393" s="1">
        <v>85</v>
      </c>
      <c r="G393" s="1">
        <v>1353066187</v>
      </c>
      <c r="H393" s="1">
        <v>80</v>
      </c>
      <c r="I393" s="1">
        <v>3.6</v>
      </c>
      <c r="J393" s="1">
        <v>84</v>
      </c>
      <c r="K393" s="1">
        <v>70</v>
      </c>
      <c r="L393" s="1" t="s">
        <v>16</v>
      </c>
    </row>
    <row r="394" spans="1:12" hidden="1" x14ac:dyDescent="0.25">
      <c r="A394" s="1" t="s">
        <v>17</v>
      </c>
      <c r="B394" s="1" t="s">
        <v>18</v>
      </c>
      <c r="C394" s="1">
        <v>2021</v>
      </c>
      <c r="D394" s="1">
        <v>28472</v>
      </c>
      <c r="E394" s="1">
        <v>9.1</v>
      </c>
      <c r="F394" s="1">
        <v>80</v>
      </c>
      <c r="G394" s="1">
        <v>1068064073</v>
      </c>
      <c r="H394" s="1">
        <v>59</v>
      </c>
      <c r="I394" s="1">
        <v>12.8</v>
      </c>
      <c r="J394" s="1">
        <v>71</v>
      </c>
      <c r="K394" s="1">
        <v>86</v>
      </c>
      <c r="L394" s="1" t="s">
        <v>18</v>
      </c>
    </row>
    <row r="395" spans="1:12" hidden="1" x14ac:dyDescent="0.25">
      <c r="A395" s="1" t="s">
        <v>19</v>
      </c>
      <c r="B395" s="1" t="s">
        <v>20</v>
      </c>
      <c r="C395" s="1">
        <v>2022</v>
      </c>
      <c r="D395" s="1">
        <v>57516</v>
      </c>
      <c r="E395" s="1">
        <v>13.8</v>
      </c>
      <c r="F395" s="1">
        <v>76</v>
      </c>
      <c r="G395" s="1">
        <v>536204215</v>
      </c>
      <c r="H395" s="1">
        <v>75</v>
      </c>
      <c r="I395" s="1">
        <v>24.3</v>
      </c>
      <c r="J395" s="1">
        <v>75</v>
      </c>
      <c r="K395" s="1">
        <v>47</v>
      </c>
      <c r="L395" s="1" t="s">
        <v>20</v>
      </c>
    </row>
    <row r="396" spans="1:12" hidden="1" x14ac:dyDescent="0.25">
      <c r="A396" s="1" t="s">
        <v>21</v>
      </c>
      <c r="B396" s="1" t="s">
        <v>22</v>
      </c>
      <c r="C396" s="1">
        <v>2020</v>
      </c>
      <c r="D396" s="1">
        <v>2363</v>
      </c>
      <c r="E396" s="1">
        <v>6</v>
      </c>
      <c r="F396" s="1">
        <v>79</v>
      </c>
      <c r="G396" s="1">
        <v>680837925</v>
      </c>
      <c r="H396" s="1">
        <v>65</v>
      </c>
      <c r="I396" s="1">
        <v>21.8</v>
      </c>
      <c r="J396" s="1">
        <v>100</v>
      </c>
      <c r="K396" s="1">
        <v>90</v>
      </c>
      <c r="L396" s="1" t="s">
        <v>14</v>
      </c>
    </row>
    <row r="397" spans="1:12" hidden="1" x14ac:dyDescent="0.25">
      <c r="A397" s="1" t="s">
        <v>23</v>
      </c>
      <c r="B397" s="1" t="s">
        <v>18</v>
      </c>
      <c r="C397" s="1">
        <v>2020</v>
      </c>
      <c r="D397" s="1">
        <v>7995</v>
      </c>
      <c r="E397" s="1">
        <v>15</v>
      </c>
      <c r="F397" s="1">
        <v>76</v>
      </c>
      <c r="G397" s="1">
        <v>45891353</v>
      </c>
      <c r="H397" s="1">
        <v>89</v>
      </c>
      <c r="I397" s="1">
        <v>3.1</v>
      </c>
      <c r="J397" s="1">
        <v>72</v>
      </c>
      <c r="K397" s="1">
        <v>81</v>
      </c>
      <c r="L397" s="1" t="s">
        <v>18</v>
      </c>
    </row>
    <row r="398" spans="1:12" hidden="1" x14ac:dyDescent="0.25">
      <c r="A398" s="1" t="s">
        <v>24</v>
      </c>
      <c r="B398" s="1" t="s">
        <v>16</v>
      </c>
      <c r="C398" s="1">
        <v>2022</v>
      </c>
      <c r="D398" s="1">
        <v>16460</v>
      </c>
      <c r="E398" s="1">
        <v>11.6</v>
      </c>
      <c r="F398" s="1">
        <v>62</v>
      </c>
      <c r="G398" s="1">
        <v>944538253</v>
      </c>
      <c r="H398" s="1">
        <v>63</v>
      </c>
      <c r="I398" s="1">
        <v>10.6</v>
      </c>
      <c r="J398" s="1">
        <v>93</v>
      </c>
      <c r="K398" s="1">
        <v>56</v>
      </c>
      <c r="L398" s="1" t="s">
        <v>16</v>
      </c>
    </row>
    <row r="399" spans="1:12" hidden="1" x14ac:dyDescent="0.25">
      <c r="A399" s="1" t="s">
        <v>25</v>
      </c>
      <c r="B399" s="1" t="s">
        <v>26</v>
      </c>
      <c r="C399" s="1">
        <v>2020</v>
      </c>
      <c r="D399" s="1">
        <v>50989</v>
      </c>
      <c r="E399" s="1">
        <v>7.2</v>
      </c>
      <c r="F399" s="1">
        <v>74</v>
      </c>
      <c r="G399" s="1">
        <v>1444144732</v>
      </c>
      <c r="H399" s="1">
        <v>54</v>
      </c>
      <c r="I399" s="1">
        <v>18.2</v>
      </c>
      <c r="J399" s="1">
        <v>83</v>
      </c>
      <c r="K399" s="1">
        <v>35</v>
      </c>
      <c r="L399" s="1" t="s">
        <v>26</v>
      </c>
    </row>
    <row r="400" spans="1:12" hidden="1" x14ac:dyDescent="0.25">
      <c r="A400" s="1" t="s">
        <v>27</v>
      </c>
      <c r="B400" s="1" t="s">
        <v>22</v>
      </c>
      <c r="C400" s="1">
        <v>2021</v>
      </c>
      <c r="D400" s="1">
        <v>46887</v>
      </c>
      <c r="E400" s="1">
        <v>16.8</v>
      </c>
      <c r="F400" s="1">
        <v>72</v>
      </c>
      <c r="G400" s="1">
        <v>983193431</v>
      </c>
      <c r="H400" s="1">
        <v>58</v>
      </c>
      <c r="I400" s="1">
        <v>6</v>
      </c>
      <c r="J400" s="1">
        <v>79</v>
      </c>
      <c r="K400" s="1">
        <v>44</v>
      </c>
      <c r="L400" s="1" t="s">
        <v>14</v>
      </c>
    </row>
    <row r="401" spans="1:12" hidden="1" x14ac:dyDescent="0.25">
      <c r="A401" s="1" t="s">
        <v>28</v>
      </c>
      <c r="B401" s="1" t="s">
        <v>29</v>
      </c>
      <c r="C401" s="1">
        <v>2021</v>
      </c>
      <c r="D401" s="1">
        <v>42307</v>
      </c>
      <c r="E401" s="1">
        <v>7.7</v>
      </c>
      <c r="F401" s="1">
        <v>71</v>
      </c>
      <c r="G401" s="1">
        <v>2676624</v>
      </c>
      <c r="H401" s="1">
        <v>92</v>
      </c>
      <c r="I401" s="1">
        <v>17.2</v>
      </c>
      <c r="J401" s="1">
        <v>97</v>
      </c>
      <c r="K401" s="1">
        <v>89</v>
      </c>
      <c r="L401" s="1" t="s">
        <v>29</v>
      </c>
    </row>
    <row r="402" spans="1:12" hidden="1" x14ac:dyDescent="0.25">
      <c r="A402" s="1" t="s">
        <v>12</v>
      </c>
      <c r="B402" s="1" t="s">
        <v>13</v>
      </c>
      <c r="C402" s="1">
        <v>2021</v>
      </c>
      <c r="D402" s="1">
        <v>46124</v>
      </c>
      <c r="E402" s="1">
        <v>11.2</v>
      </c>
      <c r="F402" s="1">
        <v>78</v>
      </c>
      <c r="G402" s="1">
        <v>774704291</v>
      </c>
      <c r="H402" s="1">
        <v>51</v>
      </c>
      <c r="I402" s="1">
        <v>11.2</v>
      </c>
      <c r="J402" s="1">
        <v>88</v>
      </c>
      <c r="K402" s="1">
        <v>69</v>
      </c>
      <c r="L402" s="1" t="s">
        <v>14</v>
      </c>
    </row>
    <row r="403" spans="1:12" hidden="1" x14ac:dyDescent="0.25">
      <c r="A403" s="1" t="s">
        <v>15</v>
      </c>
      <c r="B403" s="1" t="s">
        <v>16</v>
      </c>
      <c r="C403" s="1">
        <v>2020</v>
      </c>
      <c r="D403" s="1">
        <v>66404</v>
      </c>
      <c r="E403" s="1">
        <v>13.5</v>
      </c>
      <c r="F403" s="1">
        <v>75</v>
      </c>
      <c r="G403" s="1">
        <v>425886178</v>
      </c>
      <c r="H403" s="1">
        <v>64</v>
      </c>
      <c r="I403" s="1">
        <v>15.6</v>
      </c>
      <c r="J403" s="1">
        <v>79</v>
      </c>
      <c r="K403" s="1">
        <v>74</v>
      </c>
      <c r="L403" s="1" t="s">
        <v>16</v>
      </c>
    </row>
    <row r="404" spans="1:12" hidden="1" x14ac:dyDescent="0.25">
      <c r="A404" s="1" t="s">
        <v>17</v>
      </c>
      <c r="B404" s="1" t="s">
        <v>18</v>
      </c>
      <c r="C404" s="1">
        <v>2020</v>
      </c>
      <c r="D404" s="1">
        <v>67637</v>
      </c>
      <c r="E404" s="1">
        <v>9.8000000000000007</v>
      </c>
      <c r="F404" s="1">
        <v>82</v>
      </c>
      <c r="G404" s="1">
        <v>1122339088</v>
      </c>
      <c r="H404" s="1">
        <v>52</v>
      </c>
      <c r="I404" s="1">
        <v>23.4</v>
      </c>
      <c r="J404" s="1">
        <v>85</v>
      </c>
      <c r="K404" s="1">
        <v>86</v>
      </c>
      <c r="L404" s="1" t="s">
        <v>18</v>
      </c>
    </row>
    <row r="405" spans="1:12" hidden="1" x14ac:dyDescent="0.25">
      <c r="A405" s="1" t="s">
        <v>19</v>
      </c>
      <c r="B405" s="1" t="s">
        <v>20</v>
      </c>
      <c r="C405" s="1">
        <v>2020</v>
      </c>
      <c r="D405" s="1">
        <v>55986</v>
      </c>
      <c r="E405" s="1">
        <v>15</v>
      </c>
      <c r="F405" s="1">
        <v>73</v>
      </c>
      <c r="G405" s="1">
        <v>628325803</v>
      </c>
      <c r="H405" s="1">
        <v>66</v>
      </c>
      <c r="I405" s="1">
        <v>8.1999999999999993</v>
      </c>
      <c r="J405" s="1">
        <v>85</v>
      </c>
      <c r="K405" s="1">
        <v>46</v>
      </c>
      <c r="L405" s="1" t="s">
        <v>20</v>
      </c>
    </row>
    <row r="406" spans="1:12" hidden="1" x14ac:dyDescent="0.25">
      <c r="A406" s="1" t="s">
        <v>21</v>
      </c>
      <c r="B406" s="1" t="s">
        <v>22</v>
      </c>
      <c r="C406" s="1">
        <v>2021</v>
      </c>
      <c r="D406" s="1">
        <v>39651</v>
      </c>
      <c r="E406" s="1">
        <v>3.1</v>
      </c>
      <c r="F406" s="1">
        <v>64</v>
      </c>
      <c r="G406" s="1">
        <v>166171553</v>
      </c>
      <c r="H406" s="1">
        <v>53</v>
      </c>
      <c r="I406" s="1">
        <v>23.5</v>
      </c>
      <c r="J406" s="1">
        <v>74</v>
      </c>
      <c r="K406" s="1">
        <v>37</v>
      </c>
      <c r="L406" s="1" t="s">
        <v>14</v>
      </c>
    </row>
    <row r="407" spans="1:12" hidden="1" x14ac:dyDescent="0.25">
      <c r="A407" s="1" t="s">
        <v>23</v>
      </c>
      <c r="B407" s="1" t="s">
        <v>18</v>
      </c>
      <c r="C407" s="1">
        <v>2021</v>
      </c>
      <c r="D407" s="1">
        <v>2362</v>
      </c>
      <c r="E407" s="1">
        <v>8.8000000000000007</v>
      </c>
      <c r="F407" s="1">
        <v>63</v>
      </c>
      <c r="G407" s="1">
        <v>937189115</v>
      </c>
      <c r="H407" s="1">
        <v>85</v>
      </c>
      <c r="I407" s="1">
        <v>20.100000000000001</v>
      </c>
      <c r="J407" s="1">
        <v>95</v>
      </c>
      <c r="K407" s="1">
        <v>62</v>
      </c>
      <c r="L407" s="1" t="s">
        <v>18</v>
      </c>
    </row>
    <row r="408" spans="1:12" hidden="1" x14ac:dyDescent="0.25">
      <c r="A408" s="1" t="s">
        <v>24</v>
      </c>
      <c r="B408" s="1" t="s">
        <v>16</v>
      </c>
      <c r="C408" s="1">
        <v>2021</v>
      </c>
      <c r="D408" s="1">
        <v>42932</v>
      </c>
      <c r="E408" s="1">
        <v>13.2</v>
      </c>
      <c r="F408" s="1">
        <v>84</v>
      </c>
      <c r="G408" s="1">
        <v>1362571651</v>
      </c>
      <c r="H408" s="1">
        <v>78</v>
      </c>
      <c r="I408" s="1">
        <v>8.4</v>
      </c>
      <c r="J408" s="1">
        <v>76</v>
      </c>
      <c r="K408" s="1">
        <v>69</v>
      </c>
      <c r="L408" s="1" t="s">
        <v>16</v>
      </c>
    </row>
    <row r="409" spans="1:12" hidden="1" x14ac:dyDescent="0.25">
      <c r="A409" s="1" t="s">
        <v>25</v>
      </c>
      <c r="B409" s="1" t="s">
        <v>26</v>
      </c>
      <c r="C409" s="1">
        <v>2021</v>
      </c>
      <c r="D409" s="1">
        <v>16882</v>
      </c>
      <c r="E409" s="1">
        <v>3.3</v>
      </c>
      <c r="F409" s="1">
        <v>66</v>
      </c>
      <c r="G409" s="1">
        <v>11015019</v>
      </c>
      <c r="H409" s="1">
        <v>68</v>
      </c>
      <c r="I409" s="1">
        <v>11</v>
      </c>
      <c r="J409" s="1">
        <v>100</v>
      </c>
      <c r="K409" s="1">
        <v>52</v>
      </c>
      <c r="L409" s="1" t="s">
        <v>26</v>
      </c>
    </row>
    <row r="410" spans="1:12" hidden="1" x14ac:dyDescent="0.25">
      <c r="A410" s="1" t="s">
        <v>27</v>
      </c>
      <c r="B410" s="1" t="s">
        <v>22</v>
      </c>
      <c r="C410" s="1">
        <v>2021</v>
      </c>
      <c r="D410" s="1">
        <v>2094</v>
      </c>
      <c r="E410" s="1">
        <v>13.3</v>
      </c>
      <c r="F410" s="1">
        <v>82</v>
      </c>
      <c r="G410" s="1">
        <v>516523945</v>
      </c>
      <c r="H410" s="1">
        <v>89</v>
      </c>
      <c r="I410" s="1">
        <v>20.8</v>
      </c>
      <c r="J410" s="1">
        <v>81</v>
      </c>
      <c r="K410" s="1">
        <v>74</v>
      </c>
      <c r="L410" s="1" t="s">
        <v>14</v>
      </c>
    </row>
    <row r="411" spans="1:12" hidden="1" x14ac:dyDescent="0.25">
      <c r="A411" s="1" t="s">
        <v>28</v>
      </c>
      <c r="B411" s="1" t="s">
        <v>29</v>
      </c>
      <c r="C411" s="1">
        <v>2021</v>
      </c>
      <c r="D411" s="1">
        <v>22724</v>
      </c>
      <c r="E411" s="1">
        <v>8.1999999999999993</v>
      </c>
      <c r="F411" s="1">
        <v>79</v>
      </c>
      <c r="G411" s="1">
        <v>1382133853</v>
      </c>
      <c r="H411" s="1">
        <v>51</v>
      </c>
      <c r="I411" s="1">
        <v>13.3</v>
      </c>
      <c r="J411" s="1">
        <v>88</v>
      </c>
      <c r="K411" s="1">
        <v>38</v>
      </c>
      <c r="L411" s="1" t="s">
        <v>29</v>
      </c>
    </row>
    <row r="412" spans="1:12" hidden="1" x14ac:dyDescent="0.25">
      <c r="A412" s="1" t="s">
        <v>12</v>
      </c>
      <c r="B412" s="1" t="s">
        <v>13</v>
      </c>
      <c r="C412" s="1">
        <v>2020</v>
      </c>
      <c r="D412" s="1">
        <v>40243</v>
      </c>
      <c r="E412" s="1">
        <v>9</v>
      </c>
      <c r="F412" s="1">
        <v>66</v>
      </c>
      <c r="G412" s="1">
        <v>1434235431</v>
      </c>
      <c r="H412" s="1">
        <v>76</v>
      </c>
      <c r="I412" s="1">
        <v>15.8</v>
      </c>
      <c r="J412" s="1">
        <v>72</v>
      </c>
      <c r="K412" s="1">
        <v>53</v>
      </c>
      <c r="L412" s="1" t="s">
        <v>14</v>
      </c>
    </row>
    <row r="413" spans="1:12" hidden="1" x14ac:dyDescent="0.25">
      <c r="A413" s="1" t="s">
        <v>15</v>
      </c>
      <c r="B413" s="1" t="s">
        <v>16</v>
      </c>
      <c r="C413" s="1">
        <v>2021</v>
      </c>
      <c r="D413" s="1">
        <v>27636</v>
      </c>
      <c r="E413" s="1">
        <v>16.100000000000001</v>
      </c>
      <c r="F413" s="1">
        <v>65</v>
      </c>
      <c r="G413" s="1">
        <v>1405324045</v>
      </c>
      <c r="H413" s="1">
        <v>55</v>
      </c>
      <c r="I413" s="1">
        <v>2.4</v>
      </c>
      <c r="J413" s="1">
        <v>84</v>
      </c>
      <c r="K413" s="1">
        <v>69</v>
      </c>
      <c r="L413" s="1" t="s">
        <v>16</v>
      </c>
    </row>
    <row r="414" spans="1:12" hidden="1" x14ac:dyDescent="0.25">
      <c r="A414" s="1" t="s">
        <v>17</v>
      </c>
      <c r="B414" s="1" t="s">
        <v>18</v>
      </c>
      <c r="C414" s="1">
        <v>2021</v>
      </c>
      <c r="D414" s="1">
        <v>49245</v>
      </c>
      <c r="E414" s="1">
        <v>3.6</v>
      </c>
      <c r="F414" s="1">
        <v>72</v>
      </c>
      <c r="G414" s="1">
        <v>937058998</v>
      </c>
      <c r="H414" s="1">
        <v>72</v>
      </c>
      <c r="I414" s="1">
        <v>9.8000000000000007</v>
      </c>
      <c r="J414" s="1">
        <v>88</v>
      </c>
      <c r="K414" s="1">
        <v>36</v>
      </c>
      <c r="L414" s="1" t="s">
        <v>18</v>
      </c>
    </row>
    <row r="415" spans="1:12" hidden="1" x14ac:dyDescent="0.25">
      <c r="A415" s="1" t="s">
        <v>19</v>
      </c>
      <c r="B415" s="1" t="s">
        <v>20</v>
      </c>
      <c r="C415" s="1">
        <v>2021</v>
      </c>
      <c r="D415" s="1">
        <v>22576</v>
      </c>
      <c r="E415" s="1">
        <v>4.2</v>
      </c>
      <c r="F415" s="1">
        <v>78</v>
      </c>
      <c r="G415" s="1">
        <v>451150046</v>
      </c>
      <c r="H415" s="1">
        <v>56</v>
      </c>
      <c r="I415" s="1">
        <v>23.9</v>
      </c>
      <c r="J415" s="1">
        <v>86</v>
      </c>
      <c r="K415" s="1">
        <v>83</v>
      </c>
      <c r="L415" s="1" t="s">
        <v>20</v>
      </c>
    </row>
    <row r="416" spans="1:12" hidden="1" x14ac:dyDescent="0.25">
      <c r="A416" s="1" t="s">
        <v>21</v>
      </c>
      <c r="B416" s="1" t="s">
        <v>22</v>
      </c>
      <c r="C416" s="1">
        <v>2022</v>
      </c>
      <c r="D416" s="1">
        <v>51451</v>
      </c>
      <c r="E416" s="1">
        <v>16.7</v>
      </c>
      <c r="F416" s="1">
        <v>60</v>
      </c>
      <c r="G416" s="1">
        <v>936673231</v>
      </c>
      <c r="H416" s="1">
        <v>67</v>
      </c>
      <c r="I416" s="1">
        <v>18</v>
      </c>
      <c r="J416" s="1">
        <v>73</v>
      </c>
      <c r="K416" s="1">
        <v>56</v>
      </c>
      <c r="L416" s="1" t="s">
        <v>14</v>
      </c>
    </row>
    <row r="417" spans="1:12" hidden="1" x14ac:dyDescent="0.25">
      <c r="A417" s="1" t="s">
        <v>23</v>
      </c>
      <c r="B417" s="1" t="s">
        <v>18</v>
      </c>
      <c r="C417" s="1">
        <v>2022</v>
      </c>
      <c r="D417" s="1">
        <v>61512</v>
      </c>
      <c r="E417" s="1">
        <v>16.8</v>
      </c>
      <c r="F417" s="1">
        <v>61</v>
      </c>
      <c r="G417" s="1">
        <v>1155578411</v>
      </c>
      <c r="H417" s="1">
        <v>66</v>
      </c>
      <c r="I417" s="1">
        <v>5.7</v>
      </c>
      <c r="J417" s="1">
        <v>72</v>
      </c>
      <c r="K417" s="1">
        <v>41</v>
      </c>
      <c r="L417" s="1" t="s">
        <v>18</v>
      </c>
    </row>
    <row r="418" spans="1:12" hidden="1" x14ac:dyDescent="0.25">
      <c r="A418" s="1" t="s">
        <v>24</v>
      </c>
      <c r="B418" s="1" t="s">
        <v>16</v>
      </c>
      <c r="C418" s="1">
        <v>2020</v>
      </c>
      <c r="D418" s="1">
        <v>31218</v>
      </c>
      <c r="E418" s="1">
        <v>4.0999999999999996</v>
      </c>
      <c r="F418" s="1">
        <v>81</v>
      </c>
      <c r="G418" s="1">
        <v>1419675965</v>
      </c>
      <c r="H418" s="1">
        <v>54</v>
      </c>
      <c r="I418" s="1">
        <v>9.1</v>
      </c>
      <c r="J418" s="1">
        <v>73</v>
      </c>
      <c r="K418" s="1">
        <v>66</v>
      </c>
      <c r="L418" s="1" t="s">
        <v>16</v>
      </c>
    </row>
    <row r="419" spans="1:12" hidden="1" x14ac:dyDescent="0.25">
      <c r="A419" s="1" t="s">
        <v>25</v>
      </c>
      <c r="B419" s="1" t="s">
        <v>26</v>
      </c>
      <c r="C419" s="1">
        <v>2022</v>
      </c>
      <c r="D419" s="1">
        <v>8861</v>
      </c>
      <c r="E419" s="1">
        <v>15.2</v>
      </c>
      <c r="F419" s="1">
        <v>72</v>
      </c>
      <c r="G419" s="1">
        <v>936153328</v>
      </c>
      <c r="H419" s="1">
        <v>53</v>
      </c>
      <c r="I419" s="1">
        <v>7</v>
      </c>
      <c r="J419" s="1">
        <v>75</v>
      </c>
      <c r="K419" s="1">
        <v>62</v>
      </c>
      <c r="L419" s="1" t="s">
        <v>26</v>
      </c>
    </row>
    <row r="420" spans="1:12" hidden="1" x14ac:dyDescent="0.25">
      <c r="A420" s="1" t="s">
        <v>27</v>
      </c>
      <c r="B420" s="1" t="s">
        <v>22</v>
      </c>
      <c r="C420" s="1">
        <v>2020</v>
      </c>
      <c r="D420" s="1">
        <v>30208</v>
      </c>
      <c r="E420" s="1">
        <v>16.100000000000001</v>
      </c>
      <c r="F420" s="1">
        <v>61</v>
      </c>
      <c r="G420" s="1">
        <v>418676513</v>
      </c>
      <c r="H420" s="1">
        <v>71</v>
      </c>
      <c r="I420" s="1">
        <v>5</v>
      </c>
      <c r="J420" s="1">
        <v>87</v>
      </c>
      <c r="K420" s="1">
        <v>46</v>
      </c>
      <c r="L420" s="1" t="s">
        <v>14</v>
      </c>
    </row>
    <row r="421" spans="1:12" hidden="1" x14ac:dyDescent="0.25">
      <c r="A421" s="1" t="s">
        <v>28</v>
      </c>
      <c r="B421" s="1" t="s">
        <v>29</v>
      </c>
      <c r="C421" s="1">
        <v>2020</v>
      </c>
      <c r="D421" s="1">
        <v>2872</v>
      </c>
      <c r="E421" s="1">
        <v>11.4</v>
      </c>
      <c r="F421" s="1">
        <v>75</v>
      </c>
      <c r="G421" s="1">
        <v>573038213</v>
      </c>
      <c r="H421" s="1">
        <v>81</v>
      </c>
      <c r="I421" s="1">
        <v>24.7</v>
      </c>
      <c r="J421" s="1">
        <v>78</v>
      </c>
      <c r="K421" s="1">
        <v>41</v>
      </c>
      <c r="L421" s="1" t="s">
        <v>29</v>
      </c>
    </row>
    <row r="422" spans="1:12" x14ac:dyDescent="0.25">
      <c r="A422" s="1" t="s">
        <v>12</v>
      </c>
      <c r="B422" s="1" t="s">
        <v>13</v>
      </c>
      <c r="C422" s="1">
        <v>2022</v>
      </c>
      <c r="D422" s="1">
        <v>57086</v>
      </c>
      <c r="E422" s="1">
        <v>3.7</v>
      </c>
      <c r="F422" s="1">
        <v>70</v>
      </c>
      <c r="G422" s="1">
        <v>407781416</v>
      </c>
      <c r="H422" s="1">
        <v>86</v>
      </c>
      <c r="I422" s="1">
        <v>12.4</v>
      </c>
      <c r="J422" s="1">
        <v>80</v>
      </c>
      <c r="K422" s="1">
        <v>67</v>
      </c>
      <c r="L422" s="1" t="s">
        <v>14</v>
      </c>
    </row>
    <row r="423" spans="1:12" hidden="1" x14ac:dyDescent="0.25">
      <c r="A423" s="1" t="s">
        <v>15</v>
      </c>
      <c r="B423" s="1" t="s">
        <v>16</v>
      </c>
      <c r="C423" s="1">
        <v>2020</v>
      </c>
      <c r="D423" s="1">
        <v>48486</v>
      </c>
      <c r="E423" s="1">
        <v>5</v>
      </c>
      <c r="F423" s="1">
        <v>62</v>
      </c>
      <c r="G423" s="1">
        <v>963163747</v>
      </c>
      <c r="H423" s="1">
        <v>50</v>
      </c>
      <c r="I423" s="1">
        <v>6.8</v>
      </c>
      <c r="J423" s="1">
        <v>86</v>
      </c>
      <c r="K423" s="1">
        <v>85</v>
      </c>
      <c r="L423" s="1" t="s">
        <v>16</v>
      </c>
    </row>
    <row r="424" spans="1:12" hidden="1" x14ac:dyDescent="0.25">
      <c r="A424" s="1" t="s">
        <v>17</v>
      </c>
      <c r="B424" s="1" t="s">
        <v>18</v>
      </c>
      <c r="C424" s="1">
        <v>2020</v>
      </c>
      <c r="D424" s="1">
        <v>34752</v>
      </c>
      <c r="E424" s="1">
        <v>4.2</v>
      </c>
      <c r="F424" s="1">
        <v>73</v>
      </c>
      <c r="G424" s="1">
        <v>325689953</v>
      </c>
      <c r="H424" s="1">
        <v>61</v>
      </c>
      <c r="I424" s="1">
        <v>8.5</v>
      </c>
      <c r="J424" s="1">
        <v>73</v>
      </c>
      <c r="K424" s="1">
        <v>72</v>
      </c>
      <c r="L424" s="1" t="s">
        <v>18</v>
      </c>
    </row>
    <row r="425" spans="1:12" hidden="1" x14ac:dyDescent="0.25">
      <c r="A425" s="1" t="s">
        <v>19</v>
      </c>
      <c r="B425" s="1" t="s">
        <v>20</v>
      </c>
      <c r="C425" s="1">
        <v>2022</v>
      </c>
      <c r="D425" s="1">
        <v>5813</v>
      </c>
      <c r="E425" s="1">
        <v>8.6999999999999993</v>
      </c>
      <c r="F425" s="1">
        <v>79</v>
      </c>
      <c r="G425" s="1">
        <v>1139531638</v>
      </c>
      <c r="H425" s="1">
        <v>64</v>
      </c>
      <c r="I425" s="1">
        <v>14.2</v>
      </c>
      <c r="J425" s="1">
        <v>92</v>
      </c>
      <c r="K425" s="1">
        <v>74</v>
      </c>
      <c r="L425" s="1" t="s">
        <v>20</v>
      </c>
    </row>
    <row r="426" spans="1:12" hidden="1" x14ac:dyDescent="0.25">
      <c r="A426" s="1" t="s">
        <v>21</v>
      </c>
      <c r="B426" s="1" t="s">
        <v>22</v>
      </c>
      <c r="C426" s="1">
        <v>2021</v>
      </c>
      <c r="D426" s="1">
        <v>9162</v>
      </c>
      <c r="E426" s="1">
        <v>8.9</v>
      </c>
      <c r="F426" s="1">
        <v>83</v>
      </c>
      <c r="G426" s="1">
        <v>1299199653</v>
      </c>
      <c r="H426" s="1">
        <v>54</v>
      </c>
      <c r="I426" s="1">
        <v>20.3</v>
      </c>
      <c r="J426" s="1">
        <v>97</v>
      </c>
      <c r="K426" s="1">
        <v>79</v>
      </c>
      <c r="L426" s="1" t="s">
        <v>14</v>
      </c>
    </row>
    <row r="427" spans="1:12" hidden="1" x14ac:dyDescent="0.25">
      <c r="A427" s="1" t="s">
        <v>23</v>
      </c>
      <c r="B427" s="1" t="s">
        <v>18</v>
      </c>
      <c r="C427" s="1">
        <v>2021</v>
      </c>
      <c r="D427" s="1">
        <v>3412</v>
      </c>
      <c r="E427" s="1">
        <v>3.1</v>
      </c>
      <c r="F427" s="1">
        <v>73</v>
      </c>
      <c r="G427" s="1">
        <v>512589141</v>
      </c>
      <c r="H427" s="1">
        <v>55</v>
      </c>
      <c r="I427" s="1">
        <v>5.2</v>
      </c>
      <c r="J427" s="1">
        <v>87</v>
      </c>
      <c r="K427" s="1">
        <v>76</v>
      </c>
      <c r="L427" s="1" t="s">
        <v>18</v>
      </c>
    </row>
    <row r="428" spans="1:12" hidden="1" x14ac:dyDescent="0.25">
      <c r="A428" s="1" t="s">
        <v>24</v>
      </c>
      <c r="B428" s="1" t="s">
        <v>16</v>
      </c>
      <c r="C428" s="1">
        <v>2020</v>
      </c>
      <c r="D428" s="1">
        <v>69497</v>
      </c>
      <c r="E428" s="1">
        <v>10.6</v>
      </c>
      <c r="F428" s="1">
        <v>61</v>
      </c>
      <c r="G428" s="1">
        <v>709057763</v>
      </c>
      <c r="H428" s="1">
        <v>68</v>
      </c>
      <c r="I428" s="1">
        <v>6.7</v>
      </c>
      <c r="J428" s="1">
        <v>89</v>
      </c>
      <c r="K428" s="1">
        <v>36</v>
      </c>
      <c r="L428" s="1" t="s">
        <v>16</v>
      </c>
    </row>
    <row r="429" spans="1:12" hidden="1" x14ac:dyDescent="0.25">
      <c r="A429" s="1" t="s">
        <v>25</v>
      </c>
      <c r="B429" s="1" t="s">
        <v>26</v>
      </c>
      <c r="C429" s="1">
        <v>2022</v>
      </c>
      <c r="D429" s="1">
        <v>45330</v>
      </c>
      <c r="E429" s="1">
        <v>7.9</v>
      </c>
      <c r="F429" s="1">
        <v>80</v>
      </c>
      <c r="G429" s="1">
        <v>1071613692</v>
      </c>
      <c r="H429" s="1">
        <v>91</v>
      </c>
      <c r="I429" s="1">
        <v>24.3</v>
      </c>
      <c r="J429" s="1">
        <v>91</v>
      </c>
      <c r="K429" s="1">
        <v>82</v>
      </c>
      <c r="L429" s="1" t="s">
        <v>26</v>
      </c>
    </row>
    <row r="430" spans="1:12" hidden="1" x14ac:dyDescent="0.25">
      <c r="A430" s="1" t="s">
        <v>27</v>
      </c>
      <c r="B430" s="1" t="s">
        <v>22</v>
      </c>
      <c r="C430" s="1">
        <v>2020</v>
      </c>
      <c r="D430" s="1">
        <v>34002</v>
      </c>
      <c r="E430" s="1">
        <v>14.4</v>
      </c>
      <c r="F430" s="1">
        <v>62</v>
      </c>
      <c r="G430" s="1">
        <v>1072320280</v>
      </c>
      <c r="H430" s="1">
        <v>76</v>
      </c>
      <c r="I430" s="1">
        <v>5.9</v>
      </c>
      <c r="J430" s="1">
        <v>95</v>
      </c>
      <c r="K430" s="1">
        <v>60</v>
      </c>
      <c r="L430" s="1" t="s">
        <v>14</v>
      </c>
    </row>
    <row r="431" spans="1:12" hidden="1" x14ac:dyDescent="0.25">
      <c r="A431" s="1" t="s">
        <v>28</v>
      </c>
      <c r="B431" s="1" t="s">
        <v>29</v>
      </c>
      <c r="C431" s="1">
        <v>2021</v>
      </c>
      <c r="D431" s="1">
        <v>7322</v>
      </c>
      <c r="E431" s="1">
        <v>12.1</v>
      </c>
      <c r="F431" s="1">
        <v>64</v>
      </c>
      <c r="G431" s="1">
        <v>370861975</v>
      </c>
      <c r="H431" s="1">
        <v>55</v>
      </c>
      <c r="I431" s="1">
        <v>16.3</v>
      </c>
      <c r="J431" s="1">
        <v>90</v>
      </c>
      <c r="K431" s="1">
        <v>56</v>
      </c>
      <c r="L431" s="1" t="s">
        <v>29</v>
      </c>
    </row>
    <row r="432" spans="1:12" hidden="1" x14ac:dyDescent="0.25">
      <c r="A432" s="1" t="s">
        <v>12</v>
      </c>
      <c r="B432" s="1" t="s">
        <v>13</v>
      </c>
      <c r="C432" s="1">
        <v>2021</v>
      </c>
      <c r="D432" s="1">
        <v>59952</v>
      </c>
      <c r="E432" s="1">
        <v>10.199999999999999</v>
      </c>
      <c r="F432" s="1">
        <v>65</v>
      </c>
      <c r="G432" s="1">
        <v>655914665</v>
      </c>
      <c r="H432" s="1">
        <v>51</v>
      </c>
      <c r="I432" s="1">
        <v>16.100000000000001</v>
      </c>
      <c r="J432" s="1">
        <v>73</v>
      </c>
      <c r="K432" s="1">
        <v>57</v>
      </c>
      <c r="L432" s="1" t="s">
        <v>14</v>
      </c>
    </row>
    <row r="433" spans="1:12" hidden="1" x14ac:dyDescent="0.25">
      <c r="A433" s="1" t="s">
        <v>15</v>
      </c>
      <c r="B433" s="1" t="s">
        <v>16</v>
      </c>
      <c r="C433" s="1">
        <v>2022</v>
      </c>
      <c r="D433" s="1">
        <v>28346</v>
      </c>
      <c r="E433" s="1">
        <v>8.1</v>
      </c>
      <c r="F433" s="1">
        <v>65</v>
      </c>
      <c r="G433" s="1">
        <v>14816030</v>
      </c>
      <c r="H433" s="1">
        <v>63</v>
      </c>
      <c r="I433" s="1">
        <v>10.7</v>
      </c>
      <c r="J433" s="1">
        <v>94</v>
      </c>
      <c r="K433" s="1">
        <v>37</v>
      </c>
      <c r="L433" s="1" t="s">
        <v>16</v>
      </c>
    </row>
    <row r="434" spans="1:12" hidden="1" x14ac:dyDescent="0.25">
      <c r="A434" s="1" t="s">
        <v>17</v>
      </c>
      <c r="B434" s="1" t="s">
        <v>18</v>
      </c>
      <c r="C434" s="1">
        <v>2021</v>
      </c>
      <c r="D434" s="1">
        <v>50984</v>
      </c>
      <c r="E434" s="1">
        <v>3.1</v>
      </c>
      <c r="F434" s="1">
        <v>67</v>
      </c>
      <c r="G434" s="1">
        <v>1099068034</v>
      </c>
      <c r="H434" s="1">
        <v>74</v>
      </c>
      <c r="I434" s="1">
        <v>21.8</v>
      </c>
      <c r="J434" s="1">
        <v>95</v>
      </c>
      <c r="K434" s="1">
        <v>72</v>
      </c>
      <c r="L434" s="1" t="s">
        <v>18</v>
      </c>
    </row>
    <row r="435" spans="1:12" hidden="1" x14ac:dyDescent="0.25">
      <c r="A435" s="1" t="s">
        <v>19</v>
      </c>
      <c r="B435" s="1" t="s">
        <v>20</v>
      </c>
      <c r="C435" s="1">
        <v>2021</v>
      </c>
      <c r="D435" s="1">
        <v>56203</v>
      </c>
      <c r="E435" s="1">
        <v>10.9</v>
      </c>
      <c r="F435" s="1">
        <v>72</v>
      </c>
      <c r="G435" s="1">
        <v>1485235161</v>
      </c>
      <c r="H435" s="1">
        <v>89</v>
      </c>
      <c r="I435" s="1">
        <v>13.2</v>
      </c>
      <c r="J435" s="1">
        <v>70</v>
      </c>
      <c r="K435" s="1">
        <v>31</v>
      </c>
      <c r="L435" s="1" t="s">
        <v>20</v>
      </c>
    </row>
    <row r="436" spans="1:12" hidden="1" x14ac:dyDescent="0.25">
      <c r="A436" s="1" t="s">
        <v>21</v>
      </c>
      <c r="B436" s="1" t="s">
        <v>22</v>
      </c>
      <c r="C436" s="1">
        <v>2022</v>
      </c>
      <c r="D436" s="1">
        <v>39009</v>
      </c>
      <c r="E436" s="1">
        <v>7.8</v>
      </c>
      <c r="F436" s="1">
        <v>77</v>
      </c>
      <c r="G436" s="1">
        <v>1305127091</v>
      </c>
      <c r="H436" s="1">
        <v>59</v>
      </c>
      <c r="I436" s="1">
        <v>20.2</v>
      </c>
      <c r="J436" s="1">
        <v>89</v>
      </c>
      <c r="K436" s="1">
        <v>74</v>
      </c>
      <c r="L436" s="1" t="s">
        <v>14</v>
      </c>
    </row>
    <row r="437" spans="1:12" hidden="1" x14ac:dyDescent="0.25">
      <c r="A437" s="1" t="s">
        <v>23</v>
      </c>
      <c r="B437" s="1" t="s">
        <v>18</v>
      </c>
      <c r="C437" s="1">
        <v>2020</v>
      </c>
      <c r="D437" s="1">
        <v>31409</v>
      </c>
      <c r="E437" s="1">
        <v>11.3</v>
      </c>
      <c r="F437" s="1">
        <v>77</v>
      </c>
      <c r="G437" s="1">
        <v>1081171979</v>
      </c>
      <c r="H437" s="1">
        <v>52</v>
      </c>
      <c r="I437" s="1">
        <v>8.9</v>
      </c>
      <c r="J437" s="1">
        <v>80</v>
      </c>
      <c r="K437" s="1">
        <v>47</v>
      </c>
      <c r="L437" s="1" t="s">
        <v>18</v>
      </c>
    </row>
    <row r="438" spans="1:12" hidden="1" x14ac:dyDescent="0.25">
      <c r="A438" s="1" t="s">
        <v>24</v>
      </c>
      <c r="B438" s="1" t="s">
        <v>16</v>
      </c>
      <c r="C438" s="1">
        <v>2021</v>
      </c>
      <c r="D438" s="1">
        <v>7541</v>
      </c>
      <c r="E438" s="1">
        <v>4.5999999999999996</v>
      </c>
      <c r="F438" s="1">
        <v>68</v>
      </c>
      <c r="G438" s="1">
        <v>88977190</v>
      </c>
      <c r="H438" s="1">
        <v>81</v>
      </c>
      <c r="I438" s="1">
        <v>10.4</v>
      </c>
      <c r="J438" s="1">
        <v>90</v>
      </c>
      <c r="K438" s="1">
        <v>74</v>
      </c>
      <c r="L438" s="1" t="s">
        <v>16</v>
      </c>
    </row>
    <row r="439" spans="1:12" hidden="1" x14ac:dyDescent="0.25">
      <c r="A439" s="1" t="s">
        <v>25</v>
      </c>
      <c r="B439" s="1" t="s">
        <v>26</v>
      </c>
      <c r="C439" s="1">
        <v>2021</v>
      </c>
      <c r="D439" s="1">
        <v>51587</v>
      </c>
      <c r="E439" s="1">
        <v>4.9000000000000004</v>
      </c>
      <c r="F439" s="1">
        <v>74</v>
      </c>
      <c r="G439" s="1">
        <v>1237242876</v>
      </c>
      <c r="H439" s="1">
        <v>67</v>
      </c>
      <c r="I439" s="1">
        <v>23.1</v>
      </c>
      <c r="J439" s="1">
        <v>81</v>
      </c>
      <c r="K439" s="1">
        <v>68</v>
      </c>
      <c r="L439" s="1" t="s">
        <v>26</v>
      </c>
    </row>
    <row r="440" spans="1:12" hidden="1" x14ac:dyDescent="0.25">
      <c r="A440" s="1" t="s">
        <v>27</v>
      </c>
      <c r="B440" s="1" t="s">
        <v>22</v>
      </c>
      <c r="C440" s="1">
        <v>2022</v>
      </c>
      <c r="D440" s="1">
        <v>55077</v>
      </c>
      <c r="E440" s="1">
        <v>4</v>
      </c>
      <c r="F440" s="1">
        <v>69</v>
      </c>
      <c r="G440" s="1">
        <v>1138020658</v>
      </c>
      <c r="H440" s="1">
        <v>95</v>
      </c>
      <c r="I440" s="1">
        <v>15.4</v>
      </c>
      <c r="J440" s="1">
        <v>79</v>
      </c>
      <c r="K440" s="1">
        <v>54</v>
      </c>
      <c r="L440" s="1" t="s">
        <v>14</v>
      </c>
    </row>
    <row r="441" spans="1:12" hidden="1" x14ac:dyDescent="0.25">
      <c r="A441" s="1" t="s">
        <v>28</v>
      </c>
      <c r="B441" s="1" t="s">
        <v>29</v>
      </c>
      <c r="C441" s="1">
        <v>2021</v>
      </c>
      <c r="D441" s="1">
        <v>5962</v>
      </c>
      <c r="E441" s="1">
        <v>15.8</v>
      </c>
      <c r="F441" s="1">
        <v>74</v>
      </c>
      <c r="G441" s="1">
        <v>942036899</v>
      </c>
      <c r="H441" s="1">
        <v>72</v>
      </c>
      <c r="I441" s="1">
        <v>14.6</v>
      </c>
      <c r="J441" s="1">
        <v>78</v>
      </c>
      <c r="K441" s="1">
        <v>40</v>
      </c>
      <c r="L441" s="1" t="s">
        <v>29</v>
      </c>
    </row>
    <row r="442" spans="1:12" hidden="1" x14ac:dyDescent="0.25">
      <c r="A442" s="1" t="s">
        <v>12</v>
      </c>
      <c r="B442" s="1" t="s">
        <v>13</v>
      </c>
      <c r="C442" s="1">
        <v>2021</v>
      </c>
      <c r="D442" s="1">
        <v>11334</v>
      </c>
      <c r="E442" s="1">
        <v>3.7</v>
      </c>
      <c r="F442" s="1">
        <v>73</v>
      </c>
      <c r="G442" s="1">
        <v>81671426</v>
      </c>
      <c r="H442" s="1">
        <v>92</v>
      </c>
      <c r="I442" s="1">
        <v>18.7</v>
      </c>
      <c r="J442" s="1">
        <v>73</v>
      </c>
      <c r="K442" s="1">
        <v>65</v>
      </c>
      <c r="L442" s="1" t="s">
        <v>14</v>
      </c>
    </row>
    <row r="443" spans="1:12" hidden="1" x14ac:dyDescent="0.25">
      <c r="A443" s="1" t="s">
        <v>15</v>
      </c>
      <c r="B443" s="1" t="s">
        <v>16</v>
      </c>
      <c r="C443" s="1">
        <v>2020</v>
      </c>
      <c r="D443" s="1">
        <v>37761</v>
      </c>
      <c r="E443" s="1">
        <v>11.3</v>
      </c>
      <c r="F443" s="1">
        <v>74</v>
      </c>
      <c r="G443" s="1">
        <v>1464557244</v>
      </c>
      <c r="H443" s="1">
        <v>60</v>
      </c>
      <c r="I443" s="1">
        <v>21</v>
      </c>
      <c r="J443" s="1">
        <v>93</v>
      </c>
      <c r="K443" s="1">
        <v>50</v>
      </c>
      <c r="L443" s="1" t="s">
        <v>16</v>
      </c>
    </row>
    <row r="444" spans="1:12" hidden="1" x14ac:dyDescent="0.25">
      <c r="A444" s="1" t="s">
        <v>17</v>
      </c>
      <c r="B444" s="1" t="s">
        <v>18</v>
      </c>
      <c r="C444" s="1">
        <v>2022</v>
      </c>
      <c r="D444" s="1">
        <v>52212</v>
      </c>
      <c r="E444" s="1">
        <v>12.6</v>
      </c>
      <c r="F444" s="1">
        <v>77</v>
      </c>
      <c r="G444" s="1">
        <v>1214679924</v>
      </c>
      <c r="H444" s="1">
        <v>55</v>
      </c>
      <c r="I444" s="1">
        <v>10.6</v>
      </c>
      <c r="J444" s="1">
        <v>98</v>
      </c>
      <c r="K444" s="1">
        <v>47</v>
      </c>
      <c r="L444" s="1" t="s">
        <v>18</v>
      </c>
    </row>
    <row r="445" spans="1:12" hidden="1" x14ac:dyDescent="0.25">
      <c r="A445" s="1" t="s">
        <v>19</v>
      </c>
      <c r="B445" s="1" t="s">
        <v>20</v>
      </c>
      <c r="C445" s="1">
        <v>2020</v>
      </c>
      <c r="D445" s="1">
        <v>58248</v>
      </c>
      <c r="E445" s="1">
        <v>11.4</v>
      </c>
      <c r="F445" s="1">
        <v>79</v>
      </c>
      <c r="G445" s="1">
        <v>206197457</v>
      </c>
      <c r="H445" s="1">
        <v>93</v>
      </c>
      <c r="I445" s="1">
        <v>22.1</v>
      </c>
      <c r="J445" s="1">
        <v>84</v>
      </c>
      <c r="K445" s="1">
        <v>61</v>
      </c>
      <c r="L445" s="1" t="s">
        <v>20</v>
      </c>
    </row>
    <row r="446" spans="1:12" hidden="1" x14ac:dyDescent="0.25">
      <c r="A446" s="1" t="s">
        <v>21</v>
      </c>
      <c r="B446" s="1" t="s">
        <v>22</v>
      </c>
      <c r="C446" s="1">
        <v>2020</v>
      </c>
      <c r="D446" s="1">
        <v>61514</v>
      </c>
      <c r="E446" s="1">
        <v>8.6</v>
      </c>
      <c r="F446" s="1">
        <v>79</v>
      </c>
      <c r="G446" s="1">
        <v>1436796278</v>
      </c>
      <c r="H446" s="1">
        <v>61</v>
      </c>
      <c r="I446" s="1">
        <v>22.3</v>
      </c>
      <c r="J446" s="1">
        <v>83</v>
      </c>
      <c r="K446" s="1">
        <v>59</v>
      </c>
      <c r="L446" s="1" t="s">
        <v>14</v>
      </c>
    </row>
    <row r="447" spans="1:12" hidden="1" x14ac:dyDescent="0.25">
      <c r="A447" s="1" t="s">
        <v>23</v>
      </c>
      <c r="B447" s="1" t="s">
        <v>18</v>
      </c>
      <c r="C447" s="1">
        <v>2021</v>
      </c>
      <c r="D447" s="1">
        <v>69064</v>
      </c>
      <c r="E447" s="1">
        <v>13.8</v>
      </c>
      <c r="F447" s="1">
        <v>83</v>
      </c>
      <c r="G447" s="1">
        <v>5128754</v>
      </c>
      <c r="H447" s="1">
        <v>61</v>
      </c>
      <c r="I447" s="1">
        <v>20</v>
      </c>
      <c r="J447" s="1">
        <v>86</v>
      </c>
      <c r="K447" s="1">
        <v>50</v>
      </c>
      <c r="L447" s="1" t="s">
        <v>18</v>
      </c>
    </row>
    <row r="448" spans="1:12" hidden="1" x14ac:dyDescent="0.25">
      <c r="A448" s="1" t="s">
        <v>24</v>
      </c>
      <c r="B448" s="1" t="s">
        <v>16</v>
      </c>
      <c r="C448" s="1">
        <v>2022</v>
      </c>
      <c r="D448" s="1">
        <v>47653</v>
      </c>
      <c r="E448" s="1">
        <v>10</v>
      </c>
      <c r="F448" s="1">
        <v>77</v>
      </c>
      <c r="G448" s="1">
        <v>1080423577</v>
      </c>
      <c r="H448" s="1">
        <v>89</v>
      </c>
      <c r="I448" s="1">
        <v>24</v>
      </c>
      <c r="J448" s="1">
        <v>94</v>
      </c>
      <c r="K448" s="1">
        <v>50</v>
      </c>
      <c r="L448" s="1" t="s">
        <v>16</v>
      </c>
    </row>
    <row r="449" spans="1:12" hidden="1" x14ac:dyDescent="0.25">
      <c r="A449" s="1" t="s">
        <v>25</v>
      </c>
      <c r="B449" s="1" t="s">
        <v>26</v>
      </c>
      <c r="C449" s="1">
        <v>2022</v>
      </c>
      <c r="D449" s="1">
        <v>59263</v>
      </c>
      <c r="E449" s="1">
        <v>15.2</v>
      </c>
      <c r="F449" s="1">
        <v>64</v>
      </c>
      <c r="G449" s="1">
        <v>943214899</v>
      </c>
      <c r="H449" s="1">
        <v>74</v>
      </c>
      <c r="I449" s="1">
        <v>25</v>
      </c>
      <c r="J449" s="1">
        <v>70</v>
      </c>
      <c r="K449" s="1">
        <v>48</v>
      </c>
      <c r="L449" s="1" t="s">
        <v>26</v>
      </c>
    </row>
    <row r="450" spans="1:12" hidden="1" x14ac:dyDescent="0.25">
      <c r="A450" s="1" t="s">
        <v>27</v>
      </c>
      <c r="B450" s="1" t="s">
        <v>22</v>
      </c>
      <c r="C450" s="1">
        <v>2020</v>
      </c>
      <c r="D450" s="1">
        <v>7477</v>
      </c>
      <c r="E450" s="1">
        <v>10.1</v>
      </c>
      <c r="F450" s="1">
        <v>80</v>
      </c>
      <c r="G450" s="1">
        <v>727464879</v>
      </c>
      <c r="H450" s="1">
        <v>91</v>
      </c>
      <c r="I450" s="1">
        <v>15.8</v>
      </c>
      <c r="J450" s="1">
        <v>97</v>
      </c>
      <c r="K450" s="1">
        <v>44</v>
      </c>
      <c r="L450" s="1" t="s">
        <v>14</v>
      </c>
    </row>
    <row r="451" spans="1:12" hidden="1" x14ac:dyDescent="0.25">
      <c r="A451" s="1" t="s">
        <v>28</v>
      </c>
      <c r="B451" s="1" t="s">
        <v>29</v>
      </c>
      <c r="C451" s="1">
        <v>2021</v>
      </c>
      <c r="D451" s="1">
        <v>45743</v>
      </c>
      <c r="E451" s="1">
        <v>4.7</v>
      </c>
      <c r="F451" s="1">
        <v>60</v>
      </c>
      <c r="G451" s="1">
        <v>39464577</v>
      </c>
      <c r="H451" s="1">
        <v>69</v>
      </c>
      <c r="I451" s="1">
        <v>13.3</v>
      </c>
      <c r="J451" s="1">
        <v>80</v>
      </c>
      <c r="K451" s="1">
        <v>60</v>
      </c>
      <c r="L451" s="1" t="s">
        <v>29</v>
      </c>
    </row>
    <row r="452" spans="1:12" hidden="1" x14ac:dyDescent="0.25">
      <c r="A452" s="1" t="s">
        <v>12</v>
      </c>
      <c r="B452" s="1" t="s">
        <v>13</v>
      </c>
      <c r="C452" s="1">
        <v>2021</v>
      </c>
      <c r="D452" s="1">
        <v>61762</v>
      </c>
      <c r="E452" s="1">
        <v>8.1</v>
      </c>
      <c r="F452" s="1">
        <v>68</v>
      </c>
      <c r="G452" s="1">
        <v>940700308</v>
      </c>
      <c r="H452" s="1">
        <v>84</v>
      </c>
      <c r="I452" s="1">
        <v>4.5</v>
      </c>
      <c r="J452" s="1">
        <v>92</v>
      </c>
      <c r="K452" s="1">
        <v>60</v>
      </c>
      <c r="L452" s="1" t="s">
        <v>14</v>
      </c>
    </row>
    <row r="453" spans="1:12" hidden="1" x14ac:dyDescent="0.25">
      <c r="A453" s="1" t="s">
        <v>15</v>
      </c>
      <c r="B453" s="1" t="s">
        <v>16</v>
      </c>
      <c r="C453" s="1">
        <v>2021</v>
      </c>
      <c r="D453" s="1">
        <v>16721</v>
      </c>
      <c r="E453" s="1">
        <v>4</v>
      </c>
      <c r="F453" s="1">
        <v>69</v>
      </c>
      <c r="G453" s="1">
        <v>366599273</v>
      </c>
      <c r="H453" s="1">
        <v>65</v>
      </c>
      <c r="I453" s="1">
        <v>10.199999999999999</v>
      </c>
      <c r="J453" s="1">
        <v>91</v>
      </c>
      <c r="K453" s="1">
        <v>31</v>
      </c>
      <c r="L453" s="1" t="s">
        <v>16</v>
      </c>
    </row>
    <row r="454" spans="1:12" hidden="1" x14ac:dyDescent="0.25">
      <c r="A454" s="1" t="s">
        <v>17</v>
      </c>
      <c r="B454" s="1" t="s">
        <v>18</v>
      </c>
      <c r="C454" s="1">
        <v>2022</v>
      </c>
      <c r="D454" s="1">
        <v>47131</v>
      </c>
      <c r="E454" s="1">
        <v>6.2</v>
      </c>
      <c r="F454" s="1">
        <v>65</v>
      </c>
      <c r="G454" s="1">
        <v>601280347</v>
      </c>
      <c r="H454" s="1">
        <v>78</v>
      </c>
      <c r="I454" s="1">
        <v>9.9</v>
      </c>
      <c r="J454" s="1">
        <v>86</v>
      </c>
      <c r="K454" s="1">
        <v>80</v>
      </c>
      <c r="L454" s="1" t="s">
        <v>18</v>
      </c>
    </row>
    <row r="455" spans="1:12" hidden="1" x14ac:dyDescent="0.25">
      <c r="A455" s="1" t="s">
        <v>19</v>
      </c>
      <c r="B455" s="1" t="s">
        <v>20</v>
      </c>
      <c r="C455" s="1">
        <v>2022</v>
      </c>
      <c r="D455" s="1">
        <v>24488</v>
      </c>
      <c r="E455" s="1">
        <v>3.8</v>
      </c>
      <c r="F455" s="1">
        <v>64</v>
      </c>
      <c r="G455" s="1">
        <v>1426244731</v>
      </c>
      <c r="H455" s="1">
        <v>91</v>
      </c>
      <c r="I455" s="1">
        <v>3.5</v>
      </c>
      <c r="J455" s="1">
        <v>93</v>
      </c>
      <c r="K455" s="1">
        <v>43</v>
      </c>
      <c r="L455" s="1" t="s">
        <v>20</v>
      </c>
    </row>
    <row r="456" spans="1:12" hidden="1" x14ac:dyDescent="0.25">
      <c r="A456" s="1" t="s">
        <v>21</v>
      </c>
      <c r="B456" s="1" t="s">
        <v>22</v>
      </c>
      <c r="C456" s="1">
        <v>2020</v>
      </c>
      <c r="D456" s="1">
        <v>61427</v>
      </c>
      <c r="E456" s="1">
        <v>12.9</v>
      </c>
      <c r="F456" s="1">
        <v>81</v>
      </c>
      <c r="G456" s="1">
        <v>736445689</v>
      </c>
      <c r="H456" s="1">
        <v>73</v>
      </c>
      <c r="I456" s="1">
        <v>15.5</v>
      </c>
      <c r="J456" s="1">
        <v>87</v>
      </c>
      <c r="K456" s="1">
        <v>48</v>
      </c>
      <c r="L456" s="1" t="s">
        <v>14</v>
      </c>
    </row>
    <row r="457" spans="1:12" hidden="1" x14ac:dyDescent="0.25">
      <c r="A457" s="1" t="s">
        <v>23</v>
      </c>
      <c r="B457" s="1" t="s">
        <v>18</v>
      </c>
      <c r="C457" s="1">
        <v>2020</v>
      </c>
      <c r="D457" s="1">
        <v>69721</v>
      </c>
      <c r="E457" s="1">
        <v>15.7</v>
      </c>
      <c r="F457" s="1">
        <v>66</v>
      </c>
      <c r="G457" s="1">
        <v>833608980</v>
      </c>
      <c r="H457" s="1">
        <v>77</v>
      </c>
      <c r="I457" s="1">
        <v>21.7</v>
      </c>
      <c r="J457" s="1">
        <v>98</v>
      </c>
      <c r="K457" s="1">
        <v>86</v>
      </c>
      <c r="L457" s="1" t="s">
        <v>18</v>
      </c>
    </row>
    <row r="458" spans="1:12" hidden="1" x14ac:dyDescent="0.25">
      <c r="A458" s="1" t="s">
        <v>24</v>
      </c>
      <c r="B458" s="1" t="s">
        <v>16</v>
      </c>
      <c r="C458" s="1">
        <v>2022</v>
      </c>
      <c r="D458" s="1">
        <v>2266</v>
      </c>
      <c r="E458" s="1">
        <v>15.7</v>
      </c>
      <c r="F458" s="1">
        <v>75</v>
      </c>
      <c r="G458" s="1">
        <v>714151787</v>
      </c>
      <c r="H458" s="1">
        <v>50</v>
      </c>
      <c r="I458" s="1">
        <v>24.8</v>
      </c>
      <c r="J458" s="1">
        <v>99</v>
      </c>
      <c r="K458" s="1">
        <v>72</v>
      </c>
      <c r="L458" s="1" t="s">
        <v>16</v>
      </c>
    </row>
    <row r="459" spans="1:12" hidden="1" x14ac:dyDescent="0.25">
      <c r="A459" s="1" t="s">
        <v>25</v>
      </c>
      <c r="B459" s="1" t="s">
        <v>26</v>
      </c>
      <c r="C459" s="1">
        <v>2020</v>
      </c>
      <c r="D459" s="1">
        <v>45313</v>
      </c>
      <c r="E459" s="1">
        <v>3.6</v>
      </c>
      <c r="F459" s="1">
        <v>77</v>
      </c>
      <c r="G459" s="1">
        <v>880496248</v>
      </c>
      <c r="H459" s="1">
        <v>86</v>
      </c>
      <c r="I459" s="1">
        <v>20.9</v>
      </c>
      <c r="J459" s="1">
        <v>82</v>
      </c>
      <c r="K459" s="1">
        <v>35</v>
      </c>
      <c r="L459" s="1" t="s">
        <v>26</v>
      </c>
    </row>
    <row r="460" spans="1:12" hidden="1" x14ac:dyDescent="0.25">
      <c r="A460" s="1" t="s">
        <v>27</v>
      </c>
      <c r="B460" s="1" t="s">
        <v>22</v>
      </c>
      <c r="C460" s="1">
        <v>2021</v>
      </c>
      <c r="D460" s="1">
        <v>4935</v>
      </c>
      <c r="E460" s="1">
        <v>6.1</v>
      </c>
      <c r="F460" s="1">
        <v>71</v>
      </c>
      <c r="G460" s="1">
        <v>368441198</v>
      </c>
      <c r="H460" s="1">
        <v>83</v>
      </c>
      <c r="I460" s="1">
        <v>20.8</v>
      </c>
      <c r="J460" s="1">
        <v>88</v>
      </c>
      <c r="K460" s="1">
        <v>67</v>
      </c>
      <c r="L460" s="1" t="s">
        <v>14</v>
      </c>
    </row>
    <row r="461" spans="1:12" hidden="1" x14ac:dyDescent="0.25">
      <c r="A461" s="1" t="s">
        <v>28</v>
      </c>
      <c r="B461" s="1" t="s">
        <v>29</v>
      </c>
      <c r="C461" s="1">
        <v>2020</v>
      </c>
      <c r="D461" s="1">
        <v>22293</v>
      </c>
      <c r="E461" s="1">
        <v>9.1</v>
      </c>
      <c r="F461" s="1">
        <v>65</v>
      </c>
      <c r="G461" s="1">
        <v>1094174729</v>
      </c>
      <c r="H461" s="1">
        <v>67</v>
      </c>
      <c r="I461" s="1">
        <v>16.3</v>
      </c>
      <c r="J461" s="1">
        <v>79</v>
      </c>
      <c r="K461" s="1">
        <v>88</v>
      </c>
      <c r="L461" s="1" t="s">
        <v>29</v>
      </c>
    </row>
    <row r="462" spans="1:12" hidden="1" x14ac:dyDescent="0.25">
      <c r="A462" s="1" t="s">
        <v>12</v>
      </c>
      <c r="B462" s="1" t="s">
        <v>13</v>
      </c>
      <c r="C462" s="1">
        <v>2021</v>
      </c>
      <c r="D462" s="1">
        <v>57661</v>
      </c>
      <c r="E462" s="1">
        <v>3.6</v>
      </c>
      <c r="F462" s="1">
        <v>80</v>
      </c>
      <c r="G462" s="1">
        <v>1152089087</v>
      </c>
      <c r="H462" s="1">
        <v>76</v>
      </c>
      <c r="I462" s="1">
        <v>7.3</v>
      </c>
      <c r="J462" s="1">
        <v>75</v>
      </c>
      <c r="K462" s="1">
        <v>90</v>
      </c>
      <c r="L462" s="1" t="s">
        <v>14</v>
      </c>
    </row>
    <row r="463" spans="1:12" hidden="1" x14ac:dyDescent="0.25">
      <c r="A463" s="1" t="s">
        <v>15</v>
      </c>
      <c r="B463" s="1" t="s">
        <v>16</v>
      </c>
      <c r="C463" s="1">
        <v>2020</v>
      </c>
      <c r="D463" s="1">
        <v>41992</v>
      </c>
      <c r="E463" s="1">
        <v>12.8</v>
      </c>
      <c r="F463" s="1">
        <v>64</v>
      </c>
      <c r="G463" s="1">
        <v>243962397</v>
      </c>
      <c r="H463" s="1">
        <v>95</v>
      </c>
      <c r="I463" s="1">
        <v>16</v>
      </c>
      <c r="J463" s="1">
        <v>96</v>
      </c>
      <c r="K463" s="1">
        <v>49</v>
      </c>
      <c r="L463" s="1" t="s">
        <v>16</v>
      </c>
    </row>
    <row r="464" spans="1:12" hidden="1" x14ac:dyDescent="0.25">
      <c r="A464" s="1" t="s">
        <v>17</v>
      </c>
      <c r="B464" s="1" t="s">
        <v>18</v>
      </c>
      <c r="C464" s="1">
        <v>2021</v>
      </c>
      <c r="D464" s="1">
        <v>50031</v>
      </c>
      <c r="E464" s="1">
        <v>4.7</v>
      </c>
      <c r="F464" s="1">
        <v>73</v>
      </c>
      <c r="G464" s="1">
        <v>613243070</v>
      </c>
      <c r="H464" s="1">
        <v>77</v>
      </c>
      <c r="I464" s="1">
        <v>23.1</v>
      </c>
      <c r="J464" s="1">
        <v>89</v>
      </c>
      <c r="K464" s="1">
        <v>48</v>
      </c>
      <c r="L464" s="1" t="s">
        <v>18</v>
      </c>
    </row>
    <row r="465" spans="1:12" hidden="1" x14ac:dyDescent="0.25">
      <c r="A465" s="1" t="s">
        <v>19</v>
      </c>
      <c r="B465" s="1" t="s">
        <v>20</v>
      </c>
      <c r="C465" s="1">
        <v>2020</v>
      </c>
      <c r="D465" s="1">
        <v>34100</v>
      </c>
      <c r="E465" s="1">
        <v>10</v>
      </c>
      <c r="F465" s="1">
        <v>66</v>
      </c>
      <c r="G465" s="1">
        <v>653937643</v>
      </c>
      <c r="H465" s="1">
        <v>95</v>
      </c>
      <c r="I465" s="1">
        <v>21.5</v>
      </c>
      <c r="J465" s="1">
        <v>91</v>
      </c>
      <c r="K465" s="1">
        <v>41</v>
      </c>
      <c r="L465" s="1" t="s">
        <v>20</v>
      </c>
    </row>
    <row r="466" spans="1:12" hidden="1" x14ac:dyDescent="0.25">
      <c r="A466" s="1" t="s">
        <v>21</v>
      </c>
      <c r="B466" s="1" t="s">
        <v>22</v>
      </c>
      <c r="C466" s="1">
        <v>2022</v>
      </c>
      <c r="D466" s="1">
        <v>51105</v>
      </c>
      <c r="E466" s="1">
        <v>10.7</v>
      </c>
      <c r="F466" s="1">
        <v>62</v>
      </c>
      <c r="G466" s="1">
        <v>1302533436</v>
      </c>
      <c r="H466" s="1">
        <v>67</v>
      </c>
      <c r="I466" s="1">
        <v>5.3</v>
      </c>
      <c r="J466" s="1">
        <v>70</v>
      </c>
      <c r="K466" s="1">
        <v>63</v>
      </c>
      <c r="L466" s="1" t="s">
        <v>14</v>
      </c>
    </row>
    <row r="467" spans="1:12" hidden="1" x14ac:dyDescent="0.25">
      <c r="A467" s="1" t="s">
        <v>23</v>
      </c>
      <c r="B467" s="1" t="s">
        <v>18</v>
      </c>
      <c r="C467" s="1">
        <v>2022</v>
      </c>
      <c r="D467" s="1">
        <v>31852</v>
      </c>
      <c r="E467" s="1">
        <v>6.7</v>
      </c>
      <c r="F467" s="1">
        <v>63</v>
      </c>
      <c r="G467" s="1">
        <v>1329300454</v>
      </c>
      <c r="H467" s="1">
        <v>59</v>
      </c>
      <c r="I467" s="1">
        <v>17.7</v>
      </c>
      <c r="J467" s="1">
        <v>93</v>
      </c>
      <c r="K467" s="1">
        <v>78</v>
      </c>
      <c r="L467" s="1" t="s">
        <v>18</v>
      </c>
    </row>
    <row r="468" spans="1:12" hidden="1" x14ac:dyDescent="0.25">
      <c r="A468" s="1" t="s">
        <v>24</v>
      </c>
      <c r="B468" s="1" t="s">
        <v>16</v>
      </c>
      <c r="C468" s="1">
        <v>2021</v>
      </c>
      <c r="D468" s="1">
        <v>49526</v>
      </c>
      <c r="E468" s="1">
        <v>8.5</v>
      </c>
      <c r="F468" s="1">
        <v>78</v>
      </c>
      <c r="G468" s="1">
        <v>1333725790</v>
      </c>
      <c r="H468" s="1">
        <v>65</v>
      </c>
      <c r="I468" s="1">
        <v>19.2</v>
      </c>
      <c r="J468" s="1">
        <v>87</v>
      </c>
      <c r="K468" s="1">
        <v>84</v>
      </c>
      <c r="L468" s="1" t="s">
        <v>16</v>
      </c>
    </row>
    <row r="469" spans="1:12" hidden="1" x14ac:dyDescent="0.25">
      <c r="A469" s="1" t="s">
        <v>25</v>
      </c>
      <c r="B469" s="1" t="s">
        <v>26</v>
      </c>
      <c r="C469" s="1">
        <v>2021</v>
      </c>
      <c r="D469" s="1">
        <v>33043</v>
      </c>
      <c r="E469" s="1">
        <v>14.2</v>
      </c>
      <c r="F469" s="1">
        <v>74</v>
      </c>
      <c r="G469" s="1">
        <v>406966434</v>
      </c>
      <c r="H469" s="1">
        <v>81</v>
      </c>
      <c r="I469" s="1">
        <v>14</v>
      </c>
      <c r="J469" s="1">
        <v>85</v>
      </c>
      <c r="K469" s="1">
        <v>68</v>
      </c>
      <c r="L469" s="1" t="s">
        <v>26</v>
      </c>
    </row>
    <row r="470" spans="1:12" hidden="1" x14ac:dyDescent="0.25">
      <c r="A470" s="1" t="s">
        <v>27</v>
      </c>
      <c r="B470" s="1" t="s">
        <v>22</v>
      </c>
      <c r="C470" s="1">
        <v>2020</v>
      </c>
      <c r="D470" s="1">
        <v>9430</v>
      </c>
      <c r="E470" s="1">
        <v>4</v>
      </c>
      <c r="F470" s="1">
        <v>83</v>
      </c>
      <c r="G470" s="1">
        <v>1189693714</v>
      </c>
      <c r="H470" s="1">
        <v>50</v>
      </c>
      <c r="I470" s="1">
        <v>24.8</v>
      </c>
      <c r="J470" s="1">
        <v>75</v>
      </c>
      <c r="K470" s="1">
        <v>74</v>
      </c>
      <c r="L470" s="1" t="s">
        <v>14</v>
      </c>
    </row>
    <row r="471" spans="1:12" hidden="1" x14ac:dyDescent="0.25">
      <c r="A471" s="1" t="s">
        <v>28</v>
      </c>
      <c r="B471" s="1" t="s">
        <v>29</v>
      </c>
      <c r="C471" s="1">
        <v>2022</v>
      </c>
      <c r="D471" s="1">
        <v>63645</v>
      </c>
      <c r="E471" s="1">
        <v>15.2</v>
      </c>
      <c r="F471" s="1">
        <v>67</v>
      </c>
      <c r="G471" s="1">
        <v>455458389</v>
      </c>
      <c r="H471" s="1">
        <v>68</v>
      </c>
      <c r="I471" s="1">
        <v>6.8</v>
      </c>
      <c r="J471" s="1">
        <v>96</v>
      </c>
      <c r="K471" s="1">
        <v>79</v>
      </c>
      <c r="L471" s="1" t="s">
        <v>29</v>
      </c>
    </row>
    <row r="472" spans="1:12" hidden="1" x14ac:dyDescent="0.25">
      <c r="A472" s="1" t="s">
        <v>12</v>
      </c>
      <c r="B472" s="1" t="s">
        <v>13</v>
      </c>
      <c r="C472" s="1">
        <v>2020</v>
      </c>
      <c r="D472" s="1">
        <v>61989</v>
      </c>
      <c r="E472" s="1">
        <v>11</v>
      </c>
      <c r="F472" s="1">
        <v>73</v>
      </c>
      <c r="G472" s="1">
        <v>1102453617</v>
      </c>
      <c r="H472" s="1">
        <v>60</v>
      </c>
      <c r="I472" s="1">
        <v>21.4</v>
      </c>
      <c r="J472" s="1">
        <v>75</v>
      </c>
      <c r="K472" s="1">
        <v>64</v>
      </c>
      <c r="L472" s="1" t="s">
        <v>14</v>
      </c>
    </row>
    <row r="473" spans="1:12" hidden="1" x14ac:dyDescent="0.25">
      <c r="A473" s="1" t="s">
        <v>15</v>
      </c>
      <c r="B473" s="1" t="s">
        <v>16</v>
      </c>
      <c r="C473" s="1">
        <v>2021</v>
      </c>
      <c r="D473" s="1">
        <v>22156</v>
      </c>
      <c r="E473" s="1">
        <v>14.4</v>
      </c>
      <c r="F473" s="1">
        <v>69</v>
      </c>
      <c r="G473" s="1">
        <v>384942416</v>
      </c>
      <c r="H473" s="1">
        <v>65</v>
      </c>
      <c r="I473" s="1">
        <v>14</v>
      </c>
      <c r="J473" s="1">
        <v>75</v>
      </c>
      <c r="K473" s="1">
        <v>30</v>
      </c>
      <c r="L473" s="1" t="s">
        <v>16</v>
      </c>
    </row>
    <row r="474" spans="1:12" hidden="1" x14ac:dyDescent="0.25">
      <c r="A474" s="1" t="s">
        <v>17</v>
      </c>
      <c r="B474" s="1" t="s">
        <v>18</v>
      </c>
      <c r="C474" s="1">
        <v>2021</v>
      </c>
      <c r="D474" s="1">
        <v>40419</v>
      </c>
      <c r="E474" s="1">
        <v>13.3</v>
      </c>
      <c r="F474" s="1">
        <v>71</v>
      </c>
      <c r="G474" s="1">
        <v>1208455098</v>
      </c>
      <c r="H474" s="1">
        <v>85</v>
      </c>
      <c r="I474" s="1">
        <v>7.3</v>
      </c>
      <c r="J474" s="1">
        <v>97</v>
      </c>
      <c r="K474" s="1">
        <v>90</v>
      </c>
      <c r="L474" s="1" t="s">
        <v>18</v>
      </c>
    </row>
    <row r="475" spans="1:12" hidden="1" x14ac:dyDescent="0.25">
      <c r="A475" s="1" t="s">
        <v>19</v>
      </c>
      <c r="B475" s="1" t="s">
        <v>20</v>
      </c>
      <c r="C475" s="1">
        <v>2020</v>
      </c>
      <c r="D475" s="1">
        <v>17314</v>
      </c>
      <c r="E475" s="1">
        <v>10.7</v>
      </c>
      <c r="F475" s="1">
        <v>84</v>
      </c>
      <c r="G475" s="1">
        <v>609840573</v>
      </c>
      <c r="H475" s="1">
        <v>70</v>
      </c>
      <c r="I475" s="1">
        <v>23.8</v>
      </c>
      <c r="J475" s="1">
        <v>79</v>
      </c>
      <c r="K475" s="1">
        <v>74</v>
      </c>
      <c r="L475" s="1" t="s">
        <v>20</v>
      </c>
    </row>
    <row r="476" spans="1:12" hidden="1" x14ac:dyDescent="0.25">
      <c r="A476" s="1" t="s">
        <v>21</v>
      </c>
      <c r="B476" s="1" t="s">
        <v>22</v>
      </c>
      <c r="C476" s="1">
        <v>2021</v>
      </c>
      <c r="D476" s="1">
        <v>43062</v>
      </c>
      <c r="E476" s="1">
        <v>8.5</v>
      </c>
      <c r="F476" s="1">
        <v>81</v>
      </c>
      <c r="G476" s="1">
        <v>898049481</v>
      </c>
      <c r="H476" s="1">
        <v>85</v>
      </c>
      <c r="I476" s="1">
        <v>12.3</v>
      </c>
      <c r="J476" s="1">
        <v>78</v>
      </c>
      <c r="K476" s="1">
        <v>76</v>
      </c>
      <c r="L476" s="1" t="s">
        <v>14</v>
      </c>
    </row>
    <row r="477" spans="1:12" hidden="1" x14ac:dyDescent="0.25">
      <c r="A477" s="1" t="s">
        <v>23</v>
      </c>
      <c r="B477" s="1" t="s">
        <v>18</v>
      </c>
      <c r="C477" s="1">
        <v>2022</v>
      </c>
      <c r="D477" s="1">
        <v>39095</v>
      </c>
      <c r="E477" s="1">
        <v>5.9</v>
      </c>
      <c r="F477" s="1">
        <v>61</v>
      </c>
      <c r="G477" s="1">
        <v>655564103</v>
      </c>
      <c r="H477" s="1">
        <v>92</v>
      </c>
      <c r="I477" s="1">
        <v>3.6</v>
      </c>
      <c r="J477" s="1">
        <v>82</v>
      </c>
      <c r="K477" s="1">
        <v>37</v>
      </c>
      <c r="L477" s="1" t="s">
        <v>18</v>
      </c>
    </row>
    <row r="478" spans="1:12" hidden="1" x14ac:dyDescent="0.25">
      <c r="A478" s="1" t="s">
        <v>24</v>
      </c>
      <c r="B478" s="1" t="s">
        <v>16</v>
      </c>
      <c r="C478" s="1">
        <v>2022</v>
      </c>
      <c r="D478" s="1">
        <v>26756</v>
      </c>
      <c r="E478" s="1">
        <v>6.8</v>
      </c>
      <c r="F478" s="1">
        <v>71</v>
      </c>
      <c r="G478" s="1">
        <v>1499990158</v>
      </c>
      <c r="H478" s="1">
        <v>59</v>
      </c>
      <c r="I478" s="1">
        <v>18.5</v>
      </c>
      <c r="J478" s="1">
        <v>81</v>
      </c>
      <c r="K478" s="1">
        <v>33</v>
      </c>
      <c r="L478" s="1" t="s">
        <v>16</v>
      </c>
    </row>
    <row r="479" spans="1:12" hidden="1" x14ac:dyDescent="0.25">
      <c r="A479" s="1" t="s">
        <v>25</v>
      </c>
      <c r="B479" s="1" t="s">
        <v>26</v>
      </c>
      <c r="C479" s="1">
        <v>2022</v>
      </c>
      <c r="D479" s="1">
        <v>68396</v>
      </c>
      <c r="E479" s="1">
        <v>6.9</v>
      </c>
      <c r="F479" s="1">
        <v>75</v>
      </c>
      <c r="G479" s="1">
        <v>594210994</v>
      </c>
      <c r="H479" s="1">
        <v>83</v>
      </c>
      <c r="I479" s="1">
        <v>20</v>
      </c>
      <c r="J479" s="1">
        <v>76</v>
      </c>
      <c r="K479" s="1">
        <v>89</v>
      </c>
      <c r="L479" s="1" t="s">
        <v>26</v>
      </c>
    </row>
    <row r="480" spans="1:12" hidden="1" x14ac:dyDescent="0.25">
      <c r="A480" s="1" t="s">
        <v>27</v>
      </c>
      <c r="B480" s="1" t="s">
        <v>22</v>
      </c>
      <c r="C480" s="1">
        <v>2021</v>
      </c>
      <c r="D480" s="1">
        <v>56526</v>
      </c>
      <c r="E480" s="1">
        <v>7.8</v>
      </c>
      <c r="F480" s="1">
        <v>80</v>
      </c>
      <c r="G480" s="1">
        <v>280171661</v>
      </c>
      <c r="H480" s="1">
        <v>74</v>
      </c>
      <c r="I480" s="1">
        <v>24.7</v>
      </c>
      <c r="J480" s="1">
        <v>78</v>
      </c>
      <c r="K480" s="1">
        <v>80</v>
      </c>
      <c r="L480" s="1" t="s">
        <v>14</v>
      </c>
    </row>
    <row r="481" spans="1:12" hidden="1" x14ac:dyDescent="0.25">
      <c r="A481" s="1" t="s">
        <v>28</v>
      </c>
      <c r="B481" s="1" t="s">
        <v>29</v>
      </c>
      <c r="C481" s="1">
        <v>2021</v>
      </c>
      <c r="D481" s="1">
        <v>32492</v>
      </c>
      <c r="E481" s="1">
        <v>4.9000000000000004</v>
      </c>
      <c r="F481" s="1">
        <v>68</v>
      </c>
      <c r="G481" s="1">
        <v>1321707077</v>
      </c>
      <c r="H481" s="1">
        <v>85</v>
      </c>
      <c r="I481" s="1">
        <v>4.5</v>
      </c>
      <c r="J481" s="1">
        <v>88</v>
      </c>
      <c r="K481" s="1">
        <v>35</v>
      </c>
      <c r="L481" s="1" t="s">
        <v>29</v>
      </c>
    </row>
    <row r="482" spans="1:12" x14ac:dyDescent="0.25">
      <c r="A482" s="1" t="s">
        <v>12</v>
      </c>
      <c r="B482" s="1" t="s">
        <v>13</v>
      </c>
      <c r="C482" s="1">
        <v>2022</v>
      </c>
      <c r="D482" s="1">
        <v>21322</v>
      </c>
      <c r="E482" s="1">
        <v>9.6999999999999993</v>
      </c>
      <c r="F482" s="1">
        <v>62</v>
      </c>
      <c r="G482" s="1">
        <v>387412990</v>
      </c>
      <c r="H482" s="1">
        <v>75</v>
      </c>
      <c r="I482" s="1">
        <v>4.8</v>
      </c>
      <c r="J482" s="1">
        <v>72</v>
      </c>
      <c r="K482" s="1">
        <v>55</v>
      </c>
      <c r="L482" s="1" t="s">
        <v>14</v>
      </c>
    </row>
    <row r="483" spans="1:12" hidden="1" x14ac:dyDescent="0.25">
      <c r="A483" s="1" t="s">
        <v>15</v>
      </c>
      <c r="B483" s="1" t="s">
        <v>16</v>
      </c>
      <c r="C483" s="1">
        <v>2020</v>
      </c>
      <c r="D483" s="1">
        <v>12092</v>
      </c>
      <c r="E483" s="1">
        <v>5.6</v>
      </c>
      <c r="F483" s="1">
        <v>76</v>
      </c>
      <c r="G483" s="1">
        <v>728503315</v>
      </c>
      <c r="H483" s="1">
        <v>53</v>
      </c>
      <c r="I483" s="1">
        <v>15.3</v>
      </c>
      <c r="J483" s="1">
        <v>96</v>
      </c>
      <c r="K483" s="1">
        <v>61</v>
      </c>
      <c r="L483" s="1" t="s">
        <v>16</v>
      </c>
    </row>
    <row r="484" spans="1:12" hidden="1" x14ac:dyDescent="0.25">
      <c r="A484" s="1" t="s">
        <v>17</v>
      </c>
      <c r="B484" s="1" t="s">
        <v>18</v>
      </c>
      <c r="C484" s="1">
        <v>2020</v>
      </c>
      <c r="D484" s="1">
        <v>28685</v>
      </c>
      <c r="E484" s="1">
        <v>6.9</v>
      </c>
      <c r="F484" s="1">
        <v>67</v>
      </c>
      <c r="G484" s="1">
        <v>553857175</v>
      </c>
      <c r="H484" s="1">
        <v>83</v>
      </c>
      <c r="I484" s="1">
        <v>21.1</v>
      </c>
      <c r="J484" s="1">
        <v>97</v>
      </c>
      <c r="K484" s="1">
        <v>67</v>
      </c>
      <c r="L484" s="1" t="s">
        <v>18</v>
      </c>
    </row>
    <row r="485" spans="1:12" hidden="1" x14ac:dyDescent="0.25">
      <c r="A485" s="1" t="s">
        <v>19</v>
      </c>
      <c r="B485" s="1" t="s">
        <v>20</v>
      </c>
      <c r="C485" s="1">
        <v>2021</v>
      </c>
      <c r="D485" s="1">
        <v>67299</v>
      </c>
      <c r="E485" s="1">
        <v>10.3</v>
      </c>
      <c r="F485" s="1">
        <v>76</v>
      </c>
      <c r="G485" s="1">
        <v>666443325</v>
      </c>
      <c r="H485" s="1">
        <v>66</v>
      </c>
      <c r="I485" s="1">
        <v>16.5</v>
      </c>
      <c r="J485" s="1">
        <v>95</v>
      </c>
      <c r="K485" s="1">
        <v>53</v>
      </c>
      <c r="L485" s="1" t="s">
        <v>20</v>
      </c>
    </row>
    <row r="486" spans="1:12" hidden="1" x14ac:dyDescent="0.25">
      <c r="A486" s="1" t="s">
        <v>21</v>
      </c>
      <c r="B486" s="1" t="s">
        <v>22</v>
      </c>
      <c r="C486" s="1">
        <v>2022</v>
      </c>
      <c r="D486" s="1">
        <v>2082</v>
      </c>
      <c r="E486" s="1">
        <v>11.6</v>
      </c>
      <c r="F486" s="1">
        <v>71</v>
      </c>
      <c r="G486" s="1">
        <v>1481031812</v>
      </c>
      <c r="H486" s="1">
        <v>91</v>
      </c>
      <c r="I486" s="1">
        <v>18.399999999999999</v>
      </c>
      <c r="J486" s="1">
        <v>90</v>
      </c>
      <c r="K486" s="1">
        <v>82</v>
      </c>
      <c r="L486" s="1" t="s">
        <v>14</v>
      </c>
    </row>
    <row r="487" spans="1:12" hidden="1" x14ac:dyDescent="0.25">
      <c r="A487" s="1" t="s">
        <v>23</v>
      </c>
      <c r="B487" s="1" t="s">
        <v>18</v>
      </c>
      <c r="C487" s="1">
        <v>2020</v>
      </c>
      <c r="D487" s="1">
        <v>20870</v>
      </c>
      <c r="E487" s="1">
        <v>9.1</v>
      </c>
      <c r="F487" s="1">
        <v>84</v>
      </c>
      <c r="G487" s="1">
        <v>604185716</v>
      </c>
      <c r="H487" s="1">
        <v>73</v>
      </c>
      <c r="I487" s="1">
        <v>8.6999999999999993</v>
      </c>
      <c r="J487" s="1">
        <v>97</v>
      </c>
      <c r="K487" s="1">
        <v>46</v>
      </c>
      <c r="L487" s="1" t="s">
        <v>18</v>
      </c>
    </row>
    <row r="488" spans="1:12" hidden="1" x14ac:dyDescent="0.25">
      <c r="A488" s="1" t="s">
        <v>24</v>
      </c>
      <c r="B488" s="1" t="s">
        <v>16</v>
      </c>
      <c r="C488" s="1">
        <v>2021</v>
      </c>
      <c r="D488" s="1">
        <v>23678</v>
      </c>
      <c r="E488" s="1">
        <v>5.0999999999999996</v>
      </c>
      <c r="F488" s="1">
        <v>66</v>
      </c>
      <c r="G488" s="1">
        <v>1367456600</v>
      </c>
      <c r="H488" s="1">
        <v>62</v>
      </c>
      <c r="I488" s="1">
        <v>9.8000000000000007</v>
      </c>
      <c r="J488" s="1">
        <v>79</v>
      </c>
      <c r="K488" s="1">
        <v>62</v>
      </c>
      <c r="L488" s="1" t="s">
        <v>16</v>
      </c>
    </row>
    <row r="489" spans="1:12" hidden="1" x14ac:dyDescent="0.25">
      <c r="A489" s="1" t="s">
        <v>25</v>
      </c>
      <c r="B489" s="1" t="s">
        <v>26</v>
      </c>
      <c r="C489" s="1">
        <v>2021</v>
      </c>
      <c r="D489" s="1">
        <v>16381</v>
      </c>
      <c r="E489" s="1">
        <v>3</v>
      </c>
      <c r="F489" s="1">
        <v>81</v>
      </c>
      <c r="G489" s="1">
        <v>1357389161</v>
      </c>
      <c r="H489" s="1">
        <v>81</v>
      </c>
      <c r="I489" s="1">
        <v>20.5</v>
      </c>
      <c r="J489" s="1">
        <v>77</v>
      </c>
      <c r="K489" s="1">
        <v>35</v>
      </c>
      <c r="L489" s="1" t="s">
        <v>26</v>
      </c>
    </row>
    <row r="490" spans="1:12" hidden="1" x14ac:dyDescent="0.25">
      <c r="A490" s="1" t="s">
        <v>27</v>
      </c>
      <c r="B490" s="1" t="s">
        <v>22</v>
      </c>
      <c r="C490" s="1">
        <v>2021</v>
      </c>
      <c r="D490" s="1">
        <v>11700</v>
      </c>
      <c r="E490" s="1">
        <v>15.5</v>
      </c>
      <c r="F490" s="1">
        <v>79</v>
      </c>
      <c r="G490" s="1">
        <v>1273620927</v>
      </c>
      <c r="H490" s="1">
        <v>88</v>
      </c>
      <c r="I490" s="1">
        <v>2.9</v>
      </c>
      <c r="J490" s="1">
        <v>97</v>
      </c>
      <c r="K490" s="1">
        <v>30</v>
      </c>
      <c r="L490" s="1" t="s">
        <v>14</v>
      </c>
    </row>
    <row r="491" spans="1:12" hidden="1" x14ac:dyDescent="0.25">
      <c r="A491" s="1" t="s">
        <v>28</v>
      </c>
      <c r="B491" s="1" t="s">
        <v>29</v>
      </c>
      <c r="C491" s="1">
        <v>2022</v>
      </c>
      <c r="D491" s="1">
        <v>12967</v>
      </c>
      <c r="E491" s="1">
        <v>9.1</v>
      </c>
      <c r="F491" s="1">
        <v>84</v>
      </c>
      <c r="G491" s="1">
        <v>251745522</v>
      </c>
      <c r="H491" s="1">
        <v>76</v>
      </c>
      <c r="I491" s="1">
        <v>18.5</v>
      </c>
      <c r="J491" s="1">
        <v>86</v>
      </c>
      <c r="K491" s="1">
        <v>39</v>
      </c>
      <c r="L491" s="1" t="s">
        <v>29</v>
      </c>
    </row>
    <row r="492" spans="1:12" hidden="1" x14ac:dyDescent="0.25">
      <c r="A492" s="1" t="s">
        <v>12</v>
      </c>
      <c r="B492" s="1" t="s">
        <v>13</v>
      </c>
      <c r="C492" s="1">
        <v>2020</v>
      </c>
      <c r="D492" s="1">
        <v>66065</v>
      </c>
      <c r="E492" s="1">
        <v>6</v>
      </c>
      <c r="F492" s="1">
        <v>69</v>
      </c>
      <c r="G492" s="1">
        <v>906207894</v>
      </c>
      <c r="H492" s="1">
        <v>88</v>
      </c>
      <c r="I492" s="1">
        <v>9.1</v>
      </c>
      <c r="J492" s="1">
        <v>70</v>
      </c>
      <c r="K492" s="1">
        <v>79</v>
      </c>
      <c r="L492" s="1" t="s">
        <v>14</v>
      </c>
    </row>
    <row r="493" spans="1:12" hidden="1" x14ac:dyDescent="0.25">
      <c r="A493" s="1" t="s">
        <v>15</v>
      </c>
      <c r="B493" s="1" t="s">
        <v>16</v>
      </c>
      <c r="C493" s="1">
        <v>2020</v>
      </c>
      <c r="D493" s="1">
        <v>65194</v>
      </c>
      <c r="E493" s="1">
        <v>8.9</v>
      </c>
      <c r="F493" s="1">
        <v>66</v>
      </c>
      <c r="G493" s="1">
        <v>1294675280</v>
      </c>
      <c r="H493" s="1">
        <v>58</v>
      </c>
      <c r="I493" s="1">
        <v>22.9</v>
      </c>
      <c r="J493" s="1">
        <v>94</v>
      </c>
      <c r="K493" s="1">
        <v>71</v>
      </c>
      <c r="L493" s="1" t="s">
        <v>16</v>
      </c>
    </row>
    <row r="494" spans="1:12" hidden="1" x14ac:dyDescent="0.25">
      <c r="A494" s="1" t="s">
        <v>17</v>
      </c>
      <c r="B494" s="1" t="s">
        <v>18</v>
      </c>
      <c r="C494" s="1">
        <v>2022</v>
      </c>
      <c r="D494" s="1">
        <v>54167</v>
      </c>
      <c r="E494" s="1">
        <v>14.3</v>
      </c>
      <c r="F494" s="1">
        <v>64</v>
      </c>
      <c r="G494" s="1">
        <v>1443738440</v>
      </c>
      <c r="H494" s="1">
        <v>50</v>
      </c>
      <c r="I494" s="1">
        <v>15.4</v>
      </c>
      <c r="J494" s="1">
        <v>88</v>
      </c>
      <c r="K494" s="1">
        <v>85</v>
      </c>
      <c r="L494" s="1" t="s">
        <v>18</v>
      </c>
    </row>
    <row r="495" spans="1:12" hidden="1" x14ac:dyDescent="0.25">
      <c r="A495" s="1" t="s">
        <v>19</v>
      </c>
      <c r="B495" s="1" t="s">
        <v>20</v>
      </c>
      <c r="C495" s="1">
        <v>2021</v>
      </c>
      <c r="D495" s="1">
        <v>5215</v>
      </c>
      <c r="E495" s="1">
        <v>6.5</v>
      </c>
      <c r="F495" s="1">
        <v>69</v>
      </c>
      <c r="G495" s="1">
        <v>569600951</v>
      </c>
      <c r="H495" s="1">
        <v>94</v>
      </c>
      <c r="I495" s="1">
        <v>22.4</v>
      </c>
      <c r="J495" s="1">
        <v>93</v>
      </c>
      <c r="K495" s="1">
        <v>62</v>
      </c>
      <c r="L495" s="1" t="s">
        <v>20</v>
      </c>
    </row>
    <row r="496" spans="1:12" hidden="1" x14ac:dyDescent="0.25">
      <c r="A496" s="1" t="s">
        <v>21</v>
      </c>
      <c r="B496" s="1" t="s">
        <v>22</v>
      </c>
      <c r="C496" s="1">
        <v>2022</v>
      </c>
      <c r="D496" s="1">
        <v>43771</v>
      </c>
      <c r="E496" s="1">
        <v>4.3</v>
      </c>
      <c r="F496" s="1">
        <v>71</v>
      </c>
      <c r="G496" s="1">
        <v>1475110392</v>
      </c>
      <c r="H496" s="1">
        <v>58</v>
      </c>
      <c r="I496" s="1">
        <v>12.8</v>
      </c>
      <c r="J496" s="1">
        <v>70</v>
      </c>
      <c r="K496" s="1">
        <v>59</v>
      </c>
      <c r="L496" s="1" t="s">
        <v>14</v>
      </c>
    </row>
    <row r="497" spans="1:12" hidden="1" x14ac:dyDescent="0.25">
      <c r="A497" s="1" t="s">
        <v>23</v>
      </c>
      <c r="B497" s="1" t="s">
        <v>18</v>
      </c>
      <c r="C497" s="1">
        <v>2021</v>
      </c>
      <c r="D497" s="1">
        <v>50360</v>
      </c>
      <c r="E497" s="1">
        <v>15.4</v>
      </c>
      <c r="F497" s="1">
        <v>78</v>
      </c>
      <c r="G497" s="1">
        <v>1173779390</v>
      </c>
      <c r="H497" s="1">
        <v>58</v>
      </c>
      <c r="I497" s="1">
        <v>20.5</v>
      </c>
      <c r="J497" s="1">
        <v>85</v>
      </c>
      <c r="K497" s="1">
        <v>52</v>
      </c>
      <c r="L497" s="1" t="s">
        <v>18</v>
      </c>
    </row>
    <row r="498" spans="1:12" hidden="1" x14ac:dyDescent="0.25">
      <c r="A498" s="1" t="s">
        <v>24</v>
      </c>
      <c r="B498" s="1" t="s">
        <v>16</v>
      </c>
      <c r="C498" s="1">
        <v>2022</v>
      </c>
      <c r="D498" s="1">
        <v>45389</v>
      </c>
      <c r="E498" s="1">
        <v>7.9</v>
      </c>
      <c r="F498" s="1">
        <v>69</v>
      </c>
      <c r="G498" s="1">
        <v>10172880</v>
      </c>
      <c r="H498" s="1">
        <v>70</v>
      </c>
      <c r="I498" s="1">
        <v>19.899999999999999</v>
      </c>
      <c r="J498" s="1">
        <v>94</v>
      </c>
      <c r="K498" s="1">
        <v>42</v>
      </c>
      <c r="L498" s="1" t="s">
        <v>16</v>
      </c>
    </row>
    <row r="499" spans="1:12" hidden="1" x14ac:dyDescent="0.25">
      <c r="A499" s="1" t="s">
        <v>25</v>
      </c>
      <c r="B499" s="1" t="s">
        <v>26</v>
      </c>
      <c r="C499" s="1">
        <v>2021</v>
      </c>
      <c r="D499" s="1">
        <v>10166</v>
      </c>
      <c r="E499" s="1">
        <v>4.9000000000000004</v>
      </c>
      <c r="F499" s="1">
        <v>67</v>
      </c>
      <c r="G499" s="1">
        <v>1045842962</v>
      </c>
      <c r="H499" s="1">
        <v>89</v>
      </c>
      <c r="I499" s="1">
        <v>15.2</v>
      </c>
      <c r="J499" s="1">
        <v>92</v>
      </c>
      <c r="K499" s="1">
        <v>45</v>
      </c>
      <c r="L499" s="1" t="s">
        <v>26</v>
      </c>
    </row>
    <row r="500" spans="1:12" hidden="1" x14ac:dyDescent="0.25">
      <c r="A500" s="1" t="s">
        <v>27</v>
      </c>
      <c r="B500" s="1" t="s">
        <v>22</v>
      </c>
      <c r="C500" s="1">
        <v>2020</v>
      </c>
      <c r="D500" s="1">
        <v>67116</v>
      </c>
      <c r="E500" s="1">
        <v>15.6</v>
      </c>
      <c r="F500" s="1">
        <v>72</v>
      </c>
      <c r="G500" s="1">
        <v>1227974417</v>
      </c>
      <c r="H500" s="1">
        <v>76</v>
      </c>
      <c r="I500" s="1">
        <v>7.4</v>
      </c>
      <c r="J500" s="1">
        <v>92</v>
      </c>
      <c r="K500" s="1">
        <v>86</v>
      </c>
      <c r="L500" s="1" t="s">
        <v>14</v>
      </c>
    </row>
    <row r="501" spans="1:12" hidden="1" x14ac:dyDescent="0.25">
      <c r="A501" s="1" t="s">
        <v>28</v>
      </c>
      <c r="B501" s="1" t="s">
        <v>29</v>
      </c>
      <c r="C501" s="1">
        <v>2020</v>
      </c>
      <c r="D501" s="1">
        <v>51044</v>
      </c>
      <c r="E501" s="1">
        <v>15.9</v>
      </c>
      <c r="F501" s="1">
        <v>82</v>
      </c>
      <c r="G501" s="1">
        <v>476370662</v>
      </c>
      <c r="H501" s="1">
        <v>94</v>
      </c>
      <c r="I501" s="1">
        <v>21.9</v>
      </c>
      <c r="J501" s="1">
        <v>87</v>
      </c>
      <c r="K501" s="1">
        <v>44</v>
      </c>
      <c r="L501" s="1" t="s">
        <v>29</v>
      </c>
    </row>
  </sheetData>
  <autoFilter ref="A1:L501" xr:uid="{9515076C-0373-4199-92AF-7E01AB9737DD}">
    <filterColumn colId="0">
      <filters>
        <filter val="India"/>
      </filters>
    </filterColumn>
    <filterColumn colId="2">
      <filters>
        <filter val="2022"/>
      </filters>
    </filterColumn>
    <sortState xmlns:xlrd2="http://schemas.microsoft.com/office/spreadsheetml/2017/richdata2" ref="A12:L482">
      <sortCondition descending="1" ref="G1:G50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0F299-67D3-47B4-B4D6-2A5A5E73254A}">
  <dimension ref="A1:L501"/>
  <sheetViews>
    <sheetView workbookViewId="0">
      <selection activeCell="M13" sqref="M13"/>
    </sheetView>
  </sheetViews>
  <sheetFormatPr defaultRowHeight="15" x14ac:dyDescent="0.25"/>
  <cols>
    <col min="1" max="1" width="11.7109375" bestFit="1" customWidth="1"/>
    <col min="2" max="2" width="14" bestFit="1" customWidth="1"/>
    <col min="3" max="3" width="5.28515625" bestFit="1" customWidth="1"/>
    <col min="4" max="4" width="17" bestFit="1" customWidth="1"/>
    <col min="5" max="5" width="15" bestFit="1" customWidth="1"/>
    <col min="6" max="6" width="16.7109375" bestFit="1" customWidth="1"/>
    <col min="7" max="7" width="11.85546875" bestFit="1" customWidth="1"/>
    <col min="8" max="8" width="18.28515625" bestFit="1" customWidth="1"/>
    <col min="9" max="9" width="22.140625" bestFit="1" customWidth="1"/>
    <col min="10" max="11" width="14.42578125" bestFit="1" customWidth="1"/>
    <col min="12" max="12" width="14" bestFit="1" customWidth="1"/>
  </cols>
  <sheetData>
    <row r="1" spans="1:12" ht="15.75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1" t="s">
        <v>12</v>
      </c>
      <c r="B2" s="1" t="s">
        <v>13</v>
      </c>
      <c r="C2" s="1">
        <v>2021</v>
      </c>
      <c r="D2" s="7">
        <v>28697</v>
      </c>
      <c r="E2" s="1">
        <v>10.7</v>
      </c>
      <c r="F2" s="1">
        <v>68</v>
      </c>
      <c r="G2" s="1">
        <v>320755470</v>
      </c>
      <c r="H2" s="1">
        <v>65</v>
      </c>
      <c r="I2" s="1">
        <v>21</v>
      </c>
      <c r="J2" s="1">
        <v>87</v>
      </c>
      <c r="K2" s="1">
        <v>43</v>
      </c>
      <c r="L2" s="1" t="s">
        <v>14</v>
      </c>
    </row>
    <row r="3" spans="1:12" x14ac:dyDescent="0.25">
      <c r="A3" s="1" t="s">
        <v>15</v>
      </c>
      <c r="B3" s="1" t="s">
        <v>16</v>
      </c>
      <c r="C3" s="1">
        <v>2021</v>
      </c>
      <c r="D3" s="7">
        <v>9328</v>
      </c>
      <c r="E3" s="1">
        <v>9.1</v>
      </c>
      <c r="F3" s="1">
        <v>61</v>
      </c>
      <c r="G3" s="1">
        <v>779975845</v>
      </c>
      <c r="H3" s="1">
        <v>54</v>
      </c>
      <c r="I3" s="1">
        <v>7.5</v>
      </c>
      <c r="J3" s="1">
        <v>86</v>
      </c>
      <c r="K3" s="1">
        <v>51</v>
      </c>
      <c r="L3" s="1" t="s">
        <v>16</v>
      </c>
    </row>
    <row r="4" spans="1:12" x14ac:dyDescent="0.25">
      <c r="A4" s="1" t="s">
        <v>17</v>
      </c>
      <c r="B4" s="1" t="s">
        <v>18</v>
      </c>
      <c r="C4" s="1">
        <v>2022</v>
      </c>
      <c r="D4" s="7">
        <v>32915</v>
      </c>
      <c r="E4" s="1">
        <v>7.3</v>
      </c>
      <c r="F4" s="1">
        <v>81</v>
      </c>
      <c r="G4" s="1">
        <v>1024677989</v>
      </c>
      <c r="H4" s="1">
        <v>84</v>
      </c>
      <c r="I4" s="1">
        <v>22</v>
      </c>
      <c r="J4" s="1">
        <v>86</v>
      </c>
      <c r="K4" s="1">
        <v>88</v>
      </c>
      <c r="L4" s="1" t="s">
        <v>18</v>
      </c>
    </row>
    <row r="5" spans="1:12" x14ac:dyDescent="0.25">
      <c r="A5" s="1" t="s">
        <v>19</v>
      </c>
      <c r="B5" s="1" t="s">
        <v>20</v>
      </c>
      <c r="C5" s="1">
        <v>2022</v>
      </c>
      <c r="D5" s="7">
        <v>48330</v>
      </c>
      <c r="E5" s="1">
        <v>11.3</v>
      </c>
      <c r="F5" s="1">
        <v>73</v>
      </c>
      <c r="G5" s="1">
        <v>11982489</v>
      </c>
      <c r="H5" s="1">
        <v>75</v>
      </c>
      <c r="I5" s="1">
        <v>16.3</v>
      </c>
      <c r="J5" s="1">
        <v>70</v>
      </c>
      <c r="K5" s="1">
        <v>60</v>
      </c>
      <c r="L5" s="1" t="s">
        <v>20</v>
      </c>
    </row>
    <row r="6" spans="1:12" x14ac:dyDescent="0.25">
      <c r="A6" s="1" t="s">
        <v>21</v>
      </c>
      <c r="B6" s="1" t="s">
        <v>22</v>
      </c>
      <c r="C6" s="1">
        <v>2021</v>
      </c>
      <c r="D6" s="7">
        <v>46701</v>
      </c>
      <c r="E6" s="1">
        <v>6.7</v>
      </c>
      <c r="F6" s="1">
        <v>84</v>
      </c>
      <c r="G6" s="1">
        <v>1398599595</v>
      </c>
      <c r="H6" s="1">
        <v>66</v>
      </c>
      <c r="I6" s="1">
        <v>18</v>
      </c>
      <c r="J6" s="1">
        <v>94</v>
      </c>
      <c r="K6" s="1">
        <v>87</v>
      </c>
      <c r="L6" s="1" t="s">
        <v>14</v>
      </c>
    </row>
    <row r="7" spans="1:12" x14ac:dyDescent="0.25">
      <c r="A7" s="1" t="s">
        <v>23</v>
      </c>
      <c r="B7" s="1" t="s">
        <v>18</v>
      </c>
      <c r="C7" s="1">
        <v>2020</v>
      </c>
      <c r="D7" s="7">
        <v>53760</v>
      </c>
      <c r="E7" s="1">
        <v>13.9</v>
      </c>
      <c r="F7" s="1">
        <v>65</v>
      </c>
      <c r="G7" s="1">
        <v>225142920</v>
      </c>
      <c r="H7" s="1">
        <v>80</v>
      </c>
      <c r="I7" s="1">
        <v>4</v>
      </c>
      <c r="J7" s="1">
        <v>92</v>
      </c>
      <c r="K7" s="1">
        <v>39</v>
      </c>
      <c r="L7" s="1" t="s">
        <v>18</v>
      </c>
    </row>
    <row r="8" spans="1:12" x14ac:dyDescent="0.25">
      <c r="A8" s="1" t="s">
        <v>24</v>
      </c>
      <c r="B8" s="1" t="s">
        <v>16</v>
      </c>
      <c r="C8" s="1">
        <v>2021</v>
      </c>
      <c r="D8" s="7">
        <v>49493</v>
      </c>
      <c r="E8" s="1">
        <v>11.8</v>
      </c>
      <c r="F8" s="1">
        <v>76</v>
      </c>
      <c r="G8" s="1">
        <v>1025519857</v>
      </c>
      <c r="H8" s="1">
        <v>87</v>
      </c>
      <c r="I8" s="1">
        <v>10</v>
      </c>
      <c r="J8" s="1">
        <v>81</v>
      </c>
      <c r="K8" s="1">
        <v>42</v>
      </c>
      <c r="L8" s="1" t="s">
        <v>16</v>
      </c>
    </row>
    <row r="9" spans="1:12" x14ac:dyDescent="0.25">
      <c r="A9" s="1" t="s">
        <v>25</v>
      </c>
      <c r="B9" s="1" t="s">
        <v>26</v>
      </c>
      <c r="C9" s="1">
        <v>2020</v>
      </c>
      <c r="D9" s="7">
        <v>33504</v>
      </c>
      <c r="E9" s="1">
        <v>9.9</v>
      </c>
      <c r="F9" s="1">
        <v>71</v>
      </c>
      <c r="G9" s="1">
        <v>997430905</v>
      </c>
      <c r="H9" s="1">
        <v>84</v>
      </c>
      <c r="I9" s="1">
        <v>6.4</v>
      </c>
      <c r="J9" s="1">
        <v>96</v>
      </c>
      <c r="K9" s="1">
        <v>64</v>
      </c>
      <c r="L9" s="1" t="s">
        <v>26</v>
      </c>
    </row>
    <row r="10" spans="1:12" x14ac:dyDescent="0.25">
      <c r="A10" s="1" t="s">
        <v>27</v>
      </c>
      <c r="B10" s="1" t="s">
        <v>22</v>
      </c>
      <c r="C10" s="1">
        <v>2020</v>
      </c>
      <c r="D10" s="7">
        <v>54027</v>
      </c>
      <c r="E10" s="1">
        <v>16.2</v>
      </c>
      <c r="F10" s="1">
        <v>78</v>
      </c>
      <c r="G10" s="1">
        <v>579162748</v>
      </c>
      <c r="H10" s="1">
        <v>76</v>
      </c>
      <c r="I10" s="1">
        <v>21.2</v>
      </c>
      <c r="J10" s="1">
        <v>88</v>
      </c>
      <c r="K10" s="1">
        <v>47</v>
      </c>
      <c r="L10" s="1" t="s">
        <v>14</v>
      </c>
    </row>
    <row r="11" spans="1:12" x14ac:dyDescent="0.25">
      <c r="A11" s="1" t="s">
        <v>28</v>
      </c>
      <c r="B11" s="1" t="s">
        <v>29</v>
      </c>
      <c r="C11" s="1">
        <v>2020</v>
      </c>
      <c r="D11" s="7">
        <v>49580</v>
      </c>
      <c r="E11" s="1">
        <v>11.3</v>
      </c>
      <c r="F11" s="1">
        <v>65</v>
      </c>
      <c r="G11" s="1">
        <v>1150916965</v>
      </c>
      <c r="H11" s="1">
        <v>94</v>
      </c>
      <c r="I11" s="1">
        <v>7.7</v>
      </c>
      <c r="J11" s="1">
        <v>76</v>
      </c>
      <c r="K11" s="1">
        <v>65</v>
      </c>
      <c r="L11" s="1" t="s">
        <v>29</v>
      </c>
    </row>
    <row r="12" spans="1:12" x14ac:dyDescent="0.25">
      <c r="A12" s="1" t="s">
        <v>12</v>
      </c>
      <c r="B12" s="1" t="s">
        <v>13</v>
      </c>
      <c r="C12" s="1">
        <v>2022</v>
      </c>
      <c r="D12" s="7">
        <v>12017</v>
      </c>
      <c r="E12" s="1">
        <v>6.9</v>
      </c>
      <c r="F12" s="1">
        <v>82</v>
      </c>
      <c r="G12" s="1">
        <v>583736500</v>
      </c>
      <c r="H12" s="1">
        <v>50</v>
      </c>
      <c r="I12" s="1">
        <v>13</v>
      </c>
      <c r="J12" s="1">
        <v>71</v>
      </c>
      <c r="K12" s="1">
        <v>72</v>
      </c>
      <c r="L12" s="1" t="s">
        <v>14</v>
      </c>
    </row>
    <row r="13" spans="1:12" x14ac:dyDescent="0.25">
      <c r="A13" s="1" t="s">
        <v>15</v>
      </c>
      <c r="B13" s="1" t="s">
        <v>16</v>
      </c>
      <c r="C13" s="1">
        <v>2020</v>
      </c>
      <c r="D13" s="7">
        <v>32580</v>
      </c>
      <c r="E13" s="1">
        <v>8.6999999999999993</v>
      </c>
      <c r="F13" s="1">
        <v>64</v>
      </c>
      <c r="G13" s="1">
        <v>1491550777</v>
      </c>
      <c r="H13" s="1">
        <v>66</v>
      </c>
      <c r="I13" s="1">
        <v>2.2999999999999998</v>
      </c>
      <c r="J13" s="1">
        <v>84</v>
      </c>
      <c r="K13" s="1">
        <v>87</v>
      </c>
      <c r="L13" s="1" t="s">
        <v>16</v>
      </c>
    </row>
    <row r="14" spans="1:12" x14ac:dyDescent="0.25">
      <c r="A14" s="1" t="s">
        <v>17</v>
      </c>
      <c r="B14" s="1" t="s">
        <v>18</v>
      </c>
      <c r="C14" s="1">
        <v>2021</v>
      </c>
      <c r="D14" s="7">
        <v>65224</v>
      </c>
      <c r="E14" s="1">
        <v>5.5</v>
      </c>
      <c r="F14" s="1">
        <v>66</v>
      </c>
      <c r="G14" s="1">
        <v>604209612</v>
      </c>
      <c r="H14" s="1">
        <v>95</v>
      </c>
      <c r="I14" s="1">
        <v>22.5</v>
      </c>
      <c r="J14" s="1">
        <v>90</v>
      </c>
      <c r="K14" s="1">
        <v>46</v>
      </c>
      <c r="L14" s="1" t="s">
        <v>18</v>
      </c>
    </row>
    <row r="15" spans="1:12" x14ac:dyDescent="0.25">
      <c r="A15" s="1" t="s">
        <v>19</v>
      </c>
      <c r="B15" s="1" t="s">
        <v>20</v>
      </c>
      <c r="C15" s="1">
        <v>2020</v>
      </c>
      <c r="D15" s="7">
        <v>5969</v>
      </c>
      <c r="E15" s="1">
        <v>7.6</v>
      </c>
      <c r="F15" s="1">
        <v>66</v>
      </c>
      <c r="G15" s="1">
        <v>900636370</v>
      </c>
      <c r="H15" s="1">
        <v>62</v>
      </c>
      <c r="I15" s="1">
        <v>4.2</v>
      </c>
      <c r="J15" s="1">
        <v>72</v>
      </c>
      <c r="K15" s="1">
        <v>50</v>
      </c>
      <c r="L15" s="1" t="s">
        <v>20</v>
      </c>
    </row>
    <row r="16" spans="1:12" x14ac:dyDescent="0.25">
      <c r="A16" s="1" t="s">
        <v>21</v>
      </c>
      <c r="B16" s="1" t="s">
        <v>22</v>
      </c>
      <c r="C16" s="1">
        <v>2021</v>
      </c>
      <c r="D16" s="7">
        <v>10110</v>
      </c>
      <c r="E16" s="1">
        <v>16</v>
      </c>
      <c r="F16" s="1">
        <v>78</v>
      </c>
      <c r="G16" s="1">
        <v>781479156</v>
      </c>
      <c r="H16" s="1">
        <v>92</v>
      </c>
      <c r="I16" s="1">
        <v>10.3</v>
      </c>
      <c r="J16" s="1">
        <v>78</v>
      </c>
      <c r="K16" s="1">
        <v>80</v>
      </c>
      <c r="L16" s="1" t="s">
        <v>14</v>
      </c>
    </row>
    <row r="17" spans="1:12" x14ac:dyDescent="0.25">
      <c r="A17" s="1" t="s">
        <v>23</v>
      </c>
      <c r="B17" s="1" t="s">
        <v>18</v>
      </c>
      <c r="C17" s="1">
        <v>2022</v>
      </c>
      <c r="D17" s="7">
        <v>57088</v>
      </c>
      <c r="E17" s="1">
        <v>11.9</v>
      </c>
      <c r="F17" s="1">
        <v>84</v>
      </c>
      <c r="G17" s="1">
        <v>248590736</v>
      </c>
      <c r="H17" s="1">
        <v>87</v>
      </c>
      <c r="I17" s="1">
        <v>9.6999999999999993</v>
      </c>
      <c r="J17" s="1">
        <v>81</v>
      </c>
      <c r="K17" s="1">
        <v>80</v>
      </c>
      <c r="L17" s="1" t="s">
        <v>18</v>
      </c>
    </row>
    <row r="18" spans="1:12" x14ac:dyDescent="0.25">
      <c r="A18" s="1" t="s">
        <v>24</v>
      </c>
      <c r="B18" s="1" t="s">
        <v>16</v>
      </c>
      <c r="C18" s="1">
        <v>2021</v>
      </c>
      <c r="D18" s="7">
        <v>51446</v>
      </c>
      <c r="E18" s="1">
        <v>8.1</v>
      </c>
      <c r="F18" s="1">
        <v>66</v>
      </c>
      <c r="G18" s="1">
        <v>226850356</v>
      </c>
      <c r="H18" s="1">
        <v>95</v>
      </c>
      <c r="I18" s="1">
        <v>8.1</v>
      </c>
      <c r="J18" s="1">
        <v>95</v>
      </c>
      <c r="K18" s="1">
        <v>76</v>
      </c>
      <c r="L18" s="1" t="s">
        <v>16</v>
      </c>
    </row>
    <row r="19" spans="1:12" x14ac:dyDescent="0.25">
      <c r="A19" s="1" t="s">
        <v>25</v>
      </c>
      <c r="B19" s="1" t="s">
        <v>26</v>
      </c>
      <c r="C19" s="1">
        <v>2022</v>
      </c>
      <c r="D19" s="7">
        <v>61238</v>
      </c>
      <c r="E19" s="1">
        <v>16.2</v>
      </c>
      <c r="F19" s="1">
        <v>67</v>
      </c>
      <c r="G19" s="1">
        <v>1484327543</v>
      </c>
      <c r="H19" s="1">
        <v>90</v>
      </c>
      <c r="I19" s="1">
        <v>20.6</v>
      </c>
      <c r="J19" s="1">
        <v>89</v>
      </c>
      <c r="K19" s="1">
        <v>33</v>
      </c>
      <c r="L19" s="1" t="s">
        <v>26</v>
      </c>
    </row>
    <row r="20" spans="1:12" x14ac:dyDescent="0.25">
      <c r="A20" s="1" t="s">
        <v>27</v>
      </c>
      <c r="B20" s="1" t="s">
        <v>22</v>
      </c>
      <c r="C20" s="1">
        <v>2020</v>
      </c>
      <c r="D20" s="7">
        <v>16498</v>
      </c>
      <c r="E20" s="1">
        <v>5.4</v>
      </c>
      <c r="F20" s="1">
        <v>85</v>
      </c>
      <c r="G20" s="1">
        <v>1397611416</v>
      </c>
      <c r="H20" s="1">
        <v>63</v>
      </c>
      <c r="I20" s="1">
        <v>6.2</v>
      </c>
      <c r="J20" s="1">
        <v>83</v>
      </c>
      <c r="K20" s="1">
        <v>90</v>
      </c>
      <c r="L20" s="1" t="s">
        <v>14</v>
      </c>
    </row>
    <row r="21" spans="1:12" x14ac:dyDescent="0.25">
      <c r="A21" s="1" t="s">
        <v>28</v>
      </c>
      <c r="B21" s="1" t="s">
        <v>29</v>
      </c>
      <c r="C21" s="1">
        <v>2020</v>
      </c>
      <c r="D21" s="7">
        <v>29040</v>
      </c>
      <c r="E21" s="1">
        <v>10.199999999999999</v>
      </c>
      <c r="F21" s="1">
        <v>76</v>
      </c>
      <c r="G21" s="1">
        <v>85057374</v>
      </c>
      <c r="H21" s="1">
        <v>66</v>
      </c>
      <c r="I21" s="1">
        <v>21.5</v>
      </c>
      <c r="J21" s="1">
        <v>81</v>
      </c>
      <c r="K21" s="1">
        <v>43</v>
      </c>
      <c r="L21" s="1" t="s">
        <v>29</v>
      </c>
    </row>
    <row r="22" spans="1:12" x14ac:dyDescent="0.25">
      <c r="A22" s="1" t="s">
        <v>12</v>
      </c>
      <c r="B22" s="1" t="s">
        <v>13</v>
      </c>
      <c r="C22" s="1">
        <v>2021</v>
      </c>
      <c r="D22" s="7">
        <v>33803</v>
      </c>
      <c r="E22" s="1">
        <v>13.1</v>
      </c>
      <c r="F22" s="1">
        <v>61</v>
      </c>
      <c r="G22" s="1">
        <v>1373510320</v>
      </c>
      <c r="H22" s="1">
        <v>76</v>
      </c>
      <c r="I22" s="1">
        <v>12.2</v>
      </c>
      <c r="J22" s="1">
        <v>88</v>
      </c>
      <c r="K22" s="1">
        <v>37</v>
      </c>
      <c r="L22" s="1" t="s">
        <v>14</v>
      </c>
    </row>
    <row r="23" spans="1:12" x14ac:dyDescent="0.25">
      <c r="A23" s="1" t="s">
        <v>15</v>
      </c>
      <c r="B23" s="1" t="s">
        <v>16</v>
      </c>
      <c r="C23" s="1">
        <v>2022</v>
      </c>
      <c r="D23" s="7">
        <v>43633</v>
      </c>
      <c r="E23" s="1">
        <v>9.6999999999999993</v>
      </c>
      <c r="F23" s="1">
        <v>71</v>
      </c>
      <c r="G23" s="1">
        <v>971847595</v>
      </c>
      <c r="H23" s="1">
        <v>64</v>
      </c>
      <c r="I23" s="1">
        <v>21.3</v>
      </c>
      <c r="J23" s="1">
        <v>78</v>
      </c>
      <c r="K23" s="1">
        <v>38</v>
      </c>
      <c r="L23" s="1" t="s">
        <v>16</v>
      </c>
    </row>
    <row r="24" spans="1:12" x14ac:dyDescent="0.25">
      <c r="A24" s="1" t="s">
        <v>17</v>
      </c>
      <c r="B24" s="1" t="s">
        <v>18</v>
      </c>
      <c r="C24" s="1">
        <v>2021</v>
      </c>
      <c r="D24" s="7">
        <v>47258</v>
      </c>
      <c r="E24" s="1">
        <v>5.3</v>
      </c>
      <c r="F24" s="1">
        <v>73</v>
      </c>
      <c r="G24" s="1">
        <v>415702244</v>
      </c>
      <c r="H24" s="1">
        <v>89</v>
      </c>
      <c r="I24" s="1">
        <v>15.2</v>
      </c>
      <c r="J24" s="1">
        <v>70</v>
      </c>
      <c r="K24" s="1">
        <v>74</v>
      </c>
      <c r="L24" s="1" t="s">
        <v>18</v>
      </c>
    </row>
    <row r="25" spans="1:12" x14ac:dyDescent="0.25">
      <c r="A25" s="1" t="s">
        <v>19</v>
      </c>
      <c r="B25" s="1" t="s">
        <v>20</v>
      </c>
      <c r="C25" s="1">
        <v>2021</v>
      </c>
      <c r="D25" s="7">
        <v>16371</v>
      </c>
      <c r="E25" s="1">
        <v>13</v>
      </c>
      <c r="F25" s="1">
        <v>80</v>
      </c>
      <c r="G25" s="1">
        <v>781853496</v>
      </c>
      <c r="H25" s="1">
        <v>90</v>
      </c>
      <c r="I25" s="1">
        <v>14.3</v>
      </c>
      <c r="J25" s="1">
        <v>92</v>
      </c>
      <c r="K25" s="1">
        <v>89</v>
      </c>
      <c r="L25" s="1" t="s">
        <v>20</v>
      </c>
    </row>
    <row r="26" spans="1:12" x14ac:dyDescent="0.25">
      <c r="A26" s="1" t="s">
        <v>21</v>
      </c>
      <c r="B26" s="1" t="s">
        <v>22</v>
      </c>
      <c r="C26" s="1">
        <v>2020</v>
      </c>
      <c r="D26" s="7">
        <v>63215</v>
      </c>
      <c r="E26" s="1">
        <v>7.4</v>
      </c>
      <c r="F26" s="1">
        <v>72</v>
      </c>
      <c r="G26" s="1">
        <v>558355032</v>
      </c>
      <c r="H26" s="1">
        <v>67</v>
      </c>
      <c r="I26" s="1">
        <v>15.8</v>
      </c>
      <c r="J26" s="1">
        <v>86</v>
      </c>
      <c r="K26" s="1">
        <v>87</v>
      </c>
      <c r="L26" s="1" t="s">
        <v>14</v>
      </c>
    </row>
    <row r="27" spans="1:12" x14ac:dyDescent="0.25">
      <c r="A27" s="1" t="s">
        <v>23</v>
      </c>
      <c r="B27" s="1" t="s">
        <v>18</v>
      </c>
      <c r="C27" s="1">
        <v>2021</v>
      </c>
      <c r="D27" s="7">
        <v>42849</v>
      </c>
      <c r="E27" s="1">
        <v>14.3</v>
      </c>
      <c r="F27" s="1">
        <v>73</v>
      </c>
      <c r="G27" s="1">
        <v>793703952</v>
      </c>
      <c r="H27" s="1">
        <v>61</v>
      </c>
      <c r="I27" s="1">
        <v>16.600000000000001</v>
      </c>
      <c r="J27" s="1">
        <v>78</v>
      </c>
      <c r="K27" s="1">
        <v>55</v>
      </c>
      <c r="L27" s="1" t="s">
        <v>18</v>
      </c>
    </row>
    <row r="28" spans="1:12" x14ac:dyDescent="0.25">
      <c r="A28" s="1" t="s">
        <v>24</v>
      </c>
      <c r="B28" s="1" t="s">
        <v>16</v>
      </c>
      <c r="C28" s="1">
        <v>2022</v>
      </c>
      <c r="D28" s="7">
        <v>43484</v>
      </c>
      <c r="E28" s="1">
        <v>4.0999999999999996</v>
      </c>
      <c r="F28" s="1">
        <v>84</v>
      </c>
      <c r="G28" s="1">
        <v>987668740</v>
      </c>
      <c r="H28" s="1">
        <v>89</v>
      </c>
      <c r="I28" s="1">
        <v>12</v>
      </c>
      <c r="J28" s="1">
        <v>84</v>
      </c>
      <c r="K28" s="1">
        <v>63</v>
      </c>
      <c r="L28" s="1" t="s">
        <v>16</v>
      </c>
    </row>
    <row r="29" spans="1:12" x14ac:dyDescent="0.25">
      <c r="A29" s="1" t="s">
        <v>25</v>
      </c>
      <c r="B29" s="1" t="s">
        <v>26</v>
      </c>
      <c r="C29" s="1">
        <v>2021</v>
      </c>
      <c r="D29" s="7">
        <v>59114</v>
      </c>
      <c r="E29" s="1">
        <v>14.2</v>
      </c>
      <c r="F29" s="1">
        <v>70</v>
      </c>
      <c r="G29" s="1">
        <v>1006359670</v>
      </c>
      <c r="H29" s="1">
        <v>92</v>
      </c>
      <c r="I29" s="1">
        <v>5.6</v>
      </c>
      <c r="J29" s="1">
        <v>84</v>
      </c>
      <c r="K29" s="1">
        <v>71</v>
      </c>
      <c r="L29" s="1" t="s">
        <v>26</v>
      </c>
    </row>
    <row r="30" spans="1:12" x14ac:dyDescent="0.25">
      <c r="A30" s="1" t="s">
        <v>27</v>
      </c>
      <c r="B30" s="1" t="s">
        <v>22</v>
      </c>
      <c r="C30" s="1">
        <v>2020</v>
      </c>
      <c r="D30" s="7">
        <v>44194</v>
      </c>
      <c r="E30" s="1">
        <v>4.4000000000000004</v>
      </c>
      <c r="F30" s="1">
        <v>78</v>
      </c>
      <c r="G30" s="1">
        <v>1361478031</v>
      </c>
      <c r="H30" s="1">
        <v>71</v>
      </c>
      <c r="I30" s="1">
        <v>3.3</v>
      </c>
      <c r="J30" s="1">
        <v>94</v>
      </c>
      <c r="K30" s="1">
        <v>50</v>
      </c>
      <c r="L30" s="1" t="s">
        <v>14</v>
      </c>
    </row>
    <row r="31" spans="1:12" x14ac:dyDescent="0.25">
      <c r="A31" s="1" t="s">
        <v>28</v>
      </c>
      <c r="B31" s="1" t="s">
        <v>29</v>
      </c>
      <c r="C31" s="1">
        <v>2020</v>
      </c>
      <c r="D31" s="7">
        <v>56144</v>
      </c>
      <c r="E31" s="1">
        <v>7.1</v>
      </c>
      <c r="F31" s="1">
        <v>70</v>
      </c>
      <c r="G31" s="1">
        <v>1136140974</v>
      </c>
      <c r="H31" s="1">
        <v>60</v>
      </c>
      <c r="I31" s="1">
        <v>8</v>
      </c>
      <c r="J31" s="1">
        <v>88</v>
      </c>
      <c r="K31" s="1">
        <v>61</v>
      </c>
      <c r="L31" s="1" t="s">
        <v>29</v>
      </c>
    </row>
    <row r="32" spans="1:12" x14ac:dyDescent="0.25">
      <c r="A32" s="1" t="s">
        <v>12</v>
      </c>
      <c r="B32" s="1" t="s">
        <v>13</v>
      </c>
      <c r="C32" s="1">
        <v>2021</v>
      </c>
      <c r="D32" s="7">
        <v>35240</v>
      </c>
      <c r="E32" s="1">
        <v>4.7</v>
      </c>
      <c r="F32" s="1">
        <v>67</v>
      </c>
      <c r="G32" s="1">
        <v>347279427</v>
      </c>
      <c r="H32" s="1">
        <v>84</v>
      </c>
      <c r="I32" s="1">
        <v>22.9</v>
      </c>
      <c r="J32" s="1">
        <v>97</v>
      </c>
      <c r="K32" s="1">
        <v>54</v>
      </c>
      <c r="L32" s="1" t="s">
        <v>14</v>
      </c>
    </row>
    <row r="33" spans="1:12" x14ac:dyDescent="0.25">
      <c r="A33" s="1" t="s">
        <v>15</v>
      </c>
      <c r="B33" s="1" t="s">
        <v>16</v>
      </c>
      <c r="C33" s="1">
        <v>2020</v>
      </c>
      <c r="D33" s="7">
        <v>65393</v>
      </c>
      <c r="E33" s="1">
        <v>13.9</v>
      </c>
      <c r="F33" s="1">
        <v>66</v>
      </c>
      <c r="G33" s="1">
        <v>1311001448</v>
      </c>
      <c r="H33" s="1">
        <v>50</v>
      </c>
      <c r="I33" s="1">
        <v>6.7</v>
      </c>
      <c r="J33" s="1">
        <v>78</v>
      </c>
      <c r="K33" s="1">
        <v>87</v>
      </c>
      <c r="L33" s="1" t="s">
        <v>16</v>
      </c>
    </row>
    <row r="34" spans="1:12" x14ac:dyDescent="0.25">
      <c r="A34" s="1" t="s">
        <v>17</v>
      </c>
      <c r="B34" s="1" t="s">
        <v>18</v>
      </c>
      <c r="C34" s="1">
        <v>2022</v>
      </c>
      <c r="D34" s="7">
        <v>11497</v>
      </c>
      <c r="E34" s="1">
        <v>7.4</v>
      </c>
      <c r="F34" s="1">
        <v>68</v>
      </c>
      <c r="G34" s="1">
        <v>518591098</v>
      </c>
      <c r="H34" s="1">
        <v>75</v>
      </c>
      <c r="I34" s="1">
        <v>22.9</v>
      </c>
      <c r="J34" s="1">
        <v>97</v>
      </c>
      <c r="K34" s="1">
        <v>76</v>
      </c>
      <c r="L34" s="1" t="s">
        <v>18</v>
      </c>
    </row>
    <row r="35" spans="1:12" x14ac:dyDescent="0.25">
      <c r="A35" s="1" t="s">
        <v>19</v>
      </c>
      <c r="B35" s="1" t="s">
        <v>20</v>
      </c>
      <c r="C35" s="1">
        <v>2022</v>
      </c>
      <c r="D35" s="7">
        <v>60984</v>
      </c>
      <c r="E35" s="1">
        <v>8.4</v>
      </c>
      <c r="F35" s="1">
        <v>63</v>
      </c>
      <c r="G35" s="1">
        <v>318736337</v>
      </c>
      <c r="H35" s="1">
        <v>67</v>
      </c>
      <c r="I35" s="1">
        <v>4.2</v>
      </c>
      <c r="J35" s="1">
        <v>82</v>
      </c>
      <c r="K35" s="1">
        <v>62</v>
      </c>
      <c r="L35" s="1" t="s">
        <v>20</v>
      </c>
    </row>
    <row r="36" spans="1:12" x14ac:dyDescent="0.25">
      <c r="A36" s="1" t="s">
        <v>21</v>
      </c>
      <c r="B36" s="1" t="s">
        <v>22</v>
      </c>
      <c r="C36" s="1">
        <v>2021</v>
      </c>
      <c r="D36" s="7">
        <v>34214</v>
      </c>
      <c r="E36" s="1">
        <v>13.2</v>
      </c>
      <c r="F36" s="1">
        <v>73</v>
      </c>
      <c r="G36" s="1">
        <v>1162132779</v>
      </c>
      <c r="H36" s="1">
        <v>85</v>
      </c>
      <c r="I36" s="1">
        <v>12.4</v>
      </c>
      <c r="J36" s="1">
        <v>74</v>
      </c>
      <c r="K36" s="1">
        <v>58</v>
      </c>
      <c r="L36" s="1" t="s">
        <v>14</v>
      </c>
    </row>
    <row r="37" spans="1:12" x14ac:dyDescent="0.25">
      <c r="A37" s="1" t="s">
        <v>23</v>
      </c>
      <c r="B37" s="1" t="s">
        <v>18</v>
      </c>
      <c r="C37" s="1">
        <v>2022</v>
      </c>
      <c r="D37" s="7">
        <v>67823</v>
      </c>
      <c r="E37" s="1">
        <v>5.3</v>
      </c>
      <c r="F37" s="1">
        <v>76</v>
      </c>
      <c r="G37" s="1">
        <v>607447700</v>
      </c>
      <c r="H37" s="1">
        <v>55</v>
      </c>
      <c r="I37" s="1">
        <v>4.5</v>
      </c>
      <c r="J37" s="1">
        <v>88</v>
      </c>
      <c r="K37" s="1">
        <v>58</v>
      </c>
      <c r="L37" s="1" t="s">
        <v>18</v>
      </c>
    </row>
    <row r="38" spans="1:12" x14ac:dyDescent="0.25">
      <c r="A38" s="1" t="s">
        <v>24</v>
      </c>
      <c r="B38" s="1" t="s">
        <v>16</v>
      </c>
      <c r="C38" s="1">
        <v>2022</v>
      </c>
      <c r="D38" s="7">
        <v>51976</v>
      </c>
      <c r="E38" s="1">
        <v>5.4</v>
      </c>
      <c r="F38" s="1">
        <v>73</v>
      </c>
      <c r="G38" s="1">
        <v>661569142</v>
      </c>
      <c r="H38" s="1">
        <v>63</v>
      </c>
      <c r="I38" s="1">
        <v>10.199999999999999</v>
      </c>
      <c r="J38" s="1">
        <v>99</v>
      </c>
      <c r="K38" s="1">
        <v>87</v>
      </c>
      <c r="L38" s="1" t="s">
        <v>16</v>
      </c>
    </row>
    <row r="39" spans="1:12" x14ac:dyDescent="0.25">
      <c r="A39" s="1" t="s">
        <v>25</v>
      </c>
      <c r="B39" s="1" t="s">
        <v>26</v>
      </c>
      <c r="C39" s="1">
        <v>2020</v>
      </c>
      <c r="D39" s="7">
        <v>61612</v>
      </c>
      <c r="E39" s="1">
        <v>6.8</v>
      </c>
      <c r="F39" s="1">
        <v>84</v>
      </c>
      <c r="G39" s="1">
        <v>1335176541</v>
      </c>
      <c r="H39" s="1">
        <v>63</v>
      </c>
      <c r="I39" s="1">
        <v>14.9</v>
      </c>
      <c r="J39" s="1">
        <v>73</v>
      </c>
      <c r="K39" s="1">
        <v>69</v>
      </c>
      <c r="L39" s="1" t="s">
        <v>26</v>
      </c>
    </row>
    <row r="40" spans="1:12" x14ac:dyDescent="0.25">
      <c r="A40" s="1" t="s">
        <v>27</v>
      </c>
      <c r="B40" s="1" t="s">
        <v>22</v>
      </c>
      <c r="C40" s="1">
        <v>2020</v>
      </c>
      <c r="D40" s="7">
        <v>13090</v>
      </c>
      <c r="E40" s="1">
        <v>12.9</v>
      </c>
      <c r="F40" s="1">
        <v>62</v>
      </c>
      <c r="G40" s="1">
        <v>805568777</v>
      </c>
      <c r="H40" s="1">
        <v>69</v>
      </c>
      <c r="I40" s="1">
        <v>13</v>
      </c>
      <c r="J40" s="1">
        <v>70</v>
      </c>
      <c r="K40" s="1">
        <v>33</v>
      </c>
      <c r="L40" s="1" t="s">
        <v>14</v>
      </c>
    </row>
    <row r="41" spans="1:12" x14ac:dyDescent="0.25">
      <c r="A41" s="1" t="s">
        <v>28</v>
      </c>
      <c r="B41" s="1" t="s">
        <v>29</v>
      </c>
      <c r="C41" s="1">
        <v>2021</v>
      </c>
      <c r="D41" s="7">
        <v>50374</v>
      </c>
      <c r="E41" s="1">
        <v>14.6</v>
      </c>
      <c r="F41" s="1">
        <v>84</v>
      </c>
      <c r="G41" s="1">
        <v>325233161</v>
      </c>
      <c r="H41" s="1">
        <v>64</v>
      </c>
      <c r="I41" s="1">
        <v>13</v>
      </c>
      <c r="J41" s="1">
        <v>86</v>
      </c>
      <c r="K41" s="1">
        <v>50</v>
      </c>
      <c r="L41" s="1" t="s">
        <v>29</v>
      </c>
    </row>
    <row r="42" spans="1:12" x14ac:dyDescent="0.25">
      <c r="A42" s="1" t="s">
        <v>12</v>
      </c>
      <c r="B42" s="1" t="s">
        <v>13</v>
      </c>
      <c r="C42" s="1">
        <v>2022</v>
      </c>
      <c r="D42" s="7">
        <v>14668</v>
      </c>
      <c r="E42" s="1">
        <v>7.5</v>
      </c>
      <c r="F42" s="1">
        <v>82</v>
      </c>
      <c r="G42" s="1">
        <v>1036423983</v>
      </c>
      <c r="H42" s="1">
        <v>52</v>
      </c>
      <c r="I42" s="1">
        <v>17.3</v>
      </c>
      <c r="J42" s="1">
        <v>78</v>
      </c>
      <c r="K42" s="1">
        <v>52</v>
      </c>
      <c r="L42" s="1" t="s">
        <v>14</v>
      </c>
    </row>
    <row r="43" spans="1:12" x14ac:dyDescent="0.25">
      <c r="A43" s="1" t="s">
        <v>15</v>
      </c>
      <c r="B43" s="1" t="s">
        <v>16</v>
      </c>
      <c r="C43" s="1">
        <v>2021</v>
      </c>
      <c r="D43" s="7">
        <v>59007</v>
      </c>
      <c r="E43" s="1">
        <v>3.5</v>
      </c>
      <c r="F43" s="1">
        <v>65</v>
      </c>
      <c r="G43" s="1">
        <v>502614406</v>
      </c>
      <c r="H43" s="1">
        <v>89</v>
      </c>
      <c r="I43" s="1">
        <v>17.899999999999999</v>
      </c>
      <c r="J43" s="1">
        <v>77</v>
      </c>
      <c r="K43" s="1">
        <v>55</v>
      </c>
      <c r="L43" s="1" t="s">
        <v>16</v>
      </c>
    </row>
    <row r="44" spans="1:12" x14ac:dyDescent="0.25">
      <c r="A44" s="1" t="s">
        <v>17</v>
      </c>
      <c r="B44" s="1" t="s">
        <v>18</v>
      </c>
      <c r="C44" s="1">
        <v>2022</v>
      </c>
      <c r="D44" s="7">
        <v>40567</v>
      </c>
      <c r="E44" s="1">
        <v>13</v>
      </c>
      <c r="F44" s="1">
        <v>60</v>
      </c>
      <c r="G44" s="1">
        <v>1073893367</v>
      </c>
      <c r="H44" s="1">
        <v>62</v>
      </c>
      <c r="I44" s="1">
        <v>13.7</v>
      </c>
      <c r="J44" s="1">
        <v>89</v>
      </c>
      <c r="K44" s="1">
        <v>40</v>
      </c>
      <c r="L44" s="1" t="s">
        <v>18</v>
      </c>
    </row>
    <row r="45" spans="1:12" x14ac:dyDescent="0.25">
      <c r="A45" s="1" t="s">
        <v>19</v>
      </c>
      <c r="B45" s="1" t="s">
        <v>20</v>
      </c>
      <c r="C45" s="1">
        <v>2021</v>
      </c>
      <c r="D45" s="7">
        <v>58923</v>
      </c>
      <c r="E45" s="1">
        <v>11.9</v>
      </c>
      <c r="F45" s="1">
        <v>85</v>
      </c>
      <c r="G45" s="1">
        <v>422096839</v>
      </c>
      <c r="H45" s="1">
        <v>65</v>
      </c>
      <c r="I45" s="1">
        <v>10.1</v>
      </c>
      <c r="J45" s="1">
        <v>87</v>
      </c>
      <c r="K45" s="1">
        <v>81</v>
      </c>
      <c r="L45" s="1" t="s">
        <v>20</v>
      </c>
    </row>
    <row r="46" spans="1:12" x14ac:dyDescent="0.25">
      <c r="A46" s="1" t="s">
        <v>21</v>
      </c>
      <c r="B46" s="1" t="s">
        <v>22</v>
      </c>
      <c r="C46" s="1">
        <v>2020</v>
      </c>
      <c r="D46" s="7">
        <v>49810</v>
      </c>
      <c r="E46" s="1">
        <v>10.4</v>
      </c>
      <c r="F46" s="1">
        <v>73</v>
      </c>
      <c r="G46" s="1">
        <v>1099672665</v>
      </c>
      <c r="H46" s="1">
        <v>78</v>
      </c>
      <c r="I46" s="1">
        <v>9.8000000000000007</v>
      </c>
      <c r="J46" s="1">
        <v>71</v>
      </c>
      <c r="K46" s="1">
        <v>58</v>
      </c>
      <c r="L46" s="1" t="s">
        <v>14</v>
      </c>
    </row>
    <row r="47" spans="1:12" x14ac:dyDescent="0.25">
      <c r="A47" s="1" t="s">
        <v>23</v>
      </c>
      <c r="B47" s="1" t="s">
        <v>18</v>
      </c>
      <c r="C47" s="1">
        <v>2021</v>
      </c>
      <c r="D47" s="7">
        <v>41139</v>
      </c>
      <c r="E47" s="1">
        <v>9.6</v>
      </c>
      <c r="F47" s="1">
        <v>66</v>
      </c>
      <c r="G47" s="1">
        <v>592002155</v>
      </c>
      <c r="H47" s="1">
        <v>68</v>
      </c>
      <c r="I47" s="1">
        <v>15.4</v>
      </c>
      <c r="J47" s="1">
        <v>93</v>
      </c>
      <c r="K47" s="1">
        <v>60</v>
      </c>
      <c r="L47" s="1" t="s">
        <v>18</v>
      </c>
    </row>
    <row r="48" spans="1:12" x14ac:dyDescent="0.25">
      <c r="A48" s="1" t="s">
        <v>24</v>
      </c>
      <c r="B48" s="1" t="s">
        <v>16</v>
      </c>
      <c r="C48" s="1">
        <v>2020</v>
      </c>
      <c r="D48" s="7">
        <v>33558</v>
      </c>
      <c r="E48" s="1">
        <v>8.6999999999999993</v>
      </c>
      <c r="F48" s="1">
        <v>74</v>
      </c>
      <c r="G48" s="1">
        <v>1014884760</v>
      </c>
      <c r="H48" s="1">
        <v>58</v>
      </c>
      <c r="I48" s="1">
        <v>21.6</v>
      </c>
      <c r="J48" s="1">
        <v>74</v>
      </c>
      <c r="K48" s="1">
        <v>62</v>
      </c>
      <c r="L48" s="1" t="s">
        <v>16</v>
      </c>
    </row>
    <row r="49" spans="1:12" x14ac:dyDescent="0.25">
      <c r="A49" s="1" t="s">
        <v>25</v>
      </c>
      <c r="B49" s="1" t="s">
        <v>26</v>
      </c>
      <c r="C49" s="1">
        <v>2020</v>
      </c>
      <c r="D49" s="7">
        <v>54191</v>
      </c>
      <c r="E49" s="1">
        <v>10.1</v>
      </c>
      <c r="F49" s="1">
        <v>60</v>
      </c>
      <c r="G49" s="1">
        <v>53256055</v>
      </c>
      <c r="H49" s="1">
        <v>61</v>
      </c>
      <c r="I49" s="1">
        <v>6.1</v>
      </c>
      <c r="J49" s="1">
        <v>73</v>
      </c>
      <c r="K49" s="1">
        <v>89</v>
      </c>
      <c r="L49" s="1" t="s">
        <v>26</v>
      </c>
    </row>
    <row r="50" spans="1:12" x14ac:dyDescent="0.25">
      <c r="A50" s="1" t="s">
        <v>27</v>
      </c>
      <c r="B50" s="1" t="s">
        <v>22</v>
      </c>
      <c r="C50" s="1">
        <v>2021</v>
      </c>
      <c r="D50" s="7">
        <v>3025</v>
      </c>
      <c r="E50" s="1">
        <v>16.600000000000001</v>
      </c>
      <c r="F50" s="1">
        <v>81</v>
      </c>
      <c r="G50" s="1">
        <v>852373935</v>
      </c>
      <c r="H50" s="1">
        <v>63</v>
      </c>
      <c r="I50" s="1">
        <v>8.3000000000000007</v>
      </c>
      <c r="J50" s="1">
        <v>96</v>
      </c>
      <c r="K50" s="1">
        <v>44</v>
      </c>
      <c r="L50" s="1" t="s">
        <v>14</v>
      </c>
    </row>
    <row r="51" spans="1:12" x14ac:dyDescent="0.25">
      <c r="A51" s="1" t="s">
        <v>28</v>
      </c>
      <c r="B51" s="1" t="s">
        <v>29</v>
      </c>
      <c r="C51" s="1">
        <v>2022</v>
      </c>
      <c r="D51" s="7">
        <v>11842</v>
      </c>
      <c r="E51" s="1">
        <v>14.8</v>
      </c>
      <c r="F51" s="1">
        <v>61</v>
      </c>
      <c r="G51" s="1">
        <v>103435563</v>
      </c>
      <c r="H51" s="1">
        <v>79</v>
      </c>
      <c r="I51" s="1">
        <v>5</v>
      </c>
      <c r="J51" s="1">
        <v>81</v>
      </c>
      <c r="K51" s="1">
        <v>59</v>
      </c>
      <c r="L51" s="1" t="s">
        <v>29</v>
      </c>
    </row>
    <row r="52" spans="1:12" x14ac:dyDescent="0.25">
      <c r="A52" s="1" t="s">
        <v>12</v>
      </c>
      <c r="B52" s="1" t="s">
        <v>13</v>
      </c>
      <c r="C52" s="1">
        <v>2022</v>
      </c>
      <c r="D52" s="7">
        <v>57086</v>
      </c>
      <c r="E52" s="1">
        <v>3.7</v>
      </c>
      <c r="F52" s="1">
        <v>70</v>
      </c>
      <c r="G52" s="1">
        <v>407781416</v>
      </c>
      <c r="H52" s="1">
        <v>86</v>
      </c>
      <c r="I52" s="1">
        <v>12.4</v>
      </c>
      <c r="J52" s="1">
        <v>80</v>
      </c>
      <c r="K52" s="1">
        <v>67</v>
      </c>
      <c r="L52" s="1" t="s">
        <v>14</v>
      </c>
    </row>
    <row r="53" spans="1:12" x14ac:dyDescent="0.25">
      <c r="A53" s="1" t="s">
        <v>15</v>
      </c>
      <c r="B53" s="1" t="s">
        <v>16</v>
      </c>
      <c r="C53" s="1">
        <v>2020</v>
      </c>
      <c r="D53" s="7">
        <v>58516</v>
      </c>
      <c r="E53" s="1">
        <v>7.2</v>
      </c>
      <c r="F53" s="1">
        <v>76</v>
      </c>
      <c r="G53" s="1">
        <v>982998397</v>
      </c>
      <c r="H53" s="1">
        <v>54</v>
      </c>
      <c r="I53" s="1">
        <v>17.899999999999999</v>
      </c>
      <c r="J53" s="1">
        <v>100</v>
      </c>
      <c r="K53" s="1">
        <v>78</v>
      </c>
      <c r="L53" s="1" t="s">
        <v>16</v>
      </c>
    </row>
    <row r="54" spans="1:12" x14ac:dyDescent="0.25">
      <c r="A54" s="1" t="s">
        <v>17</v>
      </c>
      <c r="B54" s="1" t="s">
        <v>18</v>
      </c>
      <c r="C54" s="1">
        <v>2021</v>
      </c>
      <c r="D54" s="7">
        <v>29296</v>
      </c>
      <c r="E54" s="1">
        <v>16.100000000000001</v>
      </c>
      <c r="F54" s="1">
        <v>65</v>
      </c>
      <c r="G54" s="1">
        <v>1484677109</v>
      </c>
      <c r="H54" s="1">
        <v>64</v>
      </c>
      <c r="I54" s="1">
        <v>11.6</v>
      </c>
      <c r="J54" s="1">
        <v>87</v>
      </c>
      <c r="K54" s="1">
        <v>37</v>
      </c>
      <c r="L54" s="1" t="s">
        <v>18</v>
      </c>
    </row>
    <row r="55" spans="1:12" x14ac:dyDescent="0.25">
      <c r="A55" s="1" t="s">
        <v>19</v>
      </c>
      <c r="B55" s="1" t="s">
        <v>20</v>
      </c>
      <c r="C55" s="1">
        <v>2022</v>
      </c>
      <c r="D55" s="7">
        <v>20608</v>
      </c>
      <c r="E55" s="1">
        <v>5.6</v>
      </c>
      <c r="F55" s="1">
        <v>77</v>
      </c>
      <c r="G55" s="1">
        <v>1036525703</v>
      </c>
      <c r="H55" s="1">
        <v>83</v>
      </c>
      <c r="I55" s="1">
        <v>24.6</v>
      </c>
      <c r="J55" s="1">
        <v>88</v>
      </c>
      <c r="K55" s="1">
        <v>68</v>
      </c>
      <c r="L55" s="1" t="s">
        <v>20</v>
      </c>
    </row>
    <row r="56" spans="1:12" x14ac:dyDescent="0.25">
      <c r="A56" s="1" t="s">
        <v>21</v>
      </c>
      <c r="B56" s="1" t="s">
        <v>22</v>
      </c>
      <c r="C56" s="1">
        <v>2021</v>
      </c>
      <c r="D56" s="7">
        <v>22232</v>
      </c>
      <c r="E56" s="1">
        <v>16.8</v>
      </c>
      <c r="F56" s="1">
        <v>80</v>
      </c>
      <c r="G56" s="1">
        <v>1417363838</v>
      </c>
      <c r="H56" s="1">
        <v>79</v>
      </c>
      <c r="I56" s="1">
        <v>17</v>
      </c>
      <c r="J56" s="1">
        <v>90</v>
      </c>
      <c r="K56" s="1">
        <v>47</v>
      </c>
      <c r="L56" s="1" t="s">
        <v>14</v>
      </c>
    </row>
    <row r="57" spans="1:12" x14ac:dyDescent="0.25">
      <c r="A57" s="1" t="s">
        <v>23</v>
      </c>
      <c r="B57" s="1" t="s">
        <v>18</v>
      </c>
      <c r="C57" s="1">
        <v>2020</v>
      </c>
      <c r="D57" s="7">
        <v>47638</v>
      </c>
      <c r="E57" s="1">
        <v>16.7</v>
      </c>
      <c r="F57" s="1">
        <v>84</v>
      </c>
      <c r="G57" s="1">
        <v>653352950</v>
      </c>
      <c r="H57" s="1">
        <v>77</v>
      </c>
      <c r="I57" s="1">
        <v>20.6</v>
      </c>
      <c r="J57" s="1">
        <v>70</v>
      </c>
      <c r="K57" s="1">
        <v>36</v>
      </c>
      <c r="L57" s="1" t="s">
        <v>18</v>
      </c>
    </row>
    <row r="58" spans="1:12" x14ac:dyDescent="0.25">
      <c r="A58" s="1" t="s">
        <v>24</v>
      </c>
      <c r="B58" s="1" t="s">
        <v>16</v>
      </c>
      <c r="C58" s="1">
        <v>2022</v>
      </c>
      <c r="D58" s="7">
        <v>15907</v>
      </c>
      <c r="E58" s="1">
        <v>8.4</v>
      </c>
      <c r="F58" s="1">
        <v>70</v>
      </c>
      <c r="G58" s="1">
        <v>385133136</v>
      </c>
      <c r="H58" s="1">
        <v>69</v>
      </c>
      <c r="I58" s="1">
        <v>16.5</v>
      </c>
      <c r="J58" s="1">
        <v>97</v>
      </c>
      <c r="K58" s="1">
        <v>82</v>
      </c>
      <c r="L58" s="1" t="s">
        <v>16</v>
      </c>
    </row>
    <row r="59" spans="1:12" x14ac:dyDescent="0.25">
      <c r="A59" s="1" t="s">
        <v>25</v>
      </c>
      <c r="B59" s="1" t="s">
        <v>26</v>
      </c>
      <c r="C59" s="1">
        <v>2021</v>
      </c>
      <c r="D59" s="7">
        <v>17817</v>
      </c>
      <c r="E59" s="1">
        <v>3.8</v>
      </c>
      <c r="F59" s="1">
        <v>75</v>
      </c>
      <c r="G59" s="1">
        <v>868606524</v>
      </c>
      <c r="H59" s="1">
        <v>57</v>
      </c>
      <c r="I59" s="1">
        <v>4.9000000000000004</v>
      </c>
      <c r="J59" s="1">
        <v>89</v>
      </c>
      <c r="K59" s="1">
        <v>89</v>
      </c>
      <c r="L59" s="1" t="s">
        <v>26</v>
      </c>
    </row>
    <row r="60" spans="1:12" x14ac:dyDescent="0.25">
      <c r="A60" s="1" t="s">
        <v>27</v>
      </c>
      <c r="B60" s="1" t="s">
        <v>22</v>
      </c>
      <c r="C60" s="1">
        <v>2022</v>
      </c>
      <c r="D60" s="7">
        <v>28143</v>
      </c>
      <c r="E60" s="1">
        <v>13.8</v>
      </c>
      <c r="F60" s="1">
        <v>84</v>
      </c>
      <c r="G60" s="1">
        <v>147609180</v>
      </c>
      <c r="H60" s="1">
        <v>76</v>
      </c>
      <c r="I60" s="1">
        <v>3.6</v>
      </c>
      <c r="J60" s="1">
        <v>75</v>
      </c>
      <c r="K60" s="1">
        <v>54</v>
      </c>
      <c r="L60" s="1" t="s">
        <v>14</v>
      </c>
    </row>
    <row r="61" spans="1:12" x14ac:dyDescent="0.25">
      <c r="A61" s="1" t="s">
        <v>28</v>
      </c>
      <c r="B61" s="1" t="s">
        <v>29</v>
      </c>
      <c r="C61" s="1">
        <v>2022</v>
      </c>
      <c r="D61" s="7">
        <v>27234</v>
      </c>
      <c r="E61" s="1">
        <v>8.3000000000000007</v>
      </c>
      <c r="F61" s="1">
        <v>84</v>
      </c>
      <c r="G61" s="1">
        <v>990411739</v>
      </c>
      <c r="H61" s="1">
        <v>91</v>
      </c>
      <c r="I61" s="1">
        <v>10.7</v>
      </c>
      <c r="J61" s="1">
        <v>80</v>
      </c>
      <c r="K61" s="1">
        <v>58</v>
      </c>
      <c r="L61" s="1" t="s">
        <v>29</v>
      </c>
    </row>
    <row r="62" spans="1:12" x14ac:dyDescent="0.25">
      <c r="A62" s="1" t="s">
        <v>12</v>
      </c>
      <c r="B62" s="1" t="s">
        <v>13</v>
      </c>
      <c r="C62" s="1">
        <v>2021</v>
      </c>
      <c r="D62" s="7">
        <v>49367</v>
      </c>
      <c r="E62" s="1">
        <v>3.3</v>
      </c>
      <c r="F62" s="1">
        <v>70</v>
      </c>
      <c r="G62" s="1">
        <v>548157662</v>
      </c>
      <c r="H62" s="1">
        <v>68</v>
      </c>
      <c r="I62" s="1">
        <v>4.4000000000000004</v>
      </c>
      <c r="J62" s="1">
        <v>99</v>
      </c>
      <c r="K62" s="1">
        <v>71</v>
      </c>
      <c r="L62" s="1" t="s">
        <v>14</v>
      </c>
    </row>
    <row r="63" spans="1:12" x14ac:dyDescent="0.25">
      <c r="A63" s="1" t="s">
        <v>15</v>
      </c>
      <c r="B63" s="1" t="s">
        <v>16</v>
      </c>
      <c r="C63" s="1">
        <v>2021</v>
      </c>
      <c r="D63" s="7">
        <v>10866</v>
      </c>
      <c r="E63" s="1">
        <v>3.7</v>
      </c>
      <c r="F63" s="1">
        <v>83</v>
      </c>
      <c r="G63" s="1">
        <v>1419064325</v>
      </c>
      <c r="H63" s="1">
        <v>76</v>
      </c>
      <c r="I63" s="1">
        <v>15</v>
      </c>
      <c r="J63" s="1">
        <v>100</v>
      </c>
      <c r="K63" s="1">
        <v>76</v>
      </c>
      <c r="L63" s="1" t="s">
        <v>16</v>
      </c>
    </row>
    <row r="64" spans="1:12" x14ac:dyDescent="0.25">
      <c r="A64" s="1" t="s">
        <v>17</v>
      </c>
      <c r="B64" s="1" t="s">
        <v>18</v>
      </c>
      <c r="C64" s="1">
        <v>2022</v>
      </c>
      <c r="D64" s="7">
        <v>49125</v>
      </c>
      <c r="E64" s="1">
        <v>8.8000000000000007</v>
      </c>
      <c r="F64" s="1">
        <v>67</v>
      </c>
      <c r="G64" s="1">
        <v>989617288</v>
      </c>
      <c r="H64" s="1">
        <v>51</v>
      </c>
      <c r="I64" s="1">
        <v>4.0999999999999996</v>
      </c>
      <c r="J64" s="1">
        <v>78</v>
      </c>
      <c r="K64" s="1">
        <v>86</v>
      </c>
      <c r="L64" s="1" t="s">
        <v>18</v>
      </c>
    </row>
    <row r="65" spans="1:12" x14ac:dyDescent="0.25">
      <c r="A65" s="1" t="s">
        <v>19</v>
      </c>
      <c r="B65" s="1" t="s">
        <v>20</v>
      </c>
      <c r="C65" s="1">
        <v>2021</v>
      </c>
      <c r="D65" s="7">
        <v>15389</v>
      </c>
      <c r="E65" s="1">
        <v>14.4</v>
      </c>
      <c r="F65" s="1">
        <v>76</v>
      </c>
      <c r="G65" s="1">
        <v>1460834804</v>
      </c>
      <c r="H65" s="1">
        <v>93</v>
      </c>
      <c r="I65" s="1">
        <v>10.5</v>
      </c>
      <c r="J65" s="1">
        <v>80</v>
      </c>
      <c r="K65" s="1">
        <v>77</v>
      </c>
      <c r="L65" s="1" t="s">
        <v>20</v>
      </c>
    </row>
    <row r="66" spans="1:12" x14ac:dyDescent="0.25">
      <c r="A66" s="1" t="s">
        <v>21</v>
      </c>
      <c r="B66" s="1" t="s">
        <v>22</v>
      </c>
      <c r="C66" s="1">
        <v>2021</v>
      </c>
      <c r="D66" s="7">
        <v>34433</v>
      </c>
      <c r="E66" s="1">
        <v>14</v>
      </c>
      <c r="F66" s="1">
        <v>75</v>
      </c>
      <c r="G66" s="1">
        <v>399265416</v>
      </c>
      <c r="H66" s="1">
        <v>61</v>
      </c>
      <c r="I66" s="1">
        <v>15.4</v>
      </c>
      <c r="J66" s="1">
        <v>91</v>
      </c>
      <c r="K66" s="1">
        <v>39</v>
      </c>
      <c r="L66" s="1" t="s">
        <v>14</v>
      </c>
    </row>
    <row r="67" spans="1:12" x14ac:dyDescent="0.25">
      <c r="A67" s="1" t="s">
        <v>23</v>
      </c>
      <c r="B67" s="1" t="s">
        <v>18</v>
      </c>
      <c r="C67" s="1">
        <v>2022</v>
      </c>
      <c r="D67" s="7">
        <v>65671</v>
      </c>
      <c r="E67" s="1">
        <v>4.2</v>
      </c>
      <c r="F67" s="1">
        <v>81</v>
      </c>
      <c r="G67" s="1">
        <v>997000219</v>
      </c>
      <c r="H67" s="1">
        <v>55</v>
      </c>
      <c r="I67" s="1">
        <v>11.8</v>
      </c>
      <c r="J67" s="1">
        <v>88</v>
      </c>
      <c r="K67" s="1">
        <v>83</v>
      </c>
      <c r="L67" s="1" t="s">
        <v>18</v>
      </c>
    </row>
    <row r="68" spans="1:12" x14ac:dyDescent="0.25">
      <c r="A68" s="1" t="s">
        <v>24</v>
      </c>
      <c r="B68" s="1" t="s">
        <v>16</v>
      </c>
      <c r="C68" s="1">
        <v>2020</v>
      </c>
      <c r="D68" s="7">
        <v>29118</v>
      </c>
      <c r="E68" s="1">
        <v>9.6999999999999993</v>
      </c>
      <c r="F68" s="1">
        <v>75</v>
      </c>
      <c r="G68" s="1">
        <v>918107039</v>
      </c>
      <c r="H68" s="1">
        <v>69</v>
      </c>
      <c r="I68" s="1">
        <v>8.3000000000000007</v>
      </c>
      <c r="J68" s="1">
        <v>80</v>
      </c>
      <c r="K68" s="1">
        <v>70</v>
      </c>
      <c r="L68" s="1" t="s">
        <v>16</v>
      </c>
    </row>
    <row r="69" spans="1:12" x14ac:dyDescent="0.25">
      <c r="A69" s="1" t="s">
        <v>25</v>
      </c>
      <c r="B69" s="1" t="s">
        <v>26</v>
      </c>
      <c r="C69" s="1">
        <v>2022</v>
      </c>
      <c r="D69" s="7">
        <v>7299</v>
      </c>
      <c r="E69" s="1">
        <v>16.3</v>
      </c>
      <c r="F69" s="1">
        <v>65</v>
      </c>
      <c r="G69" s="1">
        <v>1171399308</v>
      </c>
      <c r="H69" s="1">
        <v>81</v>
      </c>
      <c r="I69" s="1">
        <v>15.2</v>
      </c>
      <c r="J69" s="1">
        <v>84</v>
      </c>
      <c r="K69" s="1">
        <v>53</v>
      </c>
      <c r="L69" s="1" t="s">
        <v>26</v>
      </c>
    </row>
    <row r="70" spans="1:12" x14ac:dyDescent="0.25">
      <c r="A70" s="1" t="s">
        <v>27</v>
      </c>
      <c r="B70" s="1" t="s">
        <v>22</v>
      </c>
      <c r="C70" s="1">
        <v>2020</v>
      </c>
      <c r="D70" s="7">
        <v>12135</v>
      </c>
      <c r="E70" s="1">
        <v>7.1</v>
      </c>
      <c r="F70" s="1">
        <v>70</v>
      </c>
      <c r="G70" s="1">
        <v>312512490</v>
      </c>
      <c r="H70" s="1">
        <v>60</v>
      </c>
      <c r="I70" s="1">
        <v>17.600000000000001</v>
      </c>
      <c r="J70" s="1">
        <v>79</v>
      </c>
      <c r="K70" s="1">
        <v>74</v>
      </c>
      <c r="L70" s="1" t="s">
        <v>14</v>
      </c>
    </row>
    <row r="71" spans="1:12" x14ac:dyDescent="0.25">
      <c r="A71" s="1" t="s">
        <v>28</v>
      </c>
      <c r="B71" s="1" t="s">
        <v>29</v>
      </c>
      <c r="C71" s="1">
        <v>2022</v>
      </c>
      <c r="D71" s="7">
        <v>12646</v>
      </c>
      <c r="E71" s="1">
        <v>8.1</v>
      </c>
      <c r="F71" s="1">
        <v>69</v>
      </c>
      <c r="G71" s="1">
        <v>791588961</v>
      </c>
      <c r="H71" s="1">
        <v>53</v>
      </c>
      <c r="I71" s="1">
        <v>8.1</v>
      </c>
      <c r="J71" s="1">
        <v>99</v>
      </c>
      <c r="K71" s="1">
        <v>75</v>
      </c>
      <c r="L71" s="1" t="s">
        <v>29</v>
      </c>
    </row>
    <row r="72" spans="1:12" x14ac:dyDescent="0.25">
      <c r="A72" s="1" t="s">
        <v>12</v>
      </c>
      <c r="B72" s="1" t="s">
        <v>13</v>
      </c>
      <c r="C72" s="1">
        <v>2022</v>
      </c>
      <c r="D72" s="7">
        <v>48945</v>
      </c>
      <c r="E72" s="1">
        <v>4.3</v>
      </c>
      <c r="F72" s="1">
        <v>72</v>
      </c>
      <c r="G72" s="1">
        <v>1208978621</v>
      </c>
      <c r="H72" s="1">
        <v>88</v>
      </c>
      <c r="I72" s="1">
        <v>6.4</v>
      </c>
      <c r="J72" s="1">
        <v>100</v>
      </c>
      <c r="K72" s="1">
        <v>47</v>
      </c>
      <c r="L72" s="1" t="s">
        <v>14</v>
      </c>
    </row>
    <row r="73" spans="1:12" x14ac:dyDescent="0.25">
      <c r="A73" s="1" t="s">
        <v>15</v>
      </c>
      <c r="B73" s="1" t="s">
        <v>16</v>
      </c>
      <c r="C73" s="1">
        <v>2021</v>
      </c>
      <c r="D73" s="7">
        <v>50453</v>
      </c>
      <c r="E73" s="1">
        <v>14</v>
      </c>
      <c r="F73" s="1">
        <v>66</v>
      </c>
      <c r="G73" s="1">
        <v>1446031562</v>
      </c>
      <c r="H73" s="1">
        <v>80</v>
      </c>
      <c r="I73" s="1">
        <v>9.6999999999999993</v>
      </c>
      <c r="J73" s="1">
        <v>92</v>
      </c>
      <c r="K73" s="1">
        <v>72</v>
      </c>
      <c r="L73" s="1" t="s">
        <v>16</v>
      </c>
    </row>
    <row r="74" spans="1:12" x14ac:dyDescent="0.25">
      <c r="A74" s="1" t="s">
        <v>17</v>
      </c>
      <c r="B74" s="1" t="s">
        <v>18</v>
      </c>
      <c r="C74" s="1">
        <v>2020</v>
      </c>
      <c r="D74" s="7">
        <v>51145</v>
      </c>
      <c r="E74" s="1">
        <v>17</v>
      </c>
      <c r="F74" s="1">
        <v>83</v>
      </c>
      <c r="G74" s="1">
        <v>15001276</v>
      </c>
      <c r="H74" s="1">
        <v>94</v>
      </c>
      <c r="I74" s="1">
        <v>18.600000000000001</v>
      </c>
      <c r="J74" s="1">
        <v>71</v>
      </c>
      <c r="K74" s="1">
        <v>53</v>
      </c>
      <c r="L74" s="1" t="s">
        <v>18</v>
      </c>
    </row>
    <row r="75" spans="1:12" x14ac:dyDescent="0.25">
      <c r="A75" s="1" t="s">
        <v>19</v>
      </c>
      <c r="B75" s="1" t="s">
        <v>20</v>
      </c>
      <c r="C75" s="1">
        <v>2020</v>
      </c>
      <c r="D75" s="7">
        <v>66826</v>
      </c>
      <c r="E75" s="1">
        <v>12.2</v>
      </c>
      <c r="F75" s="1">
        <v>76</v>
      </c>
      <c r="G75" s="1">
        <v>977544151</v>
      </c>
      <c r="H75" s="1">
        <v>63</v>
      </c>
      <c r="I75" s="1">
        <v>17</v>
      </c>
      <c r="J75" s="1">
        <v>84</v>
      </c>
      <c r="K75" s="1">
        <v>51</v>
      </c>
      <c r="L75" s="1" t="s">
        <v>20</v>
      </c>
    </row>
    <row r="76" spans="1:12" x14ac:dyDescent="0.25">
      <c r="A76" s="1" t="s">
        <v>21</v>
      </c>
      <c r="B76" s="1" t="s">
        <v>22</v>
      </c>
      <c r="C76" s="1">
        <v>2020</v>
      </c>
      <c r="D76" s="7">
        <v>59521</v>
      </c>
      <c r="E76" s="1">
        <v>14.9</v>
      </c>
      <c r="F76" s="1">
        <v>68</v>
      </c>
      <c r="G76" s="1">
        <v>632459210</v>
      </c>
      <c r="H76" s="1">
        <v>92</v>
      </c>
      <c r="I76" s="1">
        <v>2.6</v>
      </c>
      <c r="J76" s="1">
        <v>78</v>
      </c>
      <c r="K76" s="1">
        <v>57</v>
      </c>
      <c r="L76" s="1" t="s">
        <v>14</v>
      </c>
    </row>
    <row r="77" spans="1:12" x14ac:dyDescent="0.25">
      <c r="A77" s="1" t="s">
        <v>23</v>
      </c>
      <c r="B77" s="1" t="s">
        <v>18</v>
      </c>
      <c r="C77" s="1">
        <v>2020</v>
      </c>
      <c r="D77" s="7">
        <v>57924</v>
      </c>
      <c r="E77" s="1">
        <v>6.1</v>
      </c>
      <c r="F77" s="1">
        <v>65</v>
      </c>
      <c r="G77" s="1">
        <v>100505635</v>
      </c>
      <c r="H77" s="1">
        <v>93</v>
      </c>
      <c r="I77" s="1">
        <v>21.2</v>
      </c>
      <c r="J77" s="1">
        <v>98</v>
      </c>
      <c r="K77" s="1">
        <v>59</v>
      </c>
      <c r="L77" s="1" t="s">
        <v>18</v>
      </c>
    </row>
    <row r="78" spans="1:12" x14ac:dyDescent="0.25">
      <c r="A78" s="1" t="s">
        <v>24</v>
      </c>
      <c r="B78" s="1" t="s">
        <v>16</v>
      </c>
      <c r="C78" s="1">
        <v>2020</v>
      </c>
      <c r="D78" s="7">
        <v>25144</v>
      </c>
      <c r="E78" s="1">
        <v>10.9</v>
      </c>
      <c r="F78" s="1">
        <v>66</v>
      </c>
      <c r="G78" s="1">
        <v>463168449</v>
      </c>
      <c r="H78" s="1">
        <v>57</v>
      </c>
      <c r="I78" s="1">
        <v>12.8</v>
      </c>
      <c r="J78" s="1">
        <v>70</v>
      </c>
      <c r="K78" s="1">
        <v>39</v>
      </c>
      <c r="L78" s="1" t="s">
        <v>16</v>
      </c>
    </row>
    <row r="79" spans="1:12" x14ac:dyDescent="0.25">
      <c r="A79" s="1" t="s">
        <v>25</v>
      </c>
      <c r="B79" s="1" t="s">
        <v>26</v>
      </c>
      <c r="C79" s="1">
        <v>2020</v>
      </c>
      <c r="D79" s="7">
        <v>61636</v>
      </c>
      <c r="E79" s="1">
        <v>8.3000000000000007</v>
      </c>
      <c r="F79" s="1">
        <v>62</v>
      </c>
      <c r="G79" s="1">
        <v>536876061</v>
      </c>
      <c r="H79" s="1">
        <v>70</v>
      </c>
      <c r="I79" s="1">
        <v>20.6</v>
      </c>
      <c r="J79" s="1">
        <v>91</v>
      </c>
      <c r="K79" s="1">
        <v>90</v>
      </c>
      <c r="L79" s="1" t="s">
        <v>26</v>
      </c>
    </row>
    <row r="80" spans="1:12" x14ac:dyDescent="0.25">
      <c r="A80" s="1" t="s">
        <v>27</v>
      </c>
      <c r="B80" s="1" t="s">
        <v>22</v>
      </c>
      <c r="C80" s="1">
        <v>2022</v>
      </c>
      <c r="D80" s="7">
        <v>63564</v>
      </c>
      <c r="E80" s="1">
        <v>7.5</v>
      </c>
      <c r="F80" s="1">
        <v>72</v>
      </c>
      <c r="G80" s="1">
        <v>939466196</v>
      </c>
      <c r="H80" s="1">
        <v>80</v>
      </c>
      <c r="I80" s="1">
        <v>14.8</v>
      </c>
      <c r="J80" s="1">
        <v>76</v>
      </c>
      <c r="K80" s="1">
        <v>66</v>
      </c>
      <c r="L80" s="1" t="s">
        <v>14</v>
      </c>
    </row>
    <row r="81" spans="1:12" x14ac:dyDescent="0.25">
      <c r="A81" s="1" t="s">
        <v>28</v>
      </c>
      <c r="B81" s="1" t="s">
        <v>29</v>
      </c>
      <c r="C81" s="1">
        <v>2020</v>
      </c>
      <c r="D81" s="7">
        <v>28071</v>
      </c>
      <c r="E81" s="1">
        <v>3.7</v>
      </c>
      <c r="F81" s="1">
        <v>82</v>
      </c>
      <c r="G81" s="1">
        <v>1366450380</v>
      </c>
      <c r="H81" s="1">
        <v>65</v>
      </c>
      <c r="I81" s="1">
        <v>9.1999999999999993</v>
      </c>
      <c r="J81" s="1">
        <v>82</v>
      </c>
      <c r="K81" s="1">
        <v>44</v>
      </c>
      <c r="L81" s="1" t="s">
        <v>29</v>
      </c>
    </row>
    <row r="82" spans="1:12" x14ac:dyDescent="0.25">
      <c r="A82" s="1" t="s">
        <v>12</v>
      </c>
      <c r="B82" s="1" t="s">
        <v>13</v>
      </c>
      <c r="C82" s="1">
        <v>2020</v>
      </c>
      <c r="D82" s="7">
        <v>19507</v>
      </c>
      <c r="E82" s="1">
        <v>7.3</v>
      </c>
      <c r="F82" s="1">
        <v>78</v>
      </c>
      <c r="G82" s="1">
        <v>1096584543</v>
      </c>
      <c r="H82" s="1">
        <v>76</v>
      </c>
      <c r="I82" s="1">
        <v>3.7</v>
      </c>
      <c r="J82" s="1">
        <v>77</v>
      </c>
      <c r="K82" s="1">
        <v>63</v>
      </c>
      <c r="L82" s="1" t="s">
        <v>14</v>
      </c>
    </row>
    <row r="83" spans="1:12" x14ac:dyDescent="0.25">
      <c r="A83" s="1" t="s">
        <v>15</v>
      </c>
      <c r="B83" s="1" t="s">
        <v>16</v>
      </c>
      <c r="C83" s="1">
        <v>2021</v>
      </c>
      <c r="D83" s="7">
        <v>55609</v>
      </c>
      <c r="E83" s="1">
        <v>16.600000000000001</v>
      </c>
      <c r="F83" s="1">
        <v>66</v>
      </c>
      <c r="G83" s="1">
        <v>1105966001</v>
      </c>
      <c r="H83" s="1">
        <v>56</v>
      </c>
      <c r="I83" s="1">
        <v>7.4</v>
      </c>
      <c r="J83" s="1">
        <v>74</v>
      </c>
      <c r="K83" s="1">
        <v>58</v>
      </c>
      <c r="L83" s="1" t="s">
        <v>16</v>
      </c>
    </row>
    <row r="84" spans="1:12" x14ac:dyDescent="0.25">
      <c r="A84" s="1" t="s">
        <v>17</v>
      </c>
      <c r="B84" s="1" t="s">
        <v>18</v>
      </c>
      <c r="C84" s="1">
        <v>2021</v>
      </c>
      <c r="D84" s="7">
        <v>68376</v>
      </c>
      <c r="E84" s="1">
        <v>6.3</v>
      </c>
      <c r="F84" s="1">
        <v>76</v>
      </c>
      <c r="G84" s="1">
        <v>1389242644</v>
      </c>
      <c r="H84" s="1">
        <v>64</v>
      </c>
      <c r="I84" s="1">
        <v>18.3</v>
      </c>
      <c r="J84" s="1">
        <v>79</v>
      </c>
      <c r="K84" s="1">
        <v>53</v>
      </c>
      <c r="L84" s="1" t="s">
        <v>18</v>
      </c>
    </row>
    <row r="85" spans="1:12" x14ac:dyDescent="0.25">
      <c r="A85" s="1" t="s">
        <v>19</v>
      </c>
      <c r="B85" s="1" t="s">
        <v>20</v>
      </c>
      <c r="C85" s="1">
        <v>2022</v>
      </c>
      <c r="D85" s="7">
        <v>4012</v>
      </c>
      <c r="E85" s="1">
        <v>7.6</v>
      </c>
      <c r="F85" s="1">
        <v>70</v>
      </c>
      <c r="G85" s="1">
        <v>823571094</v>
      </c>
      <c r="H85" s="1">
        <v>84</v>
      </c>
      <c r="I85" s="1">
        <v>16.899999999999999</v>
      </c>
      <c r="J85" s="1">
        <v>81</v>
      </c>
      <c r="K85" s="1">
        <v>75</v>
      </c>
      <c r="L85" s="1" t="s">
        <v>20</v>
      </c>
    </row>
    <row r="86" spans="1:12" x14ac:dyDescent="0.25">
      <c r="A86" s="1" t="s">
        <v>21</v>
      </c>
      <c r="B86" s="1" t="s">
        <v>22</v>
      </c>
      <c r="C86" s="1">
        <v>2021</v>
      </c>
      <c r="D86" s="7">
        <v>38104</v>
      </c>
      <c r="E86" s="1">
        <v>14.2</v>
      </c>
      <c r="F86" s="1">
        <v>81</v>
      </c>
      <c r="G86" s="1">
        <v>1127433910</v>
      </c>
      <c r="H86" s="1">
        <v>75</v>
      </c>
      <c r="I86" s="1">
        <v>22.8</v>
      </c>
      <c r="J86" s="1">
        <v>99</v>
      </c>
      <c r="K86" s="1">
        <v>32</v>
      </c>
      <c r="L86" s="1" t="s">
        <v>14</v>
      </c>
    </row>
    <row r="87" spans="1:12" x14ac:dyDescent="0.25">
      <c r="A87" s="1" t="s">
        <v>23</v>
      </c>
      <c r="B87" s="1" t="s">
        <v>18</v>
      </c>
      <c r="C87" s="1">
        <v>2020</v>
      </c>
      <c r="D87" s="7">
        <v>59393</v>
      </c>
      <c r="E87" s="1">
        <v>6.9</v>
      </c>
      <c r="F87" s="1">
        <v>64</v>
      </c>
      <c r="G87" s="1">
        <v>1018071697</v>
      </c>
      <c r="H87" s="1">
        <v>93</v>
      </c>
      <c r="I87" s="1">
        <v>24.4</v>
      </c>
      <c r="J87" s="1">
        <v>91</v>
      </c>
      <c r="K87" s="1">
        <v>57</v>
      </c>
      <c r="L87" s="1" t="s">
        <v>18</v>
      </c>
    </row>
    <row r="88" spans="1:12" x14ac:dyDescent="0.25">
      <c r="A88" s="1" t="s">
        <v>24</v>
      </c>
      <c r="B88" s="1" t="s">
        <v>16</v>
      </c>
      <c r="C88" s="1">
        <v>2021</v>
      </c>
      <c r="D88" s="7">
        <v>19696</v>
      </c>
      <c r="E88" s="1">
        <v>9.3000000000000007</v>
      </c>
      <c r="F88" s="1">
        <v>65</v>
      </c>
      <c r="G88" s="1">
        <v>453095962</v>
      </c>
      <c r="H88" s="1">
        <v>90</v>
      </c>
      <c r="I88" s="1">
        <v>10.3</v>
      </c>
      <c r="J88" s="1">
        <v>92</v>
      </c>
      <c r="K88" s="1">
        <v>72</v>
      </c>
      <c r="L88" s="1" t="s">
        <v>16</v>
      </c>
    </row>
    <row r="89" spans="1:12" x14ac:dyDescent="0.25">
      <c r="A89" s="1" t="s">
        <v>25</v>
      </c>
      <c r="B89" s="1" t="s">
        <v>26</v>
      </c>
      <c r="C89" s="1">
        <v>2021</v>
      </c>
      <c r="D89" s="7">
        <v>31117</v>
      </c>
      <c r="E89" s="1">
        <v>13.9</v>
      </c>
      <c r="F89" s="1">
        <v>63</v>
      </c>
      <c r="G89" s="1">
        <v>213430923</v>
      </c>
      <c r="H89" s="1">
        <v>95</v>
      </c>
      <c r="I89" s="1">
        <v>16.3</v>
      </c>
      <c r="J89" s="1">
        <v>72</v>
      </c>
      <c r="K89" s="1">
        <v>31</v>
      </c>
      <c r="L89" s="1" t="s">
        <v>26</v>
      </c>
    </row>
    <row r="90" spans="1:12" x14ac:dyDescent="0.25">
      <c r="A90" s="1" t="s">
        <v>27</v>
      </c>
      <c r="B90" s="1" t="s">
        <v>22</v>
      </c>
      <c r="C90" s="1">
        <v>2020</v>
      </c>
      <c r="D90" s="7">
        <v>59584</v>
      </c>
      <c r="E90" s="1">
        <v>7.8</v>
      </c>
      <c r="F90" s="1">
        <v>79</v>
      </c>
      <c r="G90" s="1">
        <v>78117296</v>
      </c>
      <c r="H90" s="1">
        <v>66</v>
      </c>
      <c r="I90" s="1">
        <v>11.9</v>
      </c>
      <c r="J90" s="1">
        <v>70</v>
      </c>
      <c r="K90" s="1">
        <v>55</v>
      </c>
      <c r="L90" s="1" t="s">
        <v>14</v>
      </c>
    </row>
    <row r="91" spans="1:12" x14ac:dyDescent="0.25">
      <c r="A91" s="1" t="s">
        <v>28</v>
      </c>
      <c r="B91" s="1" t="s">
        <v>29</v>
      </c>
      <c r="C91" s="1">
        <v>2020</v>
      </c>
      <c r="D91" s="7">
        <v>10134</v>
      </c>
      <c r="E91" s="1">
        <v>12.1</v>
      </c>
      <c r="F91" s="1">
        <v>69</v>
      </c>
      <c r="G91" s="1">
        <v>456672586</v>
      </c>
      <c r="H91" s="1">
        <v>84</v>
      </c>
      <c r="I91" s="1">
        <v>12.3</v>
      </c>
      <c r="J91" s="1">
        <v>93</v>
      </c>
      <c r="K91" s="1">
        <v>62</v>
      </c>
      <c r="L91" s="1" t="s">
        <v>29</v>
      </c>
    </row>
    <row r="92" spans="1:12" x14ac:dyDescent="0.25">
      <c r="A92" s="1" t="s">
        <v>12</v>
      </c>
      <c r="B92" s="1" t="s">
        <v>13</v>
      </c>
      <c r="C92" s="1">
        <v>2020</v>
      </c>
      <c r="D92" s="7">
        <v>50989</v>
      </c>
      <c r="E92" s="1">
        <v>12.6</v>
      </c>
      <c r="F92" s="1">
        <v>70</v>
      </c>
      <c r="G92" s="1">
        <v>1267573118</v>
      </c>
      <c r="H92" s="1">
        <v>88</v>
      </c>
      <c r="I92" s="1">
        <v>12.2</v>
      </c>
      <c r="J92" s="1">
        <v>78</v>
      </c>
      <c r="K92" s="1">
        <v>82</v>
      </c>
      <c r="L92" s="1" t="s">
        <v>14</v>
      </c>
    </row>
    <row r="93" spans="1:12" x14ac:dyDescent="0.25">
      <c r="A93" s="1" t="s">
        <v>15</v>
      </c>
      <c r="B93" s="1" t="s">
        <v>16</v>
      </c>
      <c r="C93" s="1">
        <v>2020</v>
      </c>
      <c r="D93" s="7">
        <v>59402</v>
      </c>
      <c r="E93" s="1">
        <v>13.1</v>
      </c>
      <c r="F93" s="1">
        <v>62</v>
      </c>
      <c r="G93" s="1">
        <v>527223019</v>
      </c>
      <c r="H93" s="1">
        <v>51</v>
      </c>
      <c r="I93" s="1">
        <v>17.7</v>
      </c>
      <c r="J93" s="1">
        <v>94</v>
      </c>
      <c r="K93" s="1">
        <v>32</v>
      </c>
      <c r="L93" s="1" t="s">
        <v>16</v>
      </c>
    </row>
    <row r="94" spans="1:12" x14ac:dyDescent="0.25">
      <c r="A94" s="1" t="s">
        <v>17</v>
      </c>
      <c r="B94" s="1" t="s">
        <v>18</v>
      </c>
      <c r="C94" s="1">
        <v>2021</v>
      </c>
      <c r="D94" s="7">
        <v>38360</v>
      </c>
      <c r="E94" s="1">
        <v>16.5</v>
      </c>
      <c r="F94" s="1">
        <v>74</v>
      </c>
      <c r="G94" s="1">
        <v>723344561</v>
      </c>
      <c r="H94" s="1">
        <v>50</v>
      </c>
      <c r="I94" s="1">
        <v>15.3</v>
      </c>
      <c r="J94" s="1">
        <v>89</v>
      </c>
      <c r="K94" s="1">
        <v>41</v>
      </c>
      <c r="L94" s="1" t="s">
        <v>18</v>
      </c>
    </row>
    <row r="95" spans="1:12" x14ac:dyDescent="0.25">
      <c r="A95" s="1" t="s">
        <v>19</v>
      </c>
      <c r="B95" s="1" t="s">
        <v>20</v>
      </c>
      <c r="C95" s="1">
        <v>2021</v>
      </c>
      <c r="D95" s="7">
        <v>66478</v>
      </c>
      <c r="E95" s="1">
        <v>3.3</v>
      </c>
      <c r="F95" s="1">
        <v>70</v>
      </c>
      <c r="G95" s="1">
        <v>561526459</v>
      </c>
      <c r="H95" s="1">
        <v>54</v>
      </c>
      <c r="I95" s="1">
        <v>17.5</v>
      </c>
      <c r="J95" s="1">
        <v>79</v>
      </c>
      <c r="K95" s="1">
        <v>89</v>
      </c>
      <c r="L95" s="1" t="s">
        <v>20</v>
      </c>
    </row>
    <row r="96" spans="1:12" x14ac:dyDescent="0.25">
      <c r="A96" s="1" t="s">
        <v>21</v>
      </c>
      <c r="B96" s="1" t="s">
        <v>22</v>
      </c>
      <c r="C96" s="1">
        <v>2021</v>
      </c>
      <c r="D96" s="7">
        <v>63151</v>
      </c>
      <c r="E96" s="1">
        <v>13.4</v>
      </c>
      <c r="F96" s="1">
        <v>63</v>
      </c>
      <c r="G96" s="1">
        <v>1256041242</v>
      </c>
      <c r="H96" s="1">
        <v>83</v>
      </c>
      <c r="I96" s="1">
        <v>24.6</v>
      </c>
      <c r="J96" s="1">
        <v>95</v>
      </c>
      <c r="K96" s="1">
        <v>69</v>
      </c>
      <c r="L96" s="1" t="s">
        <v>14</v>
      </c>
    </row>
    <row r="97" spans="1:12" x14ac:dyDescent="0.25">
      <c r="A97" s="1" t="s">
        <v>23</v>
      </c>
      <c r="B97" s="1" t="s">
        <v>18</v>
      </c>
      <c r="C97" s="1">
        <v>2020</v>
      </c>
      <c r="D97" s="7">
        <v>30004</v>
      </c>
      <c r="E97" s="1">
        <v>11.9</v>
      </c>
      <c r="F97" s="1">
        <v>67</v>
      </c>
      <c r="G97" s="1">
        <v>1284232344</v>
      </c>
      <c r="H97" s="1">
        <v>71</v>
      </c>
      <c r="I97" s="1">
        <v>4.5</v>
      </c>
      <c r="J97" s="1">
        <v>91</v>
      </c>
      <c r="K97" s="1">
        <v>50</v>
      </c>
      <c r="L97" s="1" t="s">
        <v>18</v>
      </c>
    </row>
    <row r="98" spans="1:12" x14ac:dyDescent="0.25">
      <c r="A98" s="1" t="s">
        <v>24</v>
      </c>
      <c r="B98" s="1" t="s">
        <v>16</v>
      </c>
      <c r="C98" s="1">
        <v>2022</v>
      </c>
      <c r="D98" s="7">
        <v>8301</v>
      </c>
      <c r="E98" s="1">
        <v>3.6</v>
      </c>
      <c r="F98" s="1">
        <v>71</v>
      </c>
      <c r="G98" s="1">
        <v>1222005245</v>
      </c>
      <c r="H98" s="1">
        <v>66</v>
      </c>
      <c r="I98" s="1">
        <v>14</v>
      </c>
      <c r="J98" s="1">
        <v>73</v>
      </c>
      <c r="K98" s="1">
        <v>36</v>
      </c>
      <c r="L98" s="1" t="s">
        <v>16</v>
      </c>
    </row>
    <row r="99" spans="1:12" x14ac:dyDescent="0.25">
      <c r="A99" s="1" t="s">
        <v>25</v>
      </c>
      <c r="B99" s="1" t="s">
        <v>26</v>
      </c>
      <c r="C99" s="1">
        <v>2021</v>
      </c>
      <c r="D99" s="7">
        <v>13745</v>
      </c>
      <c r="E99" s="1">
        <v>16.7</v>
      </c>
      <c r="F99" s="1">
        <v>83</v>
      </c>
      <c r="G99" s="1">
        <v>739964509</v>
      </c>
      <c r="H99" s="1">
        <v>56</v>
      </c>
      <c r="I99" s="1">
        <v>6.1</v>
      </c>
      <c r="J99" s="1">
        <v>87</v>
      </c>
      <c r="K99" s="1">
        <v>46</v>
      </c>
      <c r="L99" s="1" t="s">
        <v>26</v>
      </c>
    </row>
    <row r="100" spans="1:12" x14ac:dyDescent="0.25">
      <c r="A100" s="1" t="s">
        <v>27</v>
      </c>
      <c r="B100" s="1" t="s">
        <v>22</v>
      </c>
      <c r="C100" s="1">
        <v>2020</v>
      </c>
      <c r="D100" s="7">
        <v>61326</v>
      </c>
      <c r="E100" s="1">
        <v>14.3</v>
      </c>
      <c r="F100" s="1">
        <v>71</v>
      </c>
      <c r="G100" s="1">
        <v>286281086</v>
      </c>
      <c r="H100" s="1">
        <v>57</v>
      </c>
      <c r="I100" s="1">
        <v>11</v>
      </c>
      <c r="J100" s="1">
        <v>70</v>
      </c>
      <c r="K100" s="1">
        <v>75</v>
      </c>
      <c r="L100" s="1" t="s">
        <v>14</v>
      </c>
    </row>
    <row r="101" spans="1:12" x14ac:dyDescent="0.25">
      <c r="A101" s="1" t="s">
        <v>28</v>
      </c>
      <c r="B101" s="1" t="s">
        <v>29</v>
      </c>
      <c r="C101" s="1">
        <v>2021</v>
      </c>
      <c r="D101" s="7">
        <v>56258</v>
      </c>
      <c r="E101" s="1">
        <v>13.8</v>
      </c>
      <c r="F101" s="1">
        <v>77</v>
      </c>
      <c r="G101" s="1">
        <v>1271836611</v>
      </c>
      <c r="H101" s="1">
        <v>90</v>
      </c>
      <c r="I101" s="1">
        <v>23.3</v>
      </c>
      <c r="J101" s="1">
        <v>92</v>
      </c>
      <c r="K101" s="1">
        <v>67</v>
      </c>
      <c r="L101" s="1" t="s">
        <v>29</v>
      </c>
    </row>
    <row r="102" spans="1:12" x14ac:dyDescent="0.25">
      <c r="A102" s="1" t="s">
        <v>12</v>
      </c>
      <c r="B102" s="1" t="s">
        <v>13</v>
      </c>
      <c r="C102" s="1">
        <v>2021</v>
      </c>
      <c r="D102" s="7">
        <v>67370</v>
      </c>
      <c r="E102" s="1">
        <v>4</v>
      </c>
      <c r="F102" s="1">
        <v>81</v>
      </c>
      <c r="G102" s="1">
        <v>532255249</v>
      </c>
      <c r="H102" s="1">
        <v>71</v>
      </c>
      <c r="I102" s="1">
        <v>19</v>
      </c>
      <c r="J102" s="1">
        <v>75</v>
      </c>
      <c r="K102" s="1">
        <v>58</v>
      </c>
      <c r="L102" s="1" t="s">
        <v>14</v>
      </c>
    </row>
    <row r="103" spans="1:12" x14ac:dyDescent="0.25">
      <c r="A103" s="1" t="s">
        <v>15</v>
      </c>
      <c r="B103" s="1" t="s">
        <v>16</v>
      </c>
      <c r="C103" s="1">
        <v>2021</v>
      </c>
      <c r="D103" s="7">
        <v>36822</v>
      </c>
      <c r="E103" s="1">
        <v>4.5999999999999996</v>
      </c>
      <c r="F103" s="1">
        <v>61</v>
      </c>
      <c r="G103" s="1">
        <v>337667637</v>
      </c>
      <c r="H103" s="1">
        <v>87</v>
      </c>
      <c r="I103" s="1">
        <v>6</v>
      </c>
      <c r="J103" s="1">
        <v>89</v>
      </c>
      <c r="K103" s="1">
        <v>56</v>
      </c>
      <c r="L103" s="1" t="s">
        <v>16</v>
      </c>
    </row>
    <row r="104" spans="1:12" x14ac:dyDescent="0.25">
      <c r="A104" s="1" t="s">
        <v>17</v>
      </c>
      <c r="B104" s="1" t="s">
        <v>18</v>
      </c>
      <c r="C104" s="1">
        <v>2020</v>
      </c>
      <c r="D104" s="7">
        <v>15283</v>
      </c>
      <c r="E104" s="1">
        <v>3.2</v>
      </c>
      <c r="F104" s="1">
        <v>62</v>
      </c>
      <c r="G104" s="1">
        <v>1261381907</v>
      </c>
      <c r="H104" s="1">
        <v>77</v>
      </c>
      <c r="I104" s="1">
        <v>21.8</v>
      </c>
      <c r="J104" s="1">
        <v>95</v>
      </c>
      <c r="K104" s="1">
        <v>31</v>
      </c>
      <c r="L104" s="1" t="s">
        <v>18</v>
      </c>
    </row>
    <row r="105" spans="1:12" x14ac:dyDescent="0.25">
      <c r="A105" s="1" t="s">
        <v>19</v>
      </c>
      <c r="B105" s="1" t="s">
        <v>20</v>
      </c>
      <c r="C105" s="1">
        <v>2022</v>
      </c>
      <c r="D105" s="7">
        <v>41736</v>
      </c>
      <c r="E105" s="1">
        <v>9.6999999999999993</v>
      </c>
      <c r="F105" s="1">
        <v>83</v>
      </c>
      <c r="G105" s="1">
        <v>468323510</v>
      </c>
      <c r="H105" s="1">
        <v>79</v>
      </c>
      <c r="I105" s="1">
        <v>22.6</v>
      </c>
      <c r="J105" s="1">
        <v>84</v>
      </c>
      <c r="K105" s="1">
        <v>72</v>
      </c>
      <c r="L105" s="1" t="s">
        <v>20</v>
      </c>
    </row>
    <row r="106" spans="1:12" x14ac:dyDescent="0.25">
      <c r="A106" s="1" t="s">
        <v>21</v>
      </c>
      <c r="B106" s="1" t="s">
        <v>22</v>
      </c>
      <c r="C106" s="1">
        <v>2021</v>
      </c>
      <c r="D106" s="7">
        <v>69902</v>
      </c>
      <c r="E106" s="1">
        <v>9.9</v>
      </c>
      <c r="F106" s="1">
        <v>63</v>
      </c>
      <c r="G106" s="1">
        <v>22538025</v>
      </c>
      <c r="H106" s="1">
        <v>94</v>
      </c>
      <c r="I106" s="1">
        <v>17.399999999999999</v>
      </c>
      <c r="J106" s="1">
        <v>98</v>
      </c>
      <c r="K106" s="1">
        <v>48</v>
      </c>
      <c r="L106" s="1" t="s">
        <v>14</v>
      </c>
    </row>
    <row r="107" spans="1:12" x14ac:dyDescent="0.25">
      <c r="A107" s="1" t="s">
        <v>23</v>
      </c>
      <c r="B107" s="1" t="s">
        <v>18</v>
      </c>
      <c r="C107" s="1">
        <v>2022</v>
      </c>
      <c r="D107" s="7">
        <v>67591</v>
      </c>
      <c r="E107" s="1">
        <v>10</v>
      </c>
      <c r="F107" s="1">
        <v>72</v>
      </c>
      <c r="G107" s="1">
        <v>1284507238</v>
      </c>
      <c r="H107" s="1">
        <v>63</v>
      </c>
      <c r="I107" s="1">
        <v>7.4</v>
      </c>
      <c r="J107" s="1">
        <v>79</v>
      </c>
      <c r="K107" s="1">
        <v>68</v>
      </c>
      <c r="L107" s="1" t="s">
        <v>18</v>
      </c>
    </row>
    <row r="108" spans="1:12" x14ac:dyDescent="0.25">
      <c r="A108" s="1" t="s">
        <v>24</v>
      </c>
      <c r="B108" s="1" t="s">
        <v>16</v>
      </c>
      <c r="C108" s="1">
        <v>2021</v>
      </c>
      <c r="D108" s="7">
        <v>27819</v>
      </c>
      <c r="E108" s="1">
        <v>7.1</v>
      </c>
      <c r="F108" s="1">
        <v>84</v>
      </c>
      <c r="G108" s="1">
        <v>1190212334</v>
      </c>
      <c r="H108" s="1">
        <v>78</v>
      </c>
      <c r="I108" s="1">
        <v>24.2</v>
      </c>
      <c r="J108" s="1">
        <v>82</v>
      </c>
      <c r="K108" s="1">
        <v>88</v>
      </c>
      <c r="L108" s="1" t="s">
        <v>16</v>
      </c>
    </row>
    <row r="109" spans="1:12" x14ac:dyDescent="0.25">
      <c r="A109" s="1" t="s">
        <v>25</v>
      </c>
      <c r="B109" s="1" t="s">
        <v>26</v>
      </c>
      <c r="C109" s="1">
        <v>2021</v>
      </c>
      <c r="D109" s="7">
        <v>52755</v>
      </c>
      <c r="E109" s="1">
        <v>6.9</v>
      </c>
      <c r="F109" s="1">
        <v>85</v>
      </c>
      <c r="G109" s="1">
        <v>48594675</v>
      </c>
      <c r="H109" s="1">
        <v>68</v>
      </c>
      <c r="I109" s="1">
        <v>6.8</v>
      </c>
      <c r="J109" s="1">
        <v>71</v>
      </c>
      <c r="K109" s="1">
        <v>43</v>
      </c>
      <c r="L109" s="1" t="s">
        <v>26</v>
      </c>
    </row>
    <row r="110" spans="1:12" x14ac:dyDescent="0.25">
      <c r="A110" s="1" t="s">
        <v>27</v>
      </c>
      <c r="B110" s="1" t="s">
        <v>22</v>
      </c>
      <c r="C110" s="1">
        <v>2020</v>
      </c>
      <c r="D110" s="7">
        <v>12268</v>
      </c>
      <c r="E110" s="1">
        <v>12.4</v>
      </c>
      <c r="F110" s="1">
        <v>79</v>
      </c>
      <c r="G110" s="1">
        <v>376091310</v>
      </c>
      <c r="H110" s="1">
        <v>58</v>
      </c>
      <c r="I110" s="1">
        <v>15.8</v>
      </c>
      <c r="J110" s="1">
        <v>82</v>
      </c>
      <c r="K110" s="1">
        <v>80</v>
      </c>
      <c r="L110" s="1" t="s">
        <v>14</v>
      </c>
    </row>
    <row r="111" spans="1:12" x14ac:dyDescent="0.25">
      <c r="A111" s="1" t="s">
        <v>28</v>
      </c>
      <c r="B111" s="1" t="s">
        <v>29</v>
      </c>
      <c r="C111" s="1">
        <v>2020</v>
      </c>
      <c r="D111" s="7">
        <v>66881</v>
      </c>
      <c r="E111" s="1">
        <v>7</v>
      </c>
      <c r="F111" s="1">
        <v>70</v>
      </c>
      <c r="G111" s="1">
        <v>378577359</v>
      </c>
      <c r="H111" s="1">
        <v>77</v>
      </c>
      <c r="I111" s="1">
        <v>2.5</v>
      </c>
      <c r="J111" s="1">
        <v>98</v>
      </c>
      <c r="K111" s="1">
        <v>36</v>
      </c>
      <c r="L111" s="1" t="s">
        <v>29</v>
      </c>
    </row>
    <row r="112" spans="1:12" x14ac:dyDescent="0.25">
      <c r="A112" s="1" t="s">
        <v>12</v>
      </c>
      <c r="B112" s="1" t="s">
        <v>13</v>
      </c>
      <c r="C112" s="1">
        <v>2021</v>
      </c>
      <c r="D112" s="7">
        <v>18191</v>
      </c>
      <c r="E112" s="1">
        <v>4.9000000000000004</v>
      </c>
      <c r="F112" s="1">
        <v>82</v>
      </c>
      <c r="G112" s="1">
        <v>1249257061</v>
      </c>
      <c r="H112" s="1">
        <v>52</v>
      </c>
      <c r="I112" s="1">
        <v>17.5</v>
      </c>
      <c r="J112" s="1">
        <v>72</v>
      </c>
      <c r="K112" s="1">
        <v>40</v>
      </c>
      <c r="L112" s="1" t="s">
        <v>14</v>
      </c>
    </row>
    <row r="113" spans="1:12" x14ac:dyDescent="0.25">
      <c r="A113" s="1" t="s">
        <v>15</v>
      </c>
      <c r="B113" s="1" t="s">
        <v>16</v>
      </c>
      <c r="C113" s="1">
        <v>2022</v>
      </c>
      <c r="D113" s="7">
        <v>26802</v>
      </c>
      <c r="E113" s="1">
        <v>8.1</v>
      </c>
      <c r="F113" s="1">
        <v>80</v>
      </c>
      <c r="G113" s="1">
        <v>278252233</v>
      </c>
      <c r="H113" s="1">
        <v>65</v>
      </c>
      <c r="I113" s="1">
        <v>7.9</v>
      </c>
      <c r="J113" s="1">
        <v>72</v>
      </c>
      <c r="K113" s="1">
        <v>61</v>
      </c>
      <c r="L113" s="1" t="s">
        <v>16</v>
      </c>
    </row>
    <row r="114" spans="1:12" x14ac:dyDescent="0.25">
      <c r="A114" s="1" t="s">
        <v>17</v>
      </c>
      <c r="B114" s="1" t="s">
        <v>18</v>
      </c>
      <c r="C114" s="1">
        <v>2021</v>
      </c>
      <c r="D114" s="7">
        <v>52640</v>
      </c>
      <c r="E114" s="1">
        <v>15.6</v>
      </c>
      <c r="F114" s="1">
        <v>82</v>
      </c>
      <c r="G114" s="1">
        <v>552023721</v>
      </c>
      <c r="H114" s="1">
        <v>95</v>
      </c>
      <c r="I114" s="1">
        <v>4</v>
      </c>
      <c r="J114" s="1">
        <v>99</v>
      </c>
      <c r="K114" s="1">
        <v>88</v>
      </c>
      <c r="L114" s="1" t="s">
        <v>18</v>
      </c>
    </row>
    <row r="115" spans="1:12" x14ac:dyDescent="0.25">
      <c r="A115" s="1" t="s">
        <v>19</v>
      </c>
      <c r="B115" s="1" t="s">
        <v>20</v>
      </c>
      <c r="C115" s="1">
        <v>2020</v>
      </c>
      <c r="D115" s="7">
        <v>15625</v>
      </c>
      <c r="E115" s="1">
        <v>9.9</v>
      </c>
      <c r="F115" s="1">
        <v>75</v>
      </c>
      <c r="G115" s="1">
        <v>164323180</v>
      </c>
      <c r="H115" s="1">
        <v>86</v>
      </c>
      <c r="I115" s="1">
        <v>7.9</v>
      </c>
      <c r="J115" s="1">
        <v>71</v>
      </c>
      <c r="K115" s="1">
        <v>36</v>
      </c>
      <c r="L115" s="1" t="s">
        <v>20</v>
      </c>
    </row>
    <row r="116" spans="1:12" x14ac:dyDescent="0.25">
      <c r="A116" s="1" t="s">
        <v>21</v>
      </c>
      <c r="B116" s="1" t="s">
        <v>22</v>
      </c>
      <c r="C116" s="1">
        <v>2021</v>
      </c>
      <c r="D116" s="7">
        <v>3089</v>
      </c>
      <c r="E116" s="1">
        <v>9.9</v>
      </c>
      <c r="F116" s="1">
        <v>79</v>
      </c>
      <c r="G116" s="1">
        <v>535361648</v>
      </c>
      <c r="H116" s="1">
        <v>73</v>
      </c>
      <c r="I116" s="1">
        <v>13.5</v>
      </c>
      <c r="J116" s="1">
        <v>90</v>
      </c>
      <c r="K116" s="1">
        <v>43</v>
      </c>
      <c r="L116" s="1" t="s">
        <v>14</v>
      </c>
    </row>
    <row r="117" spans="1:12" x14ac:dyDescent="0.25">
      <c r="A117" s="1" t="s">
        <v>23</v>
      </c>
      <c r="B117" s="1" t="s">
        <v>18</v>
      </c>
      <c r="C117" s="1">
        <v>2020</v>
      </c>
      <c r="D117" s="7">
        <v>6442</v>
      </c>
      <c r="E117" s="1">
        <v>16.899999999999999</v>
      </c>
      <c r="F117" s="1">
        <v>85</v>
      </c>
      <c r="G117" s="1">
        <v>778481685</v>
      </c>
      <c r="H117" s="1">
        <v>82</v>
      </c>
      <c r="I117" s="1">
        <v>5</v>
      </c>
      <c r="J117" s="1">
        <v>72</v>
      </c>
      <c r="K117" s="1">
        <v>52</v>
      </c>
      <c r="L117" s="1" t="s">
        <v>18</v>
      </c>
    </row>
    <row r="118" spans="1:12" x14ac:dyDescent="0.25">
      <c r="A118" s="1" t="s">
        <v>24</v>
      </c>
      <c r="B118" s="1" t="s">
        <v>16</v>
      </c>
      <c r="C118" s="1">
        <v>2020</v>
      </c>
      <c r="D118" s="7">
        <v>19868</v>
      </c>
      <c r="E118" s="1">
        <v>6.8</v>
      </c>
      <c r="F118" s="1">
        <v>75</v>
      </c>
      <c r="G118" s="1">
        <v>173123625</v>
      </c>
      <c r="H118" s="1">
        <v>68</v>
      </c>
      <c r="I118" s="1">
        <v>16.600000000000001</v>
      </c>
      <c r="J118" s="1">
        <v>75</v>
      </c>
      <c r="K118" s="1">
        <v>32</v>
      </c>
      <c r="L118" s="1" t="s">
        <v>16</v>
      </c>
    </row>
    <row r="119" spans="1:12" x14ac:dyDescent="0.25">
      <c r="A119" s="1" t="s">
        <v>25</v>
      </c>
      <c r="B119" s="1" t="s">
        <v>26</v>
      </c>
      <c r="C119" s="1">
        <v>2021</v>
      </c>
      <c r="D119" s="7">
        <v>14574</v>
      </c>
      <c r="E119" s="1">
        <v>12</v>
      </c>
      <c r="F119" s="1">
        <v>75</v>
      </c>
      <c r="G119" s="1">
        <v>630535869</v>
      </c>
      <c r="H119" s="1">
        <v>95</v>
      </c>
      <c r="I119" s="1">
        <v>17.899999999999999</v>
      </c>
      <c r="J119" s="1">
        <v>89</v>
      </c>
      <c r="K119" s="1">
        <v>71</v>
      </c>
      <c r="L119" s="1" t="s">
        <v>26</v>
      </c>
    </row>
    <row r="120" spans="1:12" x14ac:dyDescent="0.25">
      <c r="A120" s="1" t="s">
        <v>27</v>
      </c>
      <c r="B120" s="1" t="s">
        <v>22</v>
      </c>
      <c r="C120" s="1">
        <v>2021</v>
      </c>
      <c r="D120" s="7">
        <v>5263</v>
      </c>
      <c r="E120" s="1">
        <v>8.3000000000000007</v>
      </c>
      <c r="F120" s="1">
        <v>70</v>
      </c>
      <c r="G120" s="1">
        <v>242281064</v>
      </c>
      <c r="H120" s="1">
        <v>71</v>
      </c>
      <c r="I120" s="1">
        <v>17</v>
      </c>
      <c r="J120" s="1">
        <v>88</v>
      </c>
      <c r="K120" s="1">
        <v>65</v>
      </c>
      <c r="L120" s="1" t="s">
        <v>14</v>
      </c>
    </row>
    <row r="121" spans="1:12" x14ac:dyDescent="0.25">
      <c r="A121" s="1" t="s">
        <v>28</v>
      </c>
      <c r="B121" s="1" t="s">
        <v>29</v>
      </c>
      <c r="C121" s="1">
        <v>2020</v>
      </c>
      <c r="D121" s="7">
        <v>49427</v>
      </c>
      <c r="E121" s="1">
        <v>8.9</v>
      </c>
      <c r="F121" s="1">
        <v>80</v>
      </c>
      <c r="G121" s="1">
        <v>1498703110</v>
      </c>
      <c r="H121" s="1">
        <v>91</v>
      </c>
      <c r="I121" s="1">
        <v>21.4</v>
      </c>
      <c r="J121" s="1">
        <v>83</v>
      </c>
      <c r="K121" s="1">
        <v>87</v>
      </c>
      <c r="L121" s="1" t="s">
        <v>29</v>
      </c>
    </row>
    <row r="122" spans="1:12" x14ac:dyDescent="0.25">
      <c r="A122" s="1" t="s">
        <v>12</v>
      </c>
      <c r="B122" s="1" t="s">
        <v>13</v>
      </c>
      <c r="C122" s="1">
        <v>2022</v>
      </c>
      <c r="D122" s="7">
        <v>2957</v>
      </c>
      <c r="E122" s="1">
        <v>13.4</v>
      </c>
      <c r="F122" s="1">
        <v>81</v>
      </c>
      <c r="G122" s="1">
        <v>988659312</v>
      </c>
      <c r="H122" s="1">
        <v>78</v>
      </c>
      <c r="I122" s="1">
        <v>19</v>
      </c>
      <c r="J122" s="1">
        <v>82</v>
      </c>
      <c r="K122" s="1">
        <v>56</v>
      </c>
      <c r="L122" s="1" t="s">
        <v>14</v>
      </c>
    </row>
    <row r="123" spans="1:12" x14ac:dyDescent="0.25">
      <c r="A123" s="1" t="s">
        <v>15</v>
      </c>
      <c r="B123" s="1" t="s">
        <v>16</v>
      </c>
      <c r="C123" s="1">
        <v>2021</v>
      </c>
      <c r="D123" s="7">
        <v>29486</v>
      </c>
      <c r="E123" s="1">
        <v>13.4</v>
      </c>
      <c r="F123" s="1">
        <v>71</v>
      </c>
      <c r="G123" s="1">
        <v>940192004</v>
      </c>
      <c r="H123" s="1">
        <v>95</v>
      </c>
      <c r="I123" s="1">
        <v>3.1</v>
      </c>
      <c r="J123" s="1">
        <v>73</v>
      </c>
      <c r="K123" s="1">
        <v>64</v>
      </c>
      <c r="L123" s="1" t="s">
        <v>16</v>
      </c>
    </row>
    <row r="124" spans="1:12" x14ac:dyDescent="0.25">
      <c r="A124" s="1" t="s">
        <v>17</v>
      </c>
      <c r="B124" s="1" t="s">
        <v>18</v>
      </c>
      <c r="C124" s="1">
        <v>2020</v>
      </c>
      <c r="D124" s="7">
        <v>36010</v>
      </c>
      <c r="E124" s="1">
        <v>3.9</v>
      </c>
      <c r="F124" s="1">
        <v>75</v>
      </c>
      <c r="G124" s="1">
        <v>1174036680</v>
      </c>
      <c r="H124" s="1">
        <v>93</v>
      </c>
      <c r="I124" s="1">
        <v>15.5</v>
      </c>
      <c r="J124" s="1">
        <v>83</v>
      </c>
      <c r="K124" s="1">
        <v>67</v>
      </c>
      <c r="L124" s="1" t="s">
        <v>18</v>
      </c>
    </row>
    <row r="125" spans="1:12" x14ac:dyDescent="0.25">
      <c r="A125" s="1" t="s">
        <v>19</v>
      </c>
      <c r="B125" s="1" t="s">
        <v>20</v>
      </c>
      <c r="C125" s="1">
        <v>2020</v>
      </c>
      <c r="D125" s="7">
        <v>3966</v>
      </c>
      <c r="E125" s="1">
        <v>16.5</v>
      </c>
      <c r="F125" s="1">
        <v>81</v>
      </c>
      <c r="G125" s="1">
        <v>28213754</v>
      </c>
      <c r="H125" s="1">
        <v>72</v>
      </c>
      <c r="I125" s="1">
        <v>13.5</v>
      </c>
      <c r="J125" s="1">
        <v>78</v>
      </c>
      <c r="K125" s="1">
        <v>40</v>
      </c>
      <c r="L125" s="1" t="s">
        <v>20</v>
      </c>
    </row>
    <row r="126" spans="1:12" x14ac:dyDescent="0.25">
      <c r="A126" s="1" t="s">
        <v>21</v>
      </c>
      <c r="B126" s="1" t="s">
        <v>22</v>
      </c>
      <c r="C126" s="1">
        <v>2021</v>
      </c>
      <c r="D126" s="7">
        <v>51809</v>
      </c>
      <c r="E126" s="1">
        <v>11.4</v>
      </c>
      <c r="F126" s="1">
        <v>85</v>
      </c>
      <c r="G126" s="1">
        <v>331799181</v>
      </c>
      <c r="H126" s="1">
        <v>63</v>
      </c>
      <c r="I126" s="1">
        <v>15.7</v>
      </c>
      <c r="J126" s="1">
        <v>91</v>
      </c>
      <c r="K126" s="1">
        <v>71</v>
      </c>
      <c r="L126" s="1" t="s">
        <v>14</v>
      </c>
    </row>
    <row r="127" spans="1:12" x14ac:dyDescent="0.25">
      <c r="A127" s="1" t="s">
        <v>23</v>
      </c>
      <c r="B127" s="1" t="s">
        <v>18</v>
      </c>
      <c r="C127" s="1">
        <v>2022</v>
      </c>
      <c r="D127" s="7">
        <v>21975</v>
      </c>
      <c r="E127" s="1">
        <v>13</v>
      </c>
      <c r="F127" s="1">
        <v>66</v>
      </c>
      <c r="G127" s="1">
        <v>1077294623</v>
      </c>
      <c r="H127" s="1">
        <v>64</v>
      </c>
      <c r="I127" s="1">
        <v>9.6</v>
      </c>
      <c r="J127" s="1">
        <v>86</v>
      </c>
      <c r="K127" s="1">
        <v>61</v>
      </c>
      <c r="L127" s="1" t="s">
        <v>18</v>
      </c>
    </row>
    <row r="128" spans="1:12" x14ac:dyDescent="0.25">
      <c r="A128" s="1" t="s">
        <v>24</v>
      </c>
      <c r="B128" s="1" t="s">
        <v>16</v>
      </c>
      <c r="C128" s="1">
        <v>2022</v>
      </c>
      <c r="D128" s="7">
        <v>17550</v>
      </c>
      <c r="E128" s="1">
        <v>3.3</v>
      </c>
      <c r="F128" s="1">
        <v>74</v>
      </c>
      <c r="G128" s="1">
        <v>563071192</v>
      </c>
      <c r="H128" s="1">
        <v>71</v>
      </c>
      <c r="I128" s="1">
        <v>19.8</v>
      </c>
      <c r="J128" s="1">
        <v>95</v>
      </c>
      <c r="K128" s="1">
        <v>59</v>
      </c>
      <c r="L128" s="1" t="s">
        <v>16</v>
      </c>
    </row>
    <row r="129" spans="1:12" x14ac:dyDescent="0.25">
      <c r="A129" s="1" t="s">
        <v>25</v>
      </c>
      <c r="B129" s="1" t="s">
        <v>26</v>
      </c>
      <c r="C129" s="1">
        <v>2020</v>
      </c>
      <c r="D129" s="7">
        <v>10570</v>
      </c>
      <c r="E129" s="1">
        <v>3.6</v>
      </c>
      <c r="F129" s="1">
        <v>65</v>
      </c>
      <c r="G129" s="1">
        <v>997939555</v>
      </c>
      <c r="H129" s="1">
        <v>91</v>
      </c>
      <c r="I129" s="1">
        <v>20.9</v>
      </c>
      <c r="J129" s="1">
        <v>75</v>
      </c>
      <c r="K129" s="1">
        <v>56</v>
      </c>
      <c r="L129" s="1" t="s">
        <v>26</v>
      </c>
    </row>
    <row r="130" spans="1:12" x14ac:dyDescent="0.25">
      <c r="A130" s="1" t="s">
        <v>27</v>
      </c>
      <c r="B130" s="1" t="s">
        <v>22</v>
      </c>
      <c r="C130" s="1">
        <v>2020</v>
      </c>
      <c r="D130" s="7">
        <v>64276</v>
      </c>
      <c r="E130" s="1">
        <v>8.9</v>
      </c>
      <c r="F130" s="1">
        <v>76</v>
      </c>
      <c r="G130" s="1">
        <v>1411748390</v>
      </c>
      <c r="H130" s="1">
        <v>82</v>
      </c>
      <c r="I130" s="1">
        <v>10.8</v>
      </c>
      <c r="J130" s="1">
        <v>86</v>
      </c>
      <c r="K130" s="1">
        <v>36</v>
      </c>
      <c r="L130" s="1" t="s">
        <v>14</v>
      </c>
    </row>
    <row r="131" spans="1:12" x14ac:dyDescent="0.25">
      <c r="A131" s="1" t="s">
        <v>28</v>
      </c>
      <c r="B131" s="1" t="s">
        <v>29</v>
      </c>
      <c r="C131" s="1">
        <v>2022</v>
      </c>
      <c r="D131" s="7">
        <v>45224</v>
      </c>
      <c r="E131" s="1">
        <v>3.4</v>
      </c>
      <c r="F131" s="1">
        <v>74</v>
      </c>
      <c r="G131" s="1">
        <v>207790033</v>
      </c>
      <c r="H131" s="1">
        <v>56</v>
      </c>
      <c r="I131" s="1">
        <v>5.5</v>
      </c>
      <c r="J131" s="1">
        <v>90</v>
      </c>
      <c r="K131" s="1">
        <v>35</v>
      </c>
      <c r="L131" s="1" t="s">
        <v>29</v>
      </c>
    </row>
    <row r="132" spans="1:12" x14ac:dyDescent="0.25">
      <c r="A132" s="1" t="s">
        <v>12</v>
      </c>
      <c r="B132" s="1" t="s">
        <v>13</v>
      </c>
      <c r="C132" s="1">
        <v>2022</v>
      </c>
      <c r="D132" s="7">
        <v>21322</v>
      </c>
      <c r="E132" s="1">
        <v>9.6999999999999993</v>
      </c>
      <c r="F132" s="1">
        <v>62</v>
      </c>
      <c r="G132" s="1">
        <v>387412990</v>
      </c>
      <c r="H132" s="1">
        <v>75</v>
      </c>
      <c r="I132" s="1">
        <v>4.8</v>
      </c>
      <c r="J132" s="1">
        <v>72</v>
      </c>
      <c r="K132" s="1">
        <v>55</v>
      </c>
      <c r="L132" s="1" t="s">
        <v>14</v>
      </c>
    </row>
    <row r="133" spans="1:12" x14ac:dyDescent="0.25">
      <c r="A133" s="1" t="s">
        <v>15</v>
      </c>
      <c r="B133" s="1" t="s">
        <v>16</v>
      </c>
      <c r="C133" s="1">
        <v>2022</v>
      </c>
      <c r="D133" s="7">
        <v>63624</v>
      </c>
      <c r="E133" s="1">
        <v>6.7</v>
      </c>
      <c r="F133" s="1">
        <v>73</v>
      </c>
      <c r="G133" s="1">
        <v>1486862463</v>
      </c>
      <c r="H133" s="1">
        <v>70</v>
      </c>
      <c r="I133" s="1">
        <v>3.5</v>
      </c>
      <c r="J133" s="1">
        <v>98</v>
      </c>
      <c r="K133" s="1">
        <v>53</v>
      </c>
      <c r="L133" s="1" t="s">
        <v>16</v>
      </c>
    </row>
    <row r="134" spans="1:12" x14ac:dyDescent="0.25">
      <c r="A134" s="1" t="s">
        <v>17</v>
      </c>
      <c r="B134" s="1" t="s">
        <v>18</v>
      </c>
      <c r="C134" s="1">
        <v>2021</v>
      </c>
      <c r="D134" s="7">
        <v>61951</v>
      </c>
      <c r="E134" s="1">
        <v>5.0999999999999996</v>
      </c>
      <c r="F134" s="1">
        <v>78</v>
      </c>
      <c r="G134" s="1">
        <v>1014131872</v>
      </c>
      <c r="H134" s="1">
        <v>68</v>
      </c>
      <c r="I134" s="1">
        <v>2.4</v>
      </c>
      <c r="J134" s="1">
        <v>85</v>
      </c>
      <c r="K134" s="1">
        <v>78</v>
      </c>
      <c r="L134" s="1" t="s">
        <v>18</v>
      </c>
    </row>
    <row r="135" spans="1:12" x14ac:dyDescent="0.25">
      <c r="A135" s="1" t="s">
        <v>19</v>
      </c>
      <c r="B135" s="1" t="s">
        <v>20</v>
      </c>
      <c r="C135" s="1">
        <v>2021</v>
      </c>
      <c r="D135" s="7">
        <v>40181</v>
      </c>
      <c r="E135" s="1">
        <v>8.5</v>
      </c>
      <c r="F135" s="1">
        <v>67</v>
      </c>
      <c r="G135" s="1">
        <v>237806698</v>
      </c>
      <c r="H135" s="1">
        <v>59</v>
      </c>
      <c r="I135" s="1">
        <v>18.399999999999999</v>
      </c>
      <c r="J135" s="1">
        <v>77</v>
      </c>
      <c r="K135" s="1">
        <v>84</v>
      </c>
      <c r="L135" s="1" t="s">
        <v>20</v>
      </c>
    </row>
    <row r="136" spans="1:12" x14ac:dyDescent="0.25">
      <c r="A136" s="1" t="s">
        <v>21</v>
      </c>
      <c r="B136" s="1" t="s">
        <v>22</v>
      </c>
      <c r="C136" s="1">
        <v>2020</v>
      </c>
      <c r="D136" s="7">
        <v>17879</v>
      </c>
      <c r="E136" s="1">
        <v>10.5</v>
      </c>
      <c r="F136" s="1">
        <v>61</v>
      </c>
      <c r="G136" s="1">
        <v>1022788930</v>
      </c>
      <c r="H136" s="1">
        <v>60</v>
      </c>
      <c r="I136" s="1">
        <v>18.2</v>
      </c>
      <c r="J136" s="1">
        <v>82</v>
      </c>
      <c r="K136" s="1">
        <v>89</v>
      </c>
      <c r="L136" s="1" t="s">
        <v>14</v>
      </c>
    </row>
    <row r="137" spans="1:12" x14ac:dyDescent="0.25">
      <c r="A137" s="1" t="s">
        <v>23</v>
      </c>
      <c r="B137" s="1" t="s">
        <v>18</v>
      </c>
      <c r="C137" s="1">
        <v>2020</v>
      </c>
      <c r="D137" s="7">
        <v>23500</v>
      </c>
      <c r="E137" s="1">
        <v>16.899999999999999</v>
      </c>
      <c r="F137" s="1">
        <v>75</v>
      </c>
      <c r="G137" s="1">
        <v>1440086596</v>
      </c>
      <c r="H137" s="1">
        <v>85</v>
      </c>
      <c r="I137" s="1">
        <v>7.2</v>
      </c>
      <c r="J137" s="1">
        <v>83</v>
      </c>
      <c r="K137" s="1">
        <v>39</v>
      </c>
      <c r="L137" s="1" t="s">
        <v>18</v>
      </c>
    </row>
    <row r="138" spans="1:12" x14ac:dyDescent="0.25">
      <c r="A138" s="1" t="s">
        <v>24</v>
      </c>
      <c r="B138" s="1" t="s">
        <v>16</v>
      </c>
      <c r="C138" s="1">
        <v>2022</v>
      </c>
      <c r="D138" s="7">
        <v>6329</v>
      </c>
      <c r="E138" s="1">
        <v>3.9</v>
      </c>
      <c r="F138" s="1">
        <v>69</v>
      </c>
      <c r="G138" s="1">
        <v>973035484</v>
      </c>
      <c r="H138" s="1">
        <v>82</v>
      </c>
      <c r="I138" s="1">
        <v>12.3</v>
      </c>
      <c r="J138" s="1">
        <v>71</v>
      </c>
      <c r="K138" s="1">
        <v>48</v>
      </c>
      <c r="L138" s="1" t="s">
        <v>16</v>
      </c>
    </row>
    <row r="139" spans="1:12" x14ac:dyDescent="0.25">
      <c r="A139" s="1" t="s">
        <v>25</v>
      </c>
      <c r="B139" s="1" t="s">
        <v>26</v>
      </c>
      <c r="C139" s="1">
        <v>2022</v>
      </c>
      <c r="D139" s="7">
        <v>36754</v>
      </c>
      <c r="E139" s="1">
        <v>12.7</v>
      </c>
      <c r="F139" s="1">
        <v>77</v>
      </c>
      <c r="G139" s="1">
        <v>440245090</v>
      </c>
      <c r="H139" s="1">
        <v>63</v>
      </c>
      <c r="I139" s="1">
        <v>14.6</v>
      </c>
      <c r="J139" s="1">
        <v>82</v>
      </c>
      <c r="K139" s="1">
        <v>69</v>
      </c>
      <c r="L139" s="1" t="s">
        <v>26</v>
      </c>
    </row>
    <row r="140" spans="1:12" x14ac:dyDescent="0.25">
      <c r="A140" s="1" t="s">
        <v>27</v>
      </c>
      <c r="B140" s="1" t="s">
        <v>22</v>
      </c>
      <c r="C140" s="1">
        <v>2021</v>
      </c>
      <c r="D140" s="7">
        <v>34898</v>
      </c>
      <c r="E140" s="1">
        <v>14.9</v>
      </c>
      <c r="F140" s="1">
        <v>60</v>
      </c>
      <c r="G140" s="1">
        <v>1497795557</v>
      </c>
      <c r="H140" s="1">
        <v>72</v>
      </c>
      <c r="I140" s="1">
        <v>25</v>
      </c>
      <c r="J140" s="1">
        <v>96</v>
      </c>
      <c r="K140" s="1">
        <v>68</v>
      </c>
      <c r="L140" s="1" t="s">
        <v>14</v>
      </c>
    </row>
    <row r="141" spans="1:12" x14ac:dyDescent="0.25">
      <c r="A141" s="1" t="s">
        <v>28</v>
      </c>
      <c r="B141" s="1" t="s">
        <v>29</v>
      </c>
      <c r="C141" s="1">
        <v>2022</v>
      </c>
      <c r="D141" s="7">
        <v>25722</v>
      </c>
      <c r="E141" s="1">
        <v>5.9</v>
      </c>
      <c r="F141" s="1">
        <v>82</v>
      </c>
      <c r="G141" s="1">
        <v>1399135794</v>
      </c>
      <c r="H141" s="1">
        <v>74</v>
      </c>
      <c r="I141" s="1">
        <v>7</v>
      </c>
      <c r="J141" s="1">
        <v>94</v>
      </c>
      <c r="K141" s="1">
        <v>31</v>
      </c>
      <c r="L141" s="1" t="s">
        <v>29</v>
      </c>
    </row>
    <row r="142" spans="1:12" x14ac:dyDescent="0.25">
      <c r="A142" s="1" t="s">
        <v>12</v>
      </c>
      <c r="B142" s="1" t="s">
        <v>13</v>
      </c>
      <c r="C142" s="1">
        <v>2022</v>
      </c>
      <c r="D142" s="7">
        <v>11914</v>
      </c>
      <c r="E142" s="1">
        <v>17</v>
      </c>
      <c r="F142" s="1">
        <v>69</v>
      </c>
      <c r="G142" s="1">
        <v>1020220619</v>
      </c>
      <c r="H142" s="1">
        <v>74</v>
      </c>
      <c r="I142" s="1">
        <v>12.7</v>
      </c>
      <c r="J142" s="1">
        <v>94</v>
      </c>
      <c r="K142" s="1">
        <v>64</v>
      </c>
      <c r="L142" s="1" t="s">
        <v>14</v>
      </c>
    </row>
    <row r="143" spans="1:12" x14ac:dyDescent="0.25">
      <c r="A143" s="1" t="s">
        <v>15</v>
      </c>
      <c r="B143" s="1" t="s">
        <v>16</v>
      </c>
      <c r="C143" s="1">
        <v>2020</v>
      </c>
      <c r="D143" s="7">
        <v>55057</v>
      </c>
      <c r="E143" s="1">
        <v>15.6</v>
      </c>
      <c r="F143" s="1">
        <v>72</v>
      </c>
      <c r="G143" s="1">
        <v>221324641</v>
      </c>
      <c r="H143" s="1">
        <v>59</v>
      </c>
      <c r="I143" s="1">
        <v>15.8</v>
      </c>
      <c r="J143" s="1">
        <v>86</v>
      </c>
      <c r="K143" s="1">
        <v>88</v>
      </c>
      <c r="L143" s="1" t="s">
        <v>16</v>
      </c>
    </row>
    <row r="144" spans="1:12" x14ac:dyDescent="0.25">
      <c r="A144" s="1" t="s">
        <v>17</v>
      </c>
      <c r="B144" s="1" t="s">
        <v>18</v>
      </c>
      <c r="C144" s="1">
        <v>2022</v>
      </c>
      <c r="D144" s="7">
        <v>62703</v>
      </c>
      <c r="E144" s="1">
        <v>8.3000000000000007</v>
      </c>
      <c r="F144" s="1">
        <v>83</v>
      </c>
      <c r="G144" s="1">
        <v>10083916</v>
      </c>
      <c r="H144" s="1">
        <v>66</v>
      </c>
      <c r="I144" s="1">
        <v>9.5</v>
      </c>
      <c r="J144" s="1">
        <v>95</v>
      </c>
      <c r="K144" s="1">
        <v>57</v>
      </c>
      <c r="L144" s="1" t="s">
        <v>18</v>
      </c>
    </row>
    <row r="145" spans="1:12" x14ac:dyDescent="0.25">
      <c r="A145" s="1" t="s">
        <v>19</v>
      </c>
      <c r="B145" s="1" t="s">
        <v>20</v>
      </c>
      <c r="C145" s="1">
        <v>2022</v>
      </c>
      <c r="D145" s="7">
        <v>56031</v>
      </c>
      <c r="E145" s="1">
        <v>7.6</v>
      </c>
      <c r="F145" s="1">
        <v>81</v>
      </c>
      <c r="G145" s="1">
        <v>652094772</v>
      </c>
      <c r="H145" s="1">
        <v>69</v>
      </c>
      <c r="I145" s="1">
        <v>22.2</v>
      </c>
      <c r="J145" s="1">
        <v>93</v>
      </c>
      <c r="K145" s="1">
        <v>85</v>
      </c>
      <c r="L145" s="1" t="s">
        <v>20</v>
      </c>
    </row>
    <row r="146" spans="1:12" x14ac:dyDescent="0.25">
      <c r="A146" s="1" t="s">
        <v>21</v>
      </c>
      <c r="B146" s="1" t="s">
        <v>22</v>
      </c>
      <c r="C146" s="1">
        <v>2020</v>
      </c>
      <c r="D146" s="7">
        <v>25323</v>
      </c>
      <c r="E146" s="1">
        <v>11.6</v>
      </c>
      <c r="F146" s="1">
        <v>63</v>
      </c>
      <c r="G146" s="1">
        <v>645067425</v>
      </c>
      <c r="H146" s="1">
        <v>94</v>
      </c>
      <c r="I146" s="1">
        <v>16.8</v>
      </c>
      <c r="J146" s="1">
        <v>91</v>
      </c>
      <c r="K146" s="1">
        <v>62</v>
      </c>
      <c r="L146" s="1" t="s">
        <v>14</v>
      </c>
    </row>
    <row r="147" spans="1:12" x14ac:dyDescent="0.25">
      <c r="A147" s="1" t="s">
        <v>23</v>
      </c>
      <c r="B147" s="1" t="s">
        <v>18</v>
      </c>
      <c r="C147" s="1">
        <v>2021</v>
      </c>
      <c r="D147" s="7">
        <v>41284</v>
      </c>
      <c r="E147" s="1">
        <v>13.5</v>
      </c>
      <c r="F147" s="1">
        <v>66</v>
      </c>
      <c r="G147" s="1">
        <v>755660317</v>
      </c>
      <c r="H147" s="1">
        <v>65</v>
      </c>
      <c r="I147" s="1">
        <v>19.100000000000001</v>
      </c>
      <c r="J147" s="1">
        <v>79</v>
      </c>
      <c r="K147" s="1">
        <v>83</v>
      </c>
      <c r="L147" s="1" t="s">
        <v>18</v>
      </c>
    </row>
    <row r="148" spans="1:12" x14ac:dyDescent="0.25">
      <c r="A148" s="1" t="s">
        <v>24</v>
      </c>
      <c r="B148" s="1" t="s">
        <v>16</v>
      </c>
      <c r="C148" s="1">
        <v>2021</v>
      </c>
      <c r="D148" s="7">
        <v>28148</v>
      </c>
      <c r="E148" s="1">
        <v>4.0999999999999996</v>
      </c>
      <c r="F148" s="1">
        <v>70</v>
      </c>
      <c r="G148" s="1">
        <v>108421953</v>
      </c>
      <c r="H148" s="1">
        <v>73</v>
      </c>
      <c r="I148" s="1">
        <v>20</v>
      </c>
      <c r="J148" s="1">
        <v>91</v>
      </c>
      <c r="K148" s="1">
        <v>77</v>
      </c>
      <c r="L148" s="1" t="s">
        <v>16</v>
      </c>
    </row>
    <row r="149" spans="1:12" x14ac:dyDescent="0.25">
      <c r="A149" s="1" t="s">
        <v>25</v>
      </c>
      <c r="B149" s="1" t="s">
        <v>26</v>
      </c>
      <c r="C149" s="1">
        <v>2021</v>
      </c>
      <c r="D149" s="7">
        <v>45232</v>
      </c>
      <c r="E149" s="1">
        <v>5.8</v>
      </c>
      <c r="F149" s="1">
        <v>81</v>
      </c>
      <c r="G149" s="1">
        <v>898601262</v>
      </c>
      <c r="H149" s="1">
        <v>92</v>
      </c>
      <c r="I149" s="1">
        <v>19.7</v>
      </c>
      <c r="J149" s="1">
        <v>81</v>
      </c>
      <c r="K149" s="1">
        <v>76</v>
      </c>
      <c r="L149" s="1" t="s">
        <v>26</v>
      </c>
    </row>
    <row r="150" spans="1:12" x14ac:dyDescent="0.25">
      <c r="A150" s="1" t="s">
        <v>27</v>
      </c>
      <c r="B150" s="1" t="s">
        <v>22</v>
      </c>
      <c r="C150" s="1">
        <v>2021</v>
      </c>
      <c r="D150" s="7">
        <v>26077</v>
      </c>
      <c r="E150" s="1">
        <v>15.2</v>
      </c>
      <c r="F150" s="1">
        <v>67</v>
      </c>
      <c r="G150" s="1">
        <v>329255553</v>
      </c>
      <c r="H150" s="1">
        <v>66</v>
      </c>
      <c r="I150" s="1">
        <v>6.2</v>
      </c>
      <c r="J150" s="1">
        <v>72</v>
      </c>
      <c r="K150" s="1">
        <v>90</v>
      </c>
      <c r="L150" s="1" t="s">
        <v>14</v>
      </c>
    </row>
    <row r="151" spans="1:12" x14ac:dyDescent="0.25">
      <c r="A151" s="1" t="s">
        <v>28</v>
      </c>
      <c r="B151" s="1" t="s">
        <v>29</v>
      </c>
      <c r="C151" s="1">
        <v>2022</v>
      </c>
      <c r="D151" s="7">
        <v>2675</v>
      </c>
      <c r="E151" s="1">
        <v>11.3</v>
      </c>
      <c r="F151" s="1">
        <v>83</v>
      </c>
      <c r="G151" s="1">
        <v>730563524</v>
      </c>
      <c r="H151" s="1">
        <v>83</v>
      </c>
      <c r="I151" s="1">
        <v>6.2</v>
      </c>
      <c r="J151" s="1">
        <v>79</v>
      </c>
      <c r="K151" s="1">
        <v>48</v>
      </c>
      <c r="L151" s="1" t="s">
        <v>29</v>
      </c>
    </row>
    <row r="152" spans="1:12" x14ac:dyDescent="0.25">
      <c r="A152" s="1" t="s">
        <v>12</v>
      </c>
      <c r="B152" s="1" t="s">
        <v>13</v>
      </c>
      <c r="C152" s="1">
        <v>2021</v>
      </c>
      <c r="D152" s="7">
        <v>48345</v>
      </c>
      <c r="E152" s="1">
        <v>16.100000000000001</v>
      </c>
      <c r="F152" s="1">
        <v>85</v>
      </c>
      <c r="G152" s="1">
        <v>886428599</v>
      </c>
      <c r="H152" s="1">
        <v>69</v>
      </c>
      <c r="I152" s="1">
        <v>12.8</v>
      </c>
      <c r="J152" s="1">
        <v>83</v>
      </c>
      <c r="K152" s="1">
        <v>66</v>
      </c>
      <c r="L152" s="1" t="s">
        <v>14</v>
      </c>
    </row>
    <row r="153" spans="1:12" x14ac:dyDescent="0.25">
      <c r="A153" s="1" t="s">
        <v>15</v>
      </c>
      <c r="B153" s="1" t="s">
        <v>16</v>
      </c>
      <c r="C153" s="1">
        <v>2020</v>
      </c>
      <c r="D153" s="7">
        <v>57055</v>
      </c>
      <c r="E153" s="1">
        <v>12.4</v>
      </c>
      <c r="F153" s="1">
        <v>63</v>
      </c>
      <c r="G153" s="1">
        <v>825895517</v>
      </c>
      <c r="H153" s="1">
        <v>76</v>
      </c>
      <c r="I153" s="1">
        <v>20.2</v>
      </c>
      <c r="J153" s="1">
        <v>86</v>
      </c>
      <c r="K153" s="1">
        <v>65</v>
      </c>
      <c r="L153" s="1" t="s">
        <v>16</v>
      </c>
    </row>
    <row r="154" spans="1:12" x14ac:dyDescent="0.25">
      <c r="A154" s="1" t="s">
        <v>17</v>
      </c>
      <c r="B154" s="1" t="s">
        <v>18</v>
      </c>
      <c r="C154" s="1">
        <v>2020</v>
      </c>
      <c r="D154" s="7">
        <v>10534</v>
      </c>
      <c r="E154" s="1">
        <v>13.7</v>
      </c>
      <c r="F154" s="1">
        <v>64</v>
      </c>
      <c r="G154" s="1">
        <v>1452520322</v>
      </c>
      <c r="H154" s="1">
        <v>61</v>
      </c>
      <c r="I154" s="1">
        <v>21.4</v>
      </c>
      <c r="J154" s="1">
        <v>76</v>
      </c>
      <c r="K154" s="1">
        <v>35</v>
      </c>
      <c r="L154" s="1" t="s">
        <v>18</v>
      </c>
    </row>
    <row r="155" spans="1:12" x14ac:dyDescent="0.25">
      <c r="A155" s="1" t="s">
        <v>19</v>
      </c>
      <c r="B155" s="1" t="s">
        <v>20</v>
      </c>
      <c r="C155" s="1">
        <v>2022</v>
      </c>
      <c r="D155" s="7">
        <v>17522</v>
      </c>
      <c r="E155" s="1">
        <v>9.3000000000000007</v>
      </c>
      <c r="F155" s="1">
        <v>76</v>
      </c>
      <c r="G155" s="1">
        <v>1130161606</v>
      </c>
      <c r="H155" s="1">
        <v>89</v>
      </c>
      <c r="I155" s="1">
        <v>10.3</v>
      </c>
      <c r="J155" s="1">
        <v>76</v>
      </c>
      <c r="K155" s="1">
        <v>68</v>
      </c>
      <c r="L155" s="1" t="s">
        <v>20</v>
      </c>
    </row>
    <row r="156" spans="1:12" x14ac:dyDescent="0.25">
      <c r="A156" s="1" t="s">
        <v>21</v>
      </c>
      <c r="B156" s="1" t="s">
        <v>22</v>
      </c>
      <c r="C156" s="1">
        <v>2022</v>
      </c>
      <c r="D156" s="7">
        <v>56100</v>
      </c>
      <c r="E156" s="1">
        <v>12</v>
      </c>
      <c r="F156" s="1">
        <v>61</v>
      </c>
      <c r="G156" s="1">
        <v>1074972358</v>
      </c>
      <c r="H156" s="1">
        <v>64</v>
      </c>
      <c r="I156" s="1">
        <v>15.5</v>
      </c>
      <c r="J156" s="1">
        <v>71</v>
      </c>
      <c r="K156" s="1">
        <v>40</v>
      </c>
      <c r="L156" s="1" t="s">
        <v>14</v>
      </c>
    </row>
    <row r="157" spans="1:12" x14ac:dyDescent="0.25">
      <c r="A157" s="1" t="s">
        <v>23</v>
      </c>
      <c r="B157" s="1" t="s">
        <v>18</v>
      </c>
      <c r="C157" s="1">
        <v>2022</v>
      </c>
      <c r="D157" s="7">
        <v>3956</v>
      </c>
      <c r="E157" s="1">
        <v>11.4</v>
      </c>
      <c r="F157" s="1">
        <v>73</v>
      </c>
      <c r="G157" s="1">
        <v>182949889</v>
      </c>
      <c r="H157" s="1">
        <v>75</v>
      </c>
      <c r="I157" s="1">
        <v>16.3</v>
      </c>
      <c r="J157" s="1">
        <v>94</v>
      </c>
      <c r="K157" s="1">
        <v>39</v>
      </c>
      <c r="L157" s="1" t="s">
        <v>18</v>
      </c>
    </row>
    <row r="158" spans="1:12" x14ac:dyDescent="0.25">
      <c r="A158" s="1" t="s">
        <v>24</v>
      </c>
      <c r="B158" s="1" t="s">
        <v>16</v>
      </c>
      <c r="C158" s="1">
        <v>2020</v>
      </c>
      <c r="D158" s="7">
        <v>35456</v>
      </c>
      <c r="E158" s="1">
        <v>15.2</v>
      </c>
      <c r="F158" s="1">
        <v>82</v>
      </c>
      <c r="G158" s="1">
        <v>692897189</v>
      </c>
      <c r="H158" s="1">
        <v>61</v>
      </c>
      <c r="I158" s="1">
        <v>3.6</v>
      </c>
      <c r="J158" s="1">
        <v>91</v>
      </c>
      <c r="K158" s="1">
        <v>37</v>
      </c>
      <c r="L158" s="1" t="s">
        <v>16</v>
      </c>
    </row>
    <row r="159" spans="1:12" x14ac:dyDescent="0.25">
      <c r="A159" s="1" t="s">
        <v>25</v>
      </c>
      <c r="B159" s="1" t="s">
        <v>26</v>
      </c>
      <c r="C159" s="1">
        <v>2021</v>
      </c>
      <c r="D159" s="7">
        <v>15072</v>
      </c>
      <c r="E159" s="1">
        <v>16.899999999999999</v>
      </c>
      <c r="F159" s="1">
        <v>83</v>
      </c>
      <c r="G159" s="1">
        <v>1052294506</v>
      </c>
      <c r="H159" s="1">
        <v>90</v>
      </c>
      <c r="I159" s="1">
        <v>2.2000000000000002</v>
      </c>
      <c r="J159" s="1">
        <v>76</v>
      </c>
      <c r="K159" s="1">
        <v>79</v>
      </c>
      <c r="L159" s="1" t="s">
        <v>26</v>
      </c>
    </row>
    <row r="160" spans="1:12" x14ac:dyDescent="0.25">
      <c r="A160" s="1" t="s">
        <v>27</v>
      </c>
      <c r="B160" s="1" t="s">
        <v>22</v>
      </c>
      <c r="C160" s="1">
        <v>2020</v>
      </c>
      <c r="D160" s="7">
        <v>40722</v>
      </c>
      <c r="E160" s="1">
        <v>7.3</v>
      </c>
      <c r="F160" s="1">
        <v>75</v>
      </c>
      <c r="G160" s="1">
        <v>469191272</v>
      </c>
      <c r="H160" s="1">
        <v>51</v>
      </c>
      <c r="I160" s="1">
        <v>22</v>
      </c>
      <c r="J160" s="1">
        <v>86</v>
      </c>
      <c r="K160" s="1">
        <v>42</v>
      </c>
      <c r="L160" s="1" t="s">
        <v>14</v>
      </c>
    </row>
    <row r="161" spans="1:12" x14ac:dyDescent="0.25">
      <c r="A161" s="1" t="s">
        <v>28</v>
      </c>
      <c r="B161" s="1" t="s">
        <v>29</v>
      </c>
      <c r="C161" s="1">
        <v>2020</v>
      </c>
      <c r="D161" s="7">
        <v>54920</v>
      </c>
      <c r="E161" s="1">
        <v>16.399999999999999</v>
      </c>
      <c r="F161" s="1">
        <v>75</v>
      </c>
      <c r="G161" s="1">
        <v>1286446927</v>
      </c>
      <c r="H161" s="1">
        <v>72</v>
      </c>
      <c r="I161" s="1">
        <v>10.4</v>
      </c>
      <c r="J161" s="1">
        <v>95</v>
      </c>
      <c r="K161" s="1">
        <v>83</v>
      </c>
      <c r="L161" s="1" t="s">
        <v>29</v>
      </c>
    </row>
    <row r="162" spans="1:12" x14ac:dyDescent="0.25">
      <c r="A162" s="1" t="s">
        <v>12</v>
      </c>
      <c r="B162" s="1" t="s">
        <v>13</v>
      </c>
      <c r="C162" s="1">
        <v>2020</v>
      </c>
      <c r="D162" s="7">
        <v>31732</v>
      </c>
      <c r="E162" s="1">
        <v>10.9</v>
      </c>
      <c r="F162" s="1">
        <v>62</v>
      </c>
      <c r="G162" s="1">
        <v>338686805</v>
      </c>
      <c r="H162" s="1">
        <v>73</v>
      </c>
      <c r="I162" s="1">
        <v>4</v>
      </c>
      <c r="J162" s="1">
        <v>94</v>
      </c>
      <c r="K162" s="1">
        <v>55</v>
      </c>
      <c r="L162" s="1" t="s">
        <v>14</v>
      </c>
    </row>
    <row r="163" spans="1:12" x14ac:dyDescent="0.25">
      <c r="A163" s="1" t="s">
        <v>15</v>
      </c>
      <c r="B163" s="1" t="s">
        <v>16</v>
      </c>
      <c r="C163" s="1">
        <v>2021</v>
      </c>
      <c r="D163" s="7">
        <v>55853</v>
      </c>
      <c r="E163" s="1">
        <v>10.7</v>
      </c>
      <c r="F163" s="1">
        <v>65</v>
      </c>
      <c r="G163" s="1">
        <v>788953313</v>
      </c>
      <c r="H163" s="1">
        <v>64</v>
      </c>
      <c r="I163" s="1">
        <v>20.100000000000001</v>
      </c>
      <c r="J163" s="1">
        <v>70</v>
      </c>
      <c r="K163" s="1">
        <v>71</v>
      </c>
      <c r="L163" s="1" t="s">
        <v>16</v>
      </c>
    </row>
    <row r="164" spans="1:12" x14ac:dyDescent="0.25">
      <c r="A164" s="1" t="s">
        <v>17</v>
      </c>
      <c r="B164" s="1" t="s">
        <v>18</v>
      </c>
      <c r="C164" s="1">
        <v>2020</v>
      </c>
      <c r="D164" s="7">
        <v>62631</v>
      </c>
      <c r="E164" s="1">
        <v>3.4</v>
      </c>
      <c r="F164" s="1">
        <v>74</v>
      </c>
      <c r="G164" s="1">
        <v>845115978</v>
      </c>
      <c r="H164" s="1">
        <v>65</v>
      </c>
      <c r="I164" s="1">
        <v>20.5</v>
      </c>
      <c r="J164" s="1">
        <v>84</v>
      </c>
      <c r="K164" s="1">
        <v>82</v>
      </c>
      <c r="L164" s="1" t="s">
        <v>18</v>
      </c>
    </row>
    <row r="165" spans="1:12" x14ac:dyDescent="0.25">
      <c r="A165" s="1" t="s">
        <v>19</v>
      </c>
      <c r="B165" s="1" t="s">
        <v>20</v>
      </c>
      <c r="C165" s="1">
        <v>2020</v>
      </c>
      <c r="D165" s="7">
        <v>49753</v>
      </c>
      <c r="E165" s="1">
        <v>8</v>
      </c>
      <c r="F165" s="1">
        <v>69</v>
      </c>
      <c r="G165" s="1">
        <v>912188017</v>
      </c>
      <c r="H165" s="1">
        <v>78</v>
      </c>
      <c r="I165" s="1">
        <v>10.1</v>
      </c>
      <c r="J165" s="1">
        <v>91</v>
      </c>
      <c r="K165" s="1">
        <v>59</v>
      </c>
      <c r="L165" s="1" t="s">
        <v>20</v>
      </c>
    </row>
    <row r="166" spans="1:12" x14ac:dyDescent="0.25">
      <c r="A166" s="1" t="s">
        <v>21</v>
      </c>
      <c r="B166" s="1" t="s">
        <v>22</v>
      </c>
      <c r="C166" s="1">
        <v>2022</v>
      </c>
      <c r="D166" s="7">
        <v>57942</v>
      </c>
      <c r="E166" s="1">
        <v>15.8</v>
      </c>
      <c r="F166" s="1">
        <v>74</v>
      </c>
      <c r="G166" s="1">
        <v>990445706</v>
      </c>
      <c r="H166" s="1">
        <v>80</v>
      </c>
      <c r="I166" s="1">
        <v>12.4</v>
      </c>
      <c r="J166" s="1">
        <v>99</v>
      </c>
      <c r="K166" s="1">
        <v>54</v>
      </c>
      <c r="L166" s="1" t="s">
        <v>14</v>
      </c>
    </row>
    <row r="167" spans="1:12" x14ac:dyDescent="0.25">
      <c r="A167" s="1" t="s">
        <v>23</v>
      </c>
      <c r="B167" s="1" t="s">
        <v>18</v>
      </c>
      <c r="C167" s="1">
        <v>2022</v>
      </c>
      <c r="D167" s="7">
        <v>43245</v>
      </c>
      <c r="E167" s="1">
        <v>11.3</v>
      </c>
      <c r="F167" s="1">
        <v>61</v>
      </c>
      <c r="G167" s="1">
        <v>1412620642</v>
      </c>
      <c r="H167" s="1">
        <v>51</v>
      </c>
      <c r="I167" s="1">
        <v>24.3</v>
      </c>
      <c r="J167" s="1">
        <v>97</v>
      </c>
      <c r="K167" s="1">
        <v>49</v>
      </c>
      <c r="L167" s="1" t="s">
        <v>18</v>
      </c>
    </row>
    <row r="168" spans="1:12" x14ac:dyDescent="0.25">
      <c r="A168" s="1" t="s">
        <v>24</v>
      </c>
      <c r="B168" s="1" t="s">
        <v>16</v>
      </c>
      <c r="C168" s="1">
        <v>2020</v>
      </c>
      <c r="D168" s="7">
        <v>63160</v>
      </c>
      <c r="E168" s="1">
        <v>12.3</v>
      </c>
      <c r="F168" s="1">
        <v>83</v>
      </c>
      <c r="G168" s="1">
        <v>1020747967</v>
      </c>
      <c r="H168" s="1">
        <v>63</v>
      </c>
      <c r="I168" s="1">
        <v>10.3</v>
      </c>
      <c r="J168" s="1">
        <v>79</v>
      </c>
      <c r="K168" s="1">
        <v>66</v>
      </c>
      <c r="L168" s="1" t="s">
        <v>16</v>
      </c>
    </row>
    <row r="169" spans="1:12" x14ac:dyDescent="0.25">
      <c r="A169" s="1" t="s">
        <v>25</v>
      </c>
      <c r="B169" s="1" t="s">
        <v>26</v>
      </c>
      <c r="C169" s="1">
        <v>2022</v>
      </c>
      <c r="D169" s="7">
        <v>66907</v>
      </c>
      <c r="E169" s="1">
        <v>10</v>
      </c>
      <c r="F169" s="1">
        <v>61</v>
      </c>
      <c r="G169" s="1">
        <v>971814165</v>
      </c>
      <c r="H169" s="1">
        <v>60</v>
      </c>
      <c r="I169" s="1">
        <v>10.7</v>
      </c>
      <c r="J169" s="1">
        <v>88</v>
      </c>
      <c r="K169" s="1">
        <v>46</v>
      </c>
      <c r="L169" s="1" t="s">
        <v>26</v>
      </c>
    </row>
    <row r="170" spans="1:12" x14ac:dyDescent="0.25">
      <c r="A170" s="1" t="s">
        <v>27</v>
      </c>
      <c r="B170" s="1" t="s">
        <v>22</v>
      </c>
      <c r="C170" s="1">
        <v>2022</v>
      </c>
      <c r="D170" s="7">
        <v>34182</v>
      </c>
      <c r="E170" s="1">
        <v>5.3</v>
      </c>
      <c r="F170" s="1">
        <v>79</v>
      </c>
      <c r="G170" s="1">
        <v>376416404</v>
      </c>
      <c r="H170" s="1">
        <v>61</v>
      </c>
      <c r="I170" s="1">
        <v>8.6999999999999993</v>
      </c>
      <c r="J170" s="1">
        <v>77</v>
      </c>
      <c r="K170" s="1">
        <v>52</v>
      </c>
      <c r="L170" s="1" t="s">
        <v>14</v>
      </c>
    </row>
    <row r="171" spans="1:12" x14ac:dyDescent="0.25">
      <c r="A171" s="1" t="s">
        <v>28</v>
      </c>
      <c r="B171" s="1" t="s">
        <v>29</v>
      </c>
      <c r="C171" s="1">
        <v>2022</v>
      </c>
      <c r="D171" s="7">
        <v>28031</v>
      </c>
      <c r="E171" s="1">
        <v>8.6</v>
      </c>
      <c r="F171" s="1">
        <v>68</v>
      </c>
      <c r="G171" s="1">
        <v>1299472365</v>
      </c>
      <c r="H171" s="1">
        <v>64</v>
      </c>
      <c r="I171" s="1">
        <v>9</v>
      </c>
      <c r="J171" s="1">
        <v>95</v>
      </c>
      <c r="K171" s="1">
        <v>75</v>
      </c>
      <c r="L171" s="1" t="s">
        <v>29</v>
      </c>
    </row>
    <row r="172" spans="1:12" x14ac:dyDescent="0.25">
      <c r="A172" s="1" t="s">
        <v>12</v>
      </c>
      <c r="B172" s="1" t="s">
        <v>13</v>
      </c>
      <c r="C172" s="1">
        <v>2022</v>
      </c>
      <c r="D172" s="7">
        <v>10207</v>
      </c>
      <c r="E172" s="1">
        <v>12.4</v>
      </c>
      <c r="F172" s="1">
        <v>63</v>
      </c>
      <c r="G172" s="1">
        <v>1154961859</v>
      </c>
      <c r="H172" s="1">
        <v>85</v>
      </c>
      <c r="I172" s="1">
        <v>13.8</v>
      </c>
      <c r="J172" s="1">
        <v>76</v>
      </c>
      <c r="K172" s="1">
        <v>44</v>
      </c>
      <c r="L172" s="1" t="s">
        <v>14</v>
      </c>
    </row>
    <row r="173" spans="1:12" x14ac:dyDescent="0.25">
      <c r="A173" s="1" t="s">
        <v>15</v>
      </c>
      <c r="B173" s="1" t="s">
        <v>16</v>
      </c>
      <c r="C173" s="1">
        <v>2022</v>
      </c>
      <c r="D173" s="7">
        <v>7044</v>
      </c>
      <c r="E173" s="1">
        <v>9.9</v>
      </c>
      <c r="F173" s="1">
        <v>62</v>
      </c>
      <c r="G173" s="1">
        <v>608301177</v>
      </c>
      <c r="H173" s="1">
        <v>56</v>
      </c>
      <c r="I173" s="1">
        <v>16</v>
      </c>
      <c r="J173" s="1">
        <v>93</v>
      </c>
      <c r="K173" s="1">
        <v>39</v>
      </c>
      <c r="L173" s="1" t="s">
        <v>16</v>
      </c>
    </row>
    <row r="174" spans="1:12" x14ac:dyDescent="0.25">
      <c r="A174" s="1" t="s">
        <v>17</v>
      </c>
      <c r="B174" s="1" t="s">
        <v>18</v>
      </c>
      <c r="C174" s="1">
        <v>2020</v>
      </c>
      <c r="D174" s="7">
        <v>50855</v>
      </c>
      <c r="E174" s="1">
        <v>7.1</v>
      </c>
      <c r="F174" s="1">
        <v>60</v>
      </c>
      <c r="G174" s="1">
        <v>61454792</v>
      </c>
      <c r="H174" s="1">
        <v>80</v>
      </c>
      <c r="I174" s="1">
        <v>13.2</v>
      </c>
      <c r="J174" s="1">
        <v>91</v>
      </c>
      <c r="K174" s="1">
        <v>89</v>
      </c>
      <c r="L174" s="1" t="s">
        <v>18</v>
      </c>
    </row>
    <row r="175" spans="1:12" x14ac:dyDescent="0.25">
      <c r="A175" s="1" t="s">
        <v>19</v>
      </c>
      <c r="B175" s="1" t="s">
        <v>20</v>
      </c>
      <c r="C175" s="1">
        <v>2022</v>
      </c>
      <c r="D175" s="7">
        <v>40043</v>
      </c>
      <c r="E175" s="1">
        <v>5.8</v>
      </c>
      <c r="F175" s="1">
        <v>85</v>
      </c>
      <c r="G175" s="1">
        <v>318027567</v>
      </c>
      <c r="H175" s="1">
        <v>94</v>
      </c>
      <c r="I175" s="1">
        <v>24.9</v>
      </c>
      <c r="J175" s="1">
        <v>90</v>
      </c>
      <c r="K175" s="1">
        <v>80</v>
      </c>
      <c r="L175" s="1" t="s">
        <v>20</v>
      </c>
    </row>
    <row r="176" spans="1:12" x14ac:dyDescent="0.25">
      <c r="A176" s="1" t="s">
        <v>21</v>
      </c>
      <c r="B176" s="1" t="s">
        <v>22</v>
      </c>
      <c r="C176" s="1">
        <v>2022</v>
      </c>
      <c r="D176" s="7">
        <v>58750</v>
      </c>
      <c r="E176" s="1">
        <v>14.5</v>
      </c>
      <c r="F176" s="1">
        <v>71</v>
      </c>
      <c r="G176" s="1">
        <v>272097796</v>
      </c>
      <c r="H176" s="1">
        <v>73</v>
      </c>
      <c r="I176" s="1">
        <v>15.7</v>
      </c>
      <c r="J176" s="1">
        <v>89</v>
      </c>
      <c r="K176" s="1">
        <v>68</v>
      </c>
      <c r="L176" s="1" t="s">
        <v>14</v>
      </c>
    </row>
    <row r="177" spans="1:12" x14ac:dyDescent="0.25">
      <c r="A177" s="1" t="s">
        <v>23</v>
      </c>
      <c r="B177" s="1" t="s">
        <v>18</v>
      </c>
      <c r="C177" s="1">
        <v>2021</v>
      </c>
      <c r="D177" s="7">
        <v>12451</v>
      </c>
      <c r="E177" s="1">
        <v>14.6</v>
      </c>
      <c r="F177" s="1">
        <v>81</v>
      </c>
      <c r="G177" s="1">
        <v>891304499</v>
      </c>
      <c r="H177" s="1">
        <v>52</v>
      </c>
      <c r="I177" s="1">
        <v>2.4</v>
      </c>
      <c r="J177" s="1">
        <v>91</v>
      </c>
      <c r="K177" s="1">
        <v>61</v>
      </c>
      <c r="L177" s="1" t="s">
        <v>18</v>
      </c>
    </row>
    <row r="178" spans="1:12" x14ac:dyDescent="0.25">
      <c r="A178" s="1" t="s">
        <v>24</v>
      </c>
      <c r="B178" s="1" t="s">
        <v>16</v>
      </c>
      <c r="C178" s="1">
        <v>2021</v>
      </c>
      <c r="D178" s="7">
        <v>50398</v>
      </c>
      <c r="E178" s="1">
        <v>12.2</v>
      </c>
      <c r="F178" s="1">
        <v>80</v>
      </c>
      <c r="G178" s="1">
        <v>832785898</v>
      </c>
      <c r="H178" s="1">
        <v>54</v>
      </c>
      <c r="I178" s="1">
        <v>6.9</v>
      </c>
      <c r="J178" s="1">
        <v>72</v>
      </c>
      <c r="K178" s="1">
        <v>64</v>
      </c>
      <c r="L178" s="1" t="s">
        <v>16</v>
      </c>
    </row>
    <row r="179" spans="1:12" x14ac:dyDescent="0.25">
      <c r="A179" s="1" t="s">
        <v>25</v>
      </c>
      <c r="B179" s="1" t="s">
        <v>26</v>
      </c>
      <c r="C179" s="1">
        <v>2022</v>
      </c>
      <c r="D179" s="7">
        <v>18981</v>
      </c>
      <c r="E179" s="1">
        <v>8.1</v>
      </c>
      <c r="F179" s="1">
        <v>78</v>
      </c>
      <c r="G179" s="1">
        <v>1182968414</v>
      </c>
      <c r="H179" s="1">
        <v>71</v>
      </c>
      <c r="I179" s="1">
        <v>17.8</v>
      </c>
      <c r="J179" s="1">
        <v>95</v>
      </c>
      <c r="K179" s="1">
        <v>58</v>
      </c>
      <c r="L179" s="1" t="s">
        <v>26</v>
      </c>
    </row>
    <row r="180" spans="1:12" x14ac:dyDescent="0.25">
      <c r="A180" s="1" t="s">
        <v>27</v>
      </c>
      <c r="B180" s="1" t="s">
        <v>22</v>
      </c>
      <c r="C180" s="1">
        <v>2020</v>
      </c>
      <c r="D180" s="7">
        <v>51440</v>
      </c>
      <c r="E180" s="1">
        <v>12.7</v>
      </c>
      <c r="F180" s="1">
        <v>70</v>
      </c>
      <c r="G180" s="1">
        <v>1357629067</v>
      </c>
      <c r="H180" s="1">
        <v>51</v>
      </c>
      <c r="I180" s="1">
        <v>16</v>
      </c>
      <c r="J180" s="1">
        <v>83</v>
      </c>
      <c r="K180" s="1">
        <v>54</v>
      </c>
      <c r="L180" s="1" t="s">
        <v>14</v>
      </c>
    </row>
    <row r="181" spans="1:12" x14ac:dyDescent="0.25">
      <c r="A181" s="1" t="s">
        <v>28</v>
      </c>
      <c r="B181" s="1" t="s">
        <v>29</v>
      </c>
      <c r="C181" s="1">
        <v>2020</v>
      </c>
      <c r="D181" s="7">
        <v>5647</v>
      </c>
      <c r="E181" s="1">
        <v>16</v>
      </c>
      <c r="F181" s="1">
        <v>81</v>
      </c>
      <c r="G181" s="1">
        <v>1128296545</v>
      </c>
      <c r="H181" s="1">
        <v>61</v>
      </c>
      <c r="I181" s="1">
        <v>4.5</v>
      </c>
      <c r="J181" s="1">
        <v>82</v>
      </c>
      <c r="K181" s="1">
        <v>35</v>
      </c>
      <c r="L181" s="1" t="s">
        <v>29</v>
      </c>
    </row>
    <row r="182" spans="1:12" x14ac:dyDescent="0.25">
      <c r="A182" s="1" t="s">
        <v>12</v>
      </c>
      <c r="B182" s="1" t="s">
        <v>13</v>
      </c>
      <c r="C182" s="1">
        <v>2020</v>
      </c>
      <c r="D182" s="7">
        <v>44970</v>
      </c>
      <c r="E182" s="1">
        <v>5.7</v>
      </c>
      <c r="F182" s="1">
        <v>71</v>
      </c>
      <c r="G182" s="1">
        <v>1040378217</v>
      </c>
      <c r="H182" s="1">
        <v>76</v>
      </c>
      <c r="I182" s="1">
        <v>12.6</v>
      </c>
      <c r="J182" s="1">
        <v>98</v>
      </c>
      <c r="K182" s="1">
        <v>37</v>
      </c>
      <c r="L182" s="1" t="s">
        <v>14</v>
      </c>
    </row>
    <row r="183" spans="1:12" x14ac:dyDescent="0.25">
      <c r="A183" s="1" t="s">
        <v>15</v>
      </c>
      <c r="B183" s="1" t="s">
        <v>16</v>
      </c>
      <c r="C183" s="1">
        <v>2021</v>
      </c>
      <c r="D183" s="7">
        <v>9438</v>
      </c>
      <c r="E183" s="1">
        <v>7.4</v>
      </c>
      <c r="F183" s="1">
        <v>76</v>
      </c>
      <c r="G183" s="1">
        <v>1209766516</v>
      </c>
      <c r="H183" s="1">
        <v>54</v>
      </c>
      <c r="I183" s="1">
        <v>9.6</v>
      </c>
      <c r="J183" s="1">
        <v>71</v>
      </c>
      <c r="K183" s="1">
        <v>89</v>
      </c>
      <c r="L183" s="1" t="s">
        <v>16</v>
      </c>
    </row>
    <row r="184" spans="1:12" x14ac:dyDescent="0.25">
      <c r="A184" s="1" t="s">
        <v>17</v>
      </c>
      <c r="B184" s="1" t="s">
        <v>18</v>
      </c>
      <c r="C184" s="1">
        <v>2022</v>
      </c>
      <c r="D184" s="7">
        <v>5107</v>
      </c>
      <c r="E184" s="1">
        <v>3</v>
      </c>
      <c r="F184" s="1">
        <v>79</v>
      </c>
      <c r="G184" s="1">
        <v>700117256</v>
      </c>
      <c r="H184" s="1">
        <v>84</v>
      </c>
      <c r="I184" s="1">
        <v>12.3</v>
      </c>
      <c r="J184" s="1">
        <v>89</v>
      </c>
      <c r="K184" s="1">
        <v>68</v>
      </c>
      <c r="L184" s="1" t="s">
        <v>18</v>
      </c>
    </row>
    <row r="185" spans="1:12" x14ac:dyDescent="0.25">
      <c r="A185" s="1" t="s">
        <v>19</v>
      </c>
      <c r="B185" s="1" t="s">
        <v>20</v>
      </c>
      <c r="C185" s="1">
        <v>2020</v>
      </c>
      <c r="D185" s="7">
        <v>47147</v>
      </c>
      <c r="E185" s="1">
        <v>8.6999999999999993</v>
      </c>
      <c r="F185" s="1">
        <v>66</v>
      </c>
      <c r="G185" s="1">
        <v>375225188</v>
      </c>
      <c r="H185" s="1">
        <v>77</v>
      </c>
      <c r="I185" s="1">
        <v>7.3</v>
      </c>
      <c r="J185" s="1">
        <v>80</v>
      </c>
      <c r="K185" s="1">
        <v>75</v>
      </c>
      <c r="L185" s="1" t="s">
        <v>20</v>
      </c>
    </row>
    <row r="186" spans="1:12" x14ac:dyDescent="0.25">
      <c r="A186" s="1" t="s">
        <v>21</v>
      </c>
      <c r="B186" s="1" t="s">
        <v>22</v>
      </c>
      <c r="C186" s="1">
        <v>2021</v>
      </c>
      <c r="D186" s="7">
        <v>69904</v>
      </c>
      <c r="E186" s="1">
        <v>14</v>
      </c>
      <c r="F186" s="1">
        <v>67</v>
      </c>
      <c r="G186" s="1">
        <v>678719207</v>
      </c>
      <c r="H186" s="1">
        <v>89</v>
      </c>
      <c r="I186" s="1">
        <v>14.9</v>
      </c>
      <c r="J186" s="1">
        <v>90</v>
      </c>
      <c r="K186" s="1">
        <v>83</v>
      </c>
      <c r="L186" s="1" t="s">
        <v>14</v>
      </c>
    </row>
    <row r="187" spans="1:12" x14ac:dyDescent="0.25">
      <c r="A187" s="1" t="s">
        <v>23</v>
      </c>
      <c r="B187" s="1" t="s">
        <v>18</v>
      </c>
      <c r="C187" s="1">
        <v>2022</v>
      </c>
      <c r="D187" s="7">
        <v>60039</v>
      </c>
      <c r="E187" s="1">
        <v>13.8</v>
      </c>
      <c r="F187" s="1">
        <v>76</v>
      </c>
      <c r="G187" s="1">
        <v>1244251061</v>
      </c>
      <c r="H187" s="1">
        <v>82</v>
      </c>
      <c r="I187" s="1">
        <v>15.4</v>
      </c>
      <c r="J187" s="1">
        <v>80</v>
      </c>
      <c r="K187" s="1">
        <v>83</v>
      </c>
      <c r="L187" s="1" t="s">
        <v>18</v>
      </c>
    </row>
    <row r="188" spans="1:12" x14ac:dyDescent="0.25">
      <c r="A188" s="1" t="s">
        <v>24</v>
      </c>
      <c r="B188" s="1" t="s">
        <v>16</v>
      </c>
      <c r="C188" s="1">
        <v>2020</v>
      </c>
      <c r="D188" s="7">
        <v>33608</v>
      </c>
      <c r="E188" s="1">
        <v>9.6999999999999993</v>
      </c>
      <c r="F188" s="1">
        <v>69</v>
      </c>
      <c r="G188" s="1">
        <v>1058080092</v>
      </c>
      <c r="H188" s="1">
        <v>78</v>
      </c>
      <c r="I188" s="1">
        <v>14</v>
      </c>
      <c r="J188" s="1">
        <v>72</v>
      </c>
      <c r="K188" s="1">
        <v>53</v>
      </c>
      <c r="L188" s="1" t="s">
        <v>16</v>
      </c>
    </row>
    <row r="189" spans="1:12" x14ac:dyDescent="0.25">
      <c r="A189" s="1" t="s">
        <v>25</v>
      </c>
      <c r="B189" s="1" t="s">
        <v>26</v>
      </c>
      <c r="C189" s="1">
        <v>2020</v>
      </c>
      <c r="D189" s="7">
        <v>20686</v>
      </c>
      <c r="E189" s="1">
        <v>9.1</v>
      </c>
      <c r="F189" s="1">
        <v>62</v>
      </c>
      <c r="G189" s="1">
        <v>157876896</v>
      </c>
      <c r="H189" s="1">
        <v>64</v>
      </c>
      <c r="I189" s="1">
        <v>5.3</v>
      </c>
      <c r="J189" s="1">
        <v>85</v>
      </c>
      <c r="K189" s="1">
        <v>67</v>
      </c>
      <c r="L189" s="1" t="s">
        <v>26</v>
      </c>
    </row>
    <row r="190" spans="1:12" x14ac:dyDescent="0.25">
      <c r="A190" s="1" t="s">
        <v>27</v>
      </c>
      <c r="B190" s="1" t="s">
        <v>22</v>
      </c>
      <c r="C190" s="1">
        <v>2022</v>
      </c>
      <c r="D190" s="7">
        <v>15705</v>
      </c>
      <c r="E190" s="1">
        <v>7.9</v>
      </c>
      <c r="F190" s="1">
        <v>61</v>
      </c>
      <c r="G190" s="1">
        <v>1008291475</v>
      </c>
      <c r="H190" s="1">
        <v>85</v>
      </c>
      <c r="I190" s="1">
        <v>13.9</v>
      </c>
      <c r="J190" s="1">
        <v>70</v>
      </c>
      <c r="K190" s="1">
        <v>37</v>
      </c>
      <c r="L190" s="1" t="s">
        <v>14</v>
      </c>
    </row>
    <row r="191" spans="1:12" x14ac:dyDescent="0.25">
      <c r="A191" s="1" t="s">
        <v>28</v>
      </c>
      <c r="B191" s="1" t="s">
        <v>29</v>
      </c>
      <c r="C191" s="1">
        <v>2020</v>
      </c>
      <c r="D191" s="7">
        <v>59875</v>
      </c>
      <c r="E191" s="1">
        <v>15.5</v>
      </c>
      <c r="F191" s="1">
        <v>79</v>
      </c>
      <c r="G191" s="1">
        <v>289188078</v>
      </c>
      <c r="H191" s="1">
        <v>62</v>
      </c>
      <c r="I191" s="1">
        <v>6.5</v>
      </c>
      <c r="J191" s="1">
        <v>100</v>
      </c>
      <c r="K191" s="1">
        <v>43</v>
      </c>
      <c r="L191" s="1" t="s">
        <v>29</v>
      </c>
    </row>
    <row r="192" spans="1:12" x14ac:dyDescent="0.25">
      <c r="A192" s="1" t="s">
        <v>12</v>
      </c>
      <c r="B192" s="1" t="s">
        <v>13</v>
      </c>
      <c r="C192" s="1">
        <v>2022</v>
      </c>
      <c r="D192" s="7">
        <v>52069</v>
      </c>
      <c r="E192" s="1">
        <v>10.3</v>
      </c>
      <c r="F192" s="1">
        <v>74</v>
      </c>
      <c r="G192" s="1">
        <v>494801498</v>
      </c>
      <c r="H192" s="1">
        <v>53</v>
      </c>
      <c r="I192" s="1">
        <v>11.9</v>
      </c>
      <c r="J192" s="1">
        <v>94</v>
      </c>
      <c r="K192" s="1">
        <v>39</v>
      </c>
      <c r="L192" s="1" t="s">
        <v>14</v>
      </c>
    </row>
    <row r="193" spans="1:12" x14ac:dyDescent="0.25">
      <c r="A193" s="1" t="s">
        <v>15</v>
      </c>
      <c r="B193" s="1" t="s">
        <v>16</v>
      </c>
      <c r="C193" s="1">
        <v>2020</v>
      </c>
      <c r="D193" s="7">
        <v>68846</v>
      </c>
      <c r="E193" s="1">
        <v>15.4</v>
      </c>
      <c r="F193" s="1">
        <v>61</v>
      </c>
      <c r="G193" s="1">
        <v>1335714048</v>
      </c>
      <c r="H193" s="1">
        <v>90</v>
      </c>
      <c r="I193" s="1">
        <v>12.4</v>
      </c>
      <c r="J193" s="1">
        <v>95</v>
      </c>
      <c r="K193" s="1">
        <v>37</v>
      </c>
      <c r="L193" s="1" t="s">
        <v>16</v>
      </c>
    </row>
    <row r="194" spans="1:12" x14ac:dyDescent="0.25">
      <c r="A194" s="1" t="s">
        <v>17</v>
      </c>
      <c r="B194" s="1" t="s">
        <v>18</v>
      </c>
      <c r="C194" s="1">
        <v>2022</v>
      </c>
      <c r="D194" s="7">
        <v>47895</v>
      </c>
      <c r="E194" s="1">
        <v>3.3</v>
      </c>
      <c r="F194" s="1">
        <v>62</v>
      </c>
      <c r="G194" s="1">
        <v>428458635</v>
      </c>
      <c r="H194" s="1">
        <v>71</v>
      </c>
      <c r="I194" s="1">
        <v>22.5</v>
      </c>
      <c r="J194" s="1">
        <v>96</v>
      </c>
      <c r="K194" s="1">
        <v>61</v>
      </c>
      <c r="L194" s="1" t="s">
        <v>18</v>
      </c>
    </row>
    <row r="195" spans="1:12" x14ac:dyDescent="0.25">
      <c r="A195" s="1" t="s">
        <v>19</v>
      </c>
      <c r="B195" s="1" t="s">
        <v>20</v>
      </c>
      <c r="C195" s="1">
        <v>2021</v>
      </c>
      <c r="D195" s="7">
        <v>58738</v>
      </c>
      <c r="E195" s="1">
        <v>6.8</v>
      </c>
      <c r="F195" s="1">
        <v>74</v>
      </c>
      <c r="G195" s="1">
        <v>103091358</v>
      </c>
      <c r="H195" s="1">
        <v>70</v>
      </c>
      <c r="I195" s="1">
        <v>13.3</v>
      </c>
      <c r="J195" s="1">
        <v>90</v>
      </c>
      <c r="K195" s="1">
        <v>68</v>
      </c>
      <c r="L195" s="1" t="s">
        <v>20</v>
      </c>
    </row>
    <row r="196" spans="1:12" x14ac:dyDescent="0.25">
      <c r="A196" s="1" t="s">
        <v>21</v>
      </c>
      <c r="B196" s="1" t="s">
        <v>22</v>
      </c>
      <c r="C196" s="1">
        <v>2022</v>
      </c>
      <c r="D196" s="7">
        <v>60801</v>
      </c>
      <c r="E196" s="1">
        <v>4.4000000000000004</v>
      </c>
      <c r="F196" s="1">
        <v>66</v>
      </c>
      <c r="G196" s="1">
        <v>411470199</v>
      </c>
      <c r="H196" s="1">
        <v>86</v>
      </c>
      <c r="I196" s="1">
        <v>21.8</v>
      </c>
      <c r="J196" s="1">
        <v>94</v>
      </c>
      <c r="K196" s="1">
        <v>64</v>
      </c>
      <c r="L196" s="1" t="s">
        <v>14</v>
      </c>
    </row>
    <row r="197" spans="1:12" x14ac:dyDescent="0.25">
      <c r="A197" s="1" t="s">
        <v>23</v>
      </c>
      <c r="B197" s="1" t="s">
        <v>18</v>
      </c>
      <c r="C197" s="1">
        <v>2022</v>
      </c>
      <c r="D197" s="7">
        <v>17470</v>
      </c>
      <c r="E197" s="1">
        <v>3.9</v>
      </c>
      <c r="F197" s="1">
        <v>82</v>
      </c>
      <c r="G197" s="1">
        <v>391131065</v>
      </c>
      <c r="H197" s="1">
        <v>65</v>
      </c>
      <c r="I197" s="1">
        <v>22.5</v>
      </c>
      <c r="J197" s="1">
        <v>99</v>
      </c>
      <c r="K197" s="1">
        <v>84</v>
      </c>
      <c r="L197" s="1" t="s">
        <v>18</v>
      </c>
    </row>
    <row r="198" spans="1:12" x14ac:dyDescent="0.25">
      <c r="A198" s="1" t="s">
        <v>24</v>
      </c>
      <c r="B198" s="1" t="s">
        <v>16</v>
      </c>
      <c r="C198" s="1">
        <v>2020</v>
      </c>
      <c r="D198" s="7">
        <v>30158</v>
      </c>
      <c r="E198" s="1">
        <v>15.2</v>
      </c>
      <c r="F198" s="1">
        <v>63</v>
      </c>
      <c r="G198" s="1">
        <v>331730279</v>
      </c>
      <c r="H198" s="1">
        <v>52</v>
      </c>
      <c r="I198" s="1">
        <v>13.4</v>
      </c>
      <c r="J198" s="1">
        <v>71</v>
      </c>
      <c r="K198" s="1">
        <v>83</v>
      </c>
      <c r="L198" s="1" t="s">
        <v>16</v>
      </c>
    </row>
    <row r="199" spans="1:12" x14ac:dyDescent="0.25">
      <c r="A199" s="1" t="s">
        <v>25</v>
      </c>
      <c r="B199" s="1" t="s">
        <v>26</v>
      </c>
      <c r="C199" s="1">
        <v>2021</v>
      </c>
      <c r="D199" s="7">
        <v>59823</v>
      </c>
      <c r="E199" s="1">
        <v>10</v>
      </c>
      <c r="F199" s="1">
        <v>75</v>
      </c>
      <c r="G199" s="1">
        <v>981118344</v>
      </c>
      <c r="H199" s="1">
        <v>60</v>
      </c>
      <c r="I199" s="1">
        <v>9.3000000000000007</v>
      </c>
      <c r="J199" s="1">
        <v>83</v>
      </c>
      <c r="K199" s="1">
        <v>79</v>
      </c>
      <c r="L199" s="1" t="s">
        <v>26</v>
      </c>
    </row>
    <row r="200" spans="1:12" x14ac:dyDescent="0.25">
      <c r="A200" s="1" t="s">
        <v>27</v>
      </c>
      <c r="B200" s="1" t="s">
        <v>22</v>
      </c>
      <c r="C200" s="1">
        <v>2020</v>
      </c>
      <c r="D200" s="7">
        <v>62496</v>
      </c>
      <c r="E200" s="1">
        <v>4.7</v>
      </c>
      <c r="F200" s="1">
        <v>76</v>
      </c>
      <c r="G200" s="1">
        <v>1143301030</v>
      </c>
      <c r="H200" s="1">
        <v>76</v>
      </c>
      <c r="I200" s="1">
        <v>24.8</v>
      </c>
      <c r="J200" s="1">
        <v>84</v>
      </c>
      <c r="K200" s="1">
        <v>64</v>
      </c>
      <c r="L200" s="1" t="s">
        <v>14</v>
      </c>
    </row>
    <row r="201" spans="1:12" x14ac:dyDescent="0.25">
      <c r="A201" s="1" t="s">
        <v>28</v>
      </c>
      <c r="B201" s="1" t="s">
        <v>29</v>
      </c>
      <c r="C201" s="1">
        <v>2022</v>
      </c>
      <c r="D201" s="7">
        <v>57594</v>
      </c>
      <c r="E201" s="1">
        <v>15.7</v>
      </c>
      <c r="F201" s="1">
        <v>79</v>
      </c>
      <c r="G201" s="1">
        <v>124442783</v>
      </c>
      <c r="H201" s="1">
        <v>55</v>
      </c>
      <c r="I201" s="1">
        <v>6.2</v>
      </c>
      <c r="J201" s="1">
        <v>70</v>
      </c>
      <c r="K201" s="1">
        <v>42</v>
      </c>
      <c r="L201" s="1" t="s">
        <v>29</v>
      </c>
    </row>
    <row r="202" spans="1:12" x14ac:dyDescent="0.25">
      <c r="A202" s="1" t="s">
        <v>12</v>
      </c>
      <c r="B202" s="1" t="s">
        <v>13</v>
      </c>
      <c r="C202" s="1">
        <v>2021</v>
      </c>
      <c r="D202" s="7">
        <v>65364</v>
      </c>
      <c r="E202" s="1">
        <v>6.3</v>
      </c>
      <c r="F202" s="1">
        <v>69</v>
      </c>
      <c r="G202" s="1">
        <v>613657900</v>
      </c>
      <c r="H202" s="1">
        <v>65</v>
      </c>
      <c r="I202" s="1">
        <v>3</v>
      </c>
      <c r="J202" s="1">
        <v>92</v>
      </c>
      <c r="K202" s="1">
        <v>76</v>
      </c>
      <c r="L202" s="1" t="s">
        <v>14</v>
      </c>
    </row>
    <row r="203" spans="1:12" x14ac:dyDescent="0.25">
      <c r="A203" s="1" t="s">
        <v>15</v>
      </c>
      <c r="B203" s="1" t="s">
        <v>16</v>
      </c>
      <c r="C203" s="1">
        <v>2020</v>
      </c>
      <c r="D203" s="7">
        <v>25811</v>
      </c>
      <c r="E203" s="1">
        <v>5.2</v>
      </c>
      <c r="F203" s="1">
        <v>61</v>
      </c>
      <c r="G203" s="1">
        <v>1040959128</v>
      </c>
      <c r="H203" s="1">
        <v>72</v>
      </c>
      <c r="I203" s="1">
        <v>19.3</v>
      </c>
      <c r="J203" s="1">
        <v>70</v>
      </c>
      <c r="K203" s="1">
        <v>85</v>
      </c>
      <c r="L203" s="1" t="s">
        <v>16</v>
      </c>
    </row>
    <row r="204" spans="1:12" x14ac:dyDescent="0.25">
      <c r="A204" s="1" t="s">
        <v>17</v>
      </c>
      <c r="B204" s="1" t="s">
        <v>18</v>
      </c>
      <c r="C204" s="1">
        <v>2022</v>
      </c>
      <c r="D204" s="7">
        <v>6682</v>
      </c>
      <c r="E204" s="1">
        <v>12.6</v>
      </c>
      <c r="F204" s="1">
        <v>64</v>
      </c>
      <c r="G204" s="1">
        <v>13341104</v>
      </c>
      <c r="H204" s="1">
        <v>76</v>
      </c>
      <c r="I204" s="1">
        <v>23.4</v>
      </c>
      <c r="J204" s="1">
        <v>80</v>
      </c>
      <c r="K204" s="1">
        <v>35</v>
      </c>
      <c r="L204" s="1" t="s">
        <v>18</v>
      </c>
    </row>
    <row r="205" spans="1:12" x14ac:dyDescent="0.25">
      <c r="A205" s="1" t="s">
        <v>19</v>
      </c>
      <c r="B205" s="1" t="s">
        <v>20</v>
      </c>
      <c r="C205" s="1">
        <v>2021</v>
      </c>
      <c r="D205" s="7">
        <v>50479</v>
      </c>
      <c r="E205" s="1">
        <v>14.4</v>
      </c>
      <c r="F205" s="1">
        <v>80</v>
      </c>
      <c r="G205" s="1">
        <v>773138670</v>
      </c>
      <c r="H205" s="1">
        <v>90</v>
      </c>
      <c r="I205" s="1">
        <v>5</v>
      </c>
      <c r="J205" s="1">
        <v>76</v>
      </c>
      <c r="K205" s="1">
        <v>70</v>
      </c>
      <c r="L205" s="1" t="s">
        <v>20</v>
      </c>
    </row>
    <row r="206" spans="1:12" x14ac:dyDescent="0.25">
      <c r="A206" s="1" t="s">
        <v>21</v>
      </c>
      <c r="B206" s="1" t="s">
        <v>22</v>
      </c>
      <c r="C206" s="1">
        <v>2021</v>
      </c>
      <c r="D206" s="7">
        <v>40007</v>
      </c>
      <c r="E206" s="1">
        <v>6.7</v>
      </c>
      <c r="F206" s="1">
        <v>82</v>
      </c>
      <c r="G206" s="1">
        <v>1073901460</v>
      </c>
      <c r="H206" s="1">
        <v>50</v>
      </c>
      <c r="I206" s="1">
        <v>12.1</v>
      </c>
      <c r="J206" s="1">
        <v>97</v>
      </c>
      <c r="K206" s="1">
        <v>56</v>
      </c>
      <c r="L206" s="1" t="s">
        <v>14</v>
      </c>
    </row>
    <row r="207" spans="1:12" x14ac:dyDescent="0.25">
      <c r="A207" s="1" t="s">
        <v>23</v>
      </c>
      <c r="B207" s="1" t="s">
        <v>18</v>
      </c>
      <c r="C207" s="1">
        <v>2021</v>
      </c>
      <c r="D207" s="7">
        <v>28234</v>
      </c>
      <c r="E207" s="1">
        <v>15.1</v>
      </c>
      <c r="F207" s="1">
        <v>70</v>
      </c>
      <c r="G207" s="1">
        <v>154075773</v>
      </c>
      <c r="H207" s="1">
        <v>91</v>
      </c>
      <c r="I207" s="1">
        <v>17.600000000000001</v>
      </c>
      <c r="J207" s="1">
        <v>79</v>
      </c>
      <c r="K207" s="1">
        <v>56</v>
      </c>
      <c r="L207" s="1" t="s">
        <v>18</v>
      </c>
    </row>
    <row r="208" spans="1:12" x14ac:dyDescent="0.25">
      <c r="A208" s="1" t="s">
        <v>24</v>
      </c>
      <c r="B208" s="1" t="s">
        <v>16</v>
      </c>
      <c r="C208" s="1">
        <v>2020</v>
      </c>
      <c r="D208" s="7">
        <v>64203</v>
      </c>
      <c r="E208" s="1">
        <v>9.1999999999999993</v>
      </c>
      <c r="F208" s="1">
        <v>62</v>
      </c>
      <c r="G208" s="1">
        <v>804347792</v>
      </c>
      <c r="H208" s="1">
        <v>58</v>
      </c>
      <c r="I208" s="1">
        <v>6.9</v>
      </c>
      <c r="J208" s="1">
        <v>75</v>
      </c>
      <c r="K208" s="1">
        <v>45</v>
      </c>
      <c r="L208" s="1" t="s">
        <v>16</v>
      </c>
    </row>
    <row r="209" spans="1:12" x14ac:dyDescent="0.25">
      <c r="A209" s="1" t="s">
        <v>25</v>
      </c>
      <c r="B209" s="1" t="s">
        <v>26</v>
      </c>
      <c r="C209" s="1">
        <v>2020</v>
      </c>
      <c r="D209" s="7">
        <v>18226</v>
      </c>
      <c r="E209" s="1">
        <v>13.3</v>
      </c>
      <c r="F209" s="1">
        <v>79</v>
      </c>
      <c r="G209" s="1">
        <v>10101523</v>
      </c>
      <c r="H209" s="1">
        <v>53</v>
      </c>
      <c r="I209" s="1">
        <v>11.5</v>
      </c>
      <c r="J209" s="1">
        <v>89</v>
      </c>
      <c r="K209" s="1">
        <v>45</v>
      </c>
      <c r="L209" s="1" t="s">
        <v>26</v>
      </c>
    </row>
    <row r="210" spans="1:12" x14ac:dyDescent="0.25">
      <c r="A210" s="1" t="s">
        <v>27</v>
      </c>
      <c r="B210" s="1" t="s">
        <v>22</v>
      </c>
      <c r="C210" s="1">
        <v>2020</v>
      </c>
      <c r="D210" s="7">
        <v>29364</v>
      </c>
      <c r="E210" s="1">
        <v>14</v>
      </c>
      <c r="F210" s="1">
        <v>84</v>
      </c>
      <c r="G210" s="1">
        <v>1098239651</v>
      </c>
      <c r="H210" s="1">
        <v>51</v>
      </c>
      <c r="I210" s="1">
        <v>14.1</v>
      </c>
      <c r="J210" s="1">
        <v>91</v>
      </c>
      <c r="K210" s="1">
        <v>72</v>
      </c>
      <c r="L210" s="1" t="s">
        <v>14</v>
      </c>
    </row>
    <row r="211" spans="1:12" x14ac:dyDescent="0.25">
      <c r="A211" s="1" t="s">
        <v>28</v>
      </c>
      <c r="B211" s="1" t="s">
        <v>29</v>
      </c>
      <c r="C211" s="1">
        <v>2021</v>
      </c>
      <c r="D211" s="7">
        <v>56951</v>
      </c>
      <c r="E211" s="1">
        <v>4.4000000000000004</v>
      </c>
      <c r="F211" s="1">
        <v>72</v>
      </c>
      <c r="G211" s="1">
        <v>326854857</v>
      </c>
      <c r="H211" s="1">
        <v>75</v>
      </c>
      <c r="I211" s="1">
        <v>5.3</v>
      </c>
      <c r="J211" s="1">
        <v>96</v>
      </c>
      <c r="K211" s="1">
        <v>42</v>
      </c>
      <c r="L211" s="1" t="s">
        <v>29</v>
      </c>
    </row>
    <row r="212" spans="1:12" x14ac:dyDescent="0.25">
      <c r="A212" s="1" t="s">
        <v>12</v>
      </c>
      <c r="B212" s="1" t="s">
        <v>13</v>
      </c>
      <c r="C212" s="1">
        <v>2021</v>
      </c>
      <c r="D212" s="7">
        <v>48719</v>
      </c>
      <c r="E212" s="1">
        <v>16.3</v>
      </c>
      <c r="F212" s="1">
        <v>72</v>
      </c>
      <c r="G212" s="1">
        <v>1330075108</v>
      </c>
      <c r="H212" s="1">
        <v>70</v>
      </c>
      <c r="I212" s="1">
        <v>9.9</v>
      </c>
      <c r="J212" s="1">
        <v>97</v>
      </c>
      <c r="K212" s="1">
        <v>43</v>
      </c>
      <c r="L212" s="1" t="s">
        <v>14</v>
      </c>
    </row>
    <row r="213" spans="1:12" x14ac:dyDescent="0.25">
      <c r="A213" s="1" t="s">
        <v>15</v>
      </c>
      <c r="B213" s="1" t="s">
        <v>16</v>
      </c>
      <c r="C213" s="1">
        <v>2021</v>
      </c>
      <c r="D213" s="7">
        <v>25391</v>
      </c>
      <c r="E213" s="1">
        <v>8</v>
      </c>
      <c r="F213" s="1">
        <v>69</v>
      </c>
      <c r="G213" s="1">
        <v>641610669</v>
      </c>
      <c r="H213" s="1">
        <v>88</v>
      </c>
      <c r="I213" s="1">
        <v>20.100000000000001</v>
      </c>
      <c r="J213" s="1">
        <v>84</v>
      </c>
      <c r="K213" s="1">
        <v>57</v>
      </c>
      <c r="L213" s="1" t="s">
        <v>16</v>
      </c>
    </row>
    <row r="214" spans="1:12" x14ac:dyDescent="0.25">
      <c r="A214" s="1" t="s">
        <v>17</v>
      </c>
      <c r="B214" s="1" t="s">
        <v>18</v>
      </c>
      <c r="C214" s="1">
        <v>2020</v>
      </c>
      <c r="D214" s="7">
        <v>65349</v>
      </c>
      <c r="E214" s="1">
        <v>6.8</v>
      </c>
      <c r="F214" s="1">
        <v>75</v>
      </c>
      <c r="G214" s="1">
        <v>506013176</v>
      </c>
      <c r="H214" s="1">
        <v>82</v>
      </c>
      <c r="I214" s="1">
        <v>23.9</v>
      </c>
      <c r="J214" s="1">
        <v>100</v>
      </c>
      <c r="K214" s="1">
        <v>50</v>
      </c>
      <c r="L214" s="1" t="s">
        <v>18</v>
      </c>
    </row>
    <row r="215" spans="1:12" x14ac:dyDescent="0.25">
      <c r="A215" s="1" t="s">
        <v>19</v>
      </c>
      <c r="B215" s="1" t="s">
        <v>20</v>
      </c>
      <c r="C215" s="1">
        <v>2022</v>
      </c>
      <c r="D215" s="7">
        <v>69420</v>
      </c>
      <c r="E215" s="1">
        <v>15</v>
      </c>
      <c r="F215" s="1">
        <v>82</v>
      </c>
      <c r="G215" s="1">
        <v>1398349896</v>
      </c>
      <c r="H215" s="1">
        <v>54</v>
      </c>
      <c r="I215" s="1">
        <v>14.1</v>
      </c>
      <c r="J215" s="1">
        <v>97</v>
      </c>
      <c r="K215" s="1">
        <v>83</v>
      </c>
      <c r="L215" s="1" t="s">
        <v>20</v>
      </c>
    </row>
    <row r="216" spans="1:12" x14ac:dyDescent="0.25">
      <c r="A216" s="1" t="s">
        <v>21</v>
      </c>
      <c r="B216" s="1" t="s">
        <v>22</v>
      </c>
      <c r="C216" s="1">
        <v>2020</v>
      </c>
      <c r="D216" s="7">
        <v>25281</v>
      </c>
      <c r="E216" s="1">
        <v>9.6</v>
      </c>
      <c r="F216" s="1">
        <v>66</v>
      </c>
      <c r="G216" s="1">
        <v>186912023</v>
      </c>
      <c r="H216" s="1">
        <v>75</v>
      </c>
      <c r="I216" s="1">
        <v>4.8</v>
      </c>
      <c r="J216" s="1">
        <v>85</v>
      </c>
      <c r="K216" s="1">
        <v>60</v>
      </c>
      <c r="L216" s="1" t="s">
        <v>14</v>
      </c>
    </row>
    <row r="217" spans="1:12" x14ac:dyDescent="0.25">
      <c r="A217" s="1" t="s">
        <v>23</v>
      </c>
      <c r="B217" s="1" t="s">
        <v>18</v>
      </c>
      <c r="C217" s="1">
        <v>2022</v>
      </c>
      <c r="D217" s="7">
        <v>27693</v>
      </c>
      <c r="E217" s="1">
        <v>4.5</v>
      </c>
      <c r="F217" s="1">
        <v>73</v>
      </c>
      <c r="G217" s="1">
        <v>406612262</v>
      </c>
      <c r="H217" s="1">
        <v>58</v>
      </c>
      <c r="I217" s="1">
        <v>20.9</v>
      </c>
      <c r="J217" s="1">
        <v>89</v>
      </c>
      <c r="K217" s="1">
        <v>53</v>
      </c>
      <c r="L217" s="1" t="s">
        <v>18</v>
      </c>
    </row>
    <row r="218" spans="1:12" x14ac:dyDescent="0.25">
      <c r="A218" s="1" t="s">
        <v>24</v>
      </c>
      <c r="B218" s="1" t="s">
        <v>16</v>
      </c>
      <c r="C218" s="1">
        <v>2022</v>
      </c>
      <c r="D218" s="7">
        <v>54392</v>
      </c>
      <c r="E218" s="1">
        <v>9.4</v>
      </c>
      <c r="F218" s="1">
        <v>63</v>
      </c>
      <c r="G218" s="1">
        <v>756127784</v>
      </c>
      <c r="H218" s="1">
        <v>57</v>
      </c>
      <c r="I218" s="1">
        <v>11.1</v>
      </c>
      <c r="J218" s="1">
        <v>91</v>
      </c>
      <c r="K218" s="1">
        <v>71</v>
      </c>
      <c r="L218" s="1" t="s">
        <v>16</v>
      </c>
    </row>
    <row r="219" spans="1:12" x14ac:dyDescent="0.25">
      <c r="A219" s="1" t="s">
        <v>25</v>
      </c>
      <c r="B219" s="1" t="s">
        <v>26</v>
      </c>
      <c r="C219" s="1">
        <v>2022</v>
      </c>
      <c r="D219" s="7">
        <v>45061</v>
      </c>
      <c r="E219" s="1">
        <v>6</v>
      </c>
      <c r="F219" s="1">
        <v>68</v>
      </c>
      <c r="G219" s="1">
        <v>1087600014</v>
      </c>
      <c r="H219" s="1">
        <v>95</v>
      </c>
      <c r="I219" s="1">
        <v>15.1</v>
      </c>
      <c r="J219" s="1">
        <v>100</v>
      </c>
      <c r="K219" s="1">
        <v>66</v>
      </c>
      <c r="L219" s="1" t="s">
        <v>26</v>
      </c>
    </row>
    <row r="220" spans="1:12" x14ac:dyDescent="0.25">
      <c r="A220" s="1" t="s">
        <v>27</v>
      </c>
      <c r="B220" s="1" t="s">
        <v>22</v>
      </c>
      <c r="C220" s="1">
        <v>2021</v>
      </c>
      <c r="D220" s="7">
        <v>12832</v>
      </c>
      <c r="E220" s="1">
        <v>4.5999999999999996</v>
      </c>
      <c r="F220" s="1">
        <v>67</v>
      </c>
      <c r="G220" s="1">
        <v>1351589766</v>
      </c>
      <c r="H220" s="1">
        <v>73</v>
      </c>
      <c r="I220" s="1">
        <v>14.8</v>
      </c>
      <c r="J220" s="1">
        <v>70</v>
      </c>
      <c r="K220" s="1">
        <v>79</v>
      </c>
      <c r="L220" s="1" t="s">
        <v>14</v>
      </c>
    </row>
    <row r="221" spans="1:12" x14ac:dyDescent="0.25">
      <c r="A221" s="1" t="s">
        <v>28</v>
      </c>
      <c r="B221" s="1" t="s">
        <v>29</v>
      </c>
      <c r="C221" s="1">
        <v>2022</v>
      </c>
      <c r="D221" s="7">
        <v>36196</v>
      </c>
      <c r="E221" s="1">
        <v>9.5</v>
      </c>
      <c r="F221" s="1">
        <v>76</v>
      </c>
      <c r="G221" s="1">
        <v>568305105</v>
      </c>
      <c r="H221" s="1">
        <v>64</v>
      </c>
      <c r="I221" s="1">
        <v>9</v>
      </c>
      <c r="J221" s="1">
        <v>90</v>
      </c>
      <c r="K221" s="1">
        <v>42</v>
      </c>
      <c r="L221" s="1" t="s">
        <v>29</v>
      </c>
    </row>
    <row r="222" spans="1:12" x14ac:dyDescent="0.25">
      <c r="A222" s="1" t="s">
        <v>12</v>
      </c>
      <c r="B222" s="1" t="s">
        <v>13</v>
      </c>
      <c r="C222" s="1">
        <v>2020</v>
      </c>
      <c r="D222" s="7">
        <v>50070</v>
      </c>
      <c r="E222" s="1">
        <v>6.6</v>
      </c>
      <c r="F222" s="1">
        <v>70</v>
      </c>
      <c r="G222" s="1">
        <v>132933727</v>
      </c>
      <c r="H222" s="1">
        <v>51</v>
      </c>
      <c r="I222" s="1">
        <v>10.9</v>
      </c>
      <c r="J222" s="1">
        <v>82</v>
      </c>
      <c r="K222" s="1">
        <v>73</v>
      </c>
      <c r="L222" s="1" t="s">
        <v>14</v>
      </c>
    </row>
    <row r="223" spans="1:12" x14ac:dyDescent="0.25">
      <c r="A223" s="1" t="s">
        <v>15</v>
      </c>
      <c r="B223" s="1" t="s">
        <v>16</v>
      </c>
      <c r="C223" s="1">
        <v>2021</v>
      </c>
      <c r="D223" s="7">
        <v>61031</v>
      </c>
      <c r="E223" s="1">
        <v>14.2</v>
      </c>
      <c r="F223" s="1">
        <v>62</v>
      </c>
      <c r="G223" s="1">
        <v>66452698</v>
      </c>
      <c r="H223" s="1">
        <v>64</v>
      </c>
      <c r="I223" s="1">
        <v>15.6</v>
      </c>
      <c r="J223" s="1">
        <v>87</v>
      </c>
      <c r="K223" s="1">
        <v>30</v>
      </c>
      <c r="L223" s="1" t="s">
        <v>16</v>
      </c>
    </row>
    <row r="224" spans="1:12" x14ac:dyDescent="0.25">
      <c r="A224" s="1" t="s">
        <v>17</v>
      </c>
      <c r="B224" s="1" t="s">
        <v>18</v>
      </c>
      <c r="C224" s="1">
        <v>2021</v>
      </c>
      <c r="D224" s="7">
        <v>38446</v>
      </c>
      <c r="E224" s="1">
        <v>10.1</v>
      </c>
      <c r="F224" s="1">
        <v>65</v>
      </c>
      <c r="G224" s="1">
        <v>1215430400</v>
      </c>
      <c r="H224" s="1">
        <v>77</v>
      </c>
      <c r="I224" s="1">
        <v>11.1</v>
      </c>
      <c r="J224" s="1">
        <v>94</v>
      </c>
      <c r="K224" s="1">
        <v>80</v>
      </c>
      <c r="L224" s="1" t="s">
        <v>18</v>
      </c>
    </row>
    <row r="225" spans="1:12" x14ac:dyDescent="0.25">
      <c r="A225" s="1" t="s">
        <v>19</v>
      </c>
      <c r="B225" s="1" t="s">
        <v>20</v>
      </c>
      <c r="C225" s="1">
        <v>2022</v>
      </c>
      <c r="D225" s="7">
        <v>3632</v>
      </c>
      <c r="E225" s="1">
        <v>3.9</v>
      </c>
      <c r="F225" s="1">
        <v>66</v>
      </c>
      <c r="G225" s="1">
        <v>436429142</v>
      </c>
      <c r="H225" s="1">
        <v>92</v>
      </c>
      <c r="I225" s="1">
        <v>23.5</v>
      </c>
      <c r="J225" s="1">
        <v>95</v>
      </c>
      <c r="K225" s="1">
        <v>88</v>
      </c>
      <c r="L225" s="1" t="s">
        <v>20</v>
      </c>
    </row>
    <row r="226" spans="1:12" x14ac:dyDescent="0.25">
      <c r="A226" s="1" t="s">
        <v>21</v>
      </c>
      <c r="B226" s="1" t="s">
        <v>22</v>
      </c>
      <c r="C226" s="1">
        <v>2020</v>
      </c>
      <c r="D226" s="7">
        <v>14361</v>
      </c>
      <c r="E226" s="1">
        <v>15.8</v>
      </c>
      <c r="F226" s="1">
        <v>75</v>
      </c>
      <c r="G226" s="1">
        <v>826168098</v>
      </c>
      <c r="H226" s="1">
        <v>61</v>
      </c>
      <c r="I226" s="1">
        <v>17.399999999999999</v>
      </c>
      <c r="J226" s="1">
        <v>74</v>
      </c>
      <c r="K226" s="1">
        <v>77</v>
      </c>
      <c r="L226" s="1" t="s">
        <v>14</v>
      </c>
    </row>
    <row r="227" spans="1:12" x14ac:dyDescent="0.25">
      <c r="A227" s="1" t="s">
        <v>23</v>
      </c>
      <c r="B227" s="1" t="s">
        <v>18</v>
      </c>
      <c r="C227" s="1">
        <v>2022</v>
      </c>
      <c r="D227" s="7">
        <v>67471</v>
      </c>
      <c r="E227" s="1">
        <v>15.5</v>
      </c>
      <c r="F227" s="1">
        <v>60</v>
      </c>
      <c r="G227" s="1">
        <v>586887745</v>
      </c>
      <c r="H227" s="1">
        <v>71</v>
      </c>
      <c r="I227" s="1">
        <v>4.8</v>
      </c>
      <c r="J227" s="1">
        <v>82</v>
      </c>
      <c r="K227" s="1">
        <v>64</v>
      </c>
      <c r="L227" s="1" t="s">
        <v>18</v>
      </c>
    </row>
    <row r="228" spans="1:12" x14ac:dyDescent="0.25">
      <c r="A228" s="1" t="s">
        <v>24</v>
      </c>
      <c r="B228" s="1" t="s">
        <v>16</v>
      </c>
      <c r="C228" s="1">
        <v>2022</v>
      </c>
      <c r="D228" s="7">
        <v>45776</v>
      </c>
      <c r="E228" s="1">
        <v>15.7</v>
      </c>
      <c r="F228" s="1">
        <v>77</v>
      </c>
      <c r="G228" s="1">
        <v>1066928404</v>
      </c>
      <c r="H228" s="1">
        <v>55</v>
      </c>
      <c r="I228" s="1">
        <v>18.7</v>
      </c>
      <c r="J228" s="1">
        <v>93</v>
      </c>
      <c r="K228" s="1">
        <v>53</v>
      </c>
      <c r="L228" s="1" t="s">
        <v>16</v>
      </c>
    </row>
    <row r="229" spans="1:12" x14ac:dyDescent="0.25">
      <c r="A229" s="1" t="s">
        <v>25</v>
      </c>
      <c r="B229" s="1" t="s">
        <v>26</v>
      </c>
      <c r="C229" s="1">
        <v>2021</v>
      </c>
      <c r="D229" s="7">
        <v>2895</v>
      </c>
      <c r="E229" s="1">
        <v>7</v>
      </c>
      <c r="F229" s="1">
        <v>60</v>
      </c>
      <c r="G229" s="1">
        <v>735193385</v>
      </c>
      <c r="H229" s="1">
        <v>72</v>
      </c>
      <c r="I229" s="1">
        <v>21.2</v>
      </c>
      <c r="J229" s="1">
        <v>99</v>
      </c>
      <c r="K229" s="1">
        <v>47</v>
      </c>
      <c r="L229" s="1" t="s">
        <v>26</v>
      </c>
    </row>
    <row r="230" spans="1:12" x14ac:dyDescent="0.25">
      <c r="A230" s="1" t="s">
        <v>27</v>
      </c>
      <c r="B230" s="1" t="s">
        <v>22</v>
      </c>
      <c r="C230" s="1">
        <v>2020</v>
      </c>
      <c r="D230" s="7">
        <v>20794</v>
      </c>
      <c r="E230" s="1">
        <v>16.899999999999999</v>
      </c>
      <c r="F230" s="1">
        <v>82</v>
      </c>
      <c r="G230" s="1">
        <v>593687566</v>
      </c>
      <c r="H230" s="1">
        <v>54</v>
      </c>
      <c r="I230" s="1">
        <v>14.7</v>
      </c>
      <c r="J230" s="1">
        <v>91</v>
      </c>
      <c r="K230" s="1">
        <v>55</v>
      </c>
      <c r="L230" s="1" t="s">
        <v>14</v>
      </c>
    </row>
    <row r="231" spans="1:12" x14ac:dyDescent="0.25">
      <c r="A231" s="1" t="s">
        <v>28</v>
      </c>
      <c r="B231" s="1" t="s">
        <v>29</v>
      </c>
      <c r="C231" s="1">
        <v>2020</v>
      </c>
      <c r="D231" s="7">
        <v>58145</v>
      </c>
      <c r="E231" s="1">
        <v>3.7</v>
      </c>
      <c r="F231" s="1">
        <v>84</v>
      </c>
      <c r="G231" s="1">
        <v>178559054</v>
      </c>
      <c r="H231" s="1">
        <v>80</v>
      </c>
      <c r="I231" s="1">
        <v>20</v>
      </c>
      <c r="J231" s="1">
        <v>95</v>
      </c>
      <c r="K231" s="1">
        <v>31</v>
      </c>
      <c r="L231" s="1" t="s">
        <v>29</v>
      </c>
    </row>
    <row r="232" spans="1:12" x14ac:dyDescent="0.25">
      <c r="A232" s="1" t="s">
        <v>12</v>
      </c>
      <c r="B232" s="1" t="s">
        <v>13</v>
      </c>
      <c r="C232" s="1">
        <v>2022</v>
      </c>
      <c r="D232" s="7">
        <v>8464</v>
      </c>
      <c r="E232" s="1">
        <v>10.1</v>
      </c>
      <c r="F232" s="1">
        <v>67</v>
      </c>
      <c r="G232" s="1">
        <v>1235541893</v>
      </c>
      <c r="H232" s="1">
        <v>91</v>
      </c>
      <c r="I232" s="1">
        <v>8.6</v>
      </c>
      <c r="J232" s="1">
        <v>79</v>
      </c>
      <c r="K232" s="1">
        <v>54</v>
      </c>
      <c r="L232" s="1" t="s">
        <v>14</v>
      </c>
    </row>
    <row r="233" spans="1:12" x14ac:dyDescent="0.25">
      <c r="A233" s="1" t="s">
        <v>15</v>
      </c>
      <c r="B233" s="1" t="s">
        <v>16</v>
      </c>
      <c r="C233" s="1">
        <v>2021</v>
      </c>
      <c r="D233" s="7">
        <v>30566</v>
      </c>
      <c r="E233" s="1">
        <v>16.8</v>
      </c>
      <c r="F233" s="1">
        <v>79</v>
      </c>
      <c r="G233" s="1">
        <v>1490429098</v>
      </c>
      <c r="H233" s="1">
        <v>77</v>
      </c>
      <c r="I233" s="1">
        <v>5.3</v>
      </c>
      <c r="J233" s="1">
        <v>86</v>
      </c>
      <c r="K233" s="1">
        <v>64</v>
      </c>
      <c r="L233" s="1" t="s">
        <v>16</v>
      </c>
    </row>
    <row r="234" spans="1:12" x14ac:dyDescent="0.25">
      <c r="A234" s="1" t="s">
        <v>17</v>
      </c>
      <c r="B234" s="1" t="s">
        <v>18</v>
      </c>
      <c r="C234" s="1">
        <v>2020</v>
      </c>
      <c r="D234" s="7">
        <v>44913</v>
      </c>
      <c r="E234" s="1">
        <v>15.5</v>
      </c>
      <c r="F234" s="1">
        <v>71</v>
      </c>
      <c r="G234" s="1">
        <v>768731173</v>
      </c>
      <c r="H234" s="1">
        <v>57</v>
      </c>
      <c r="I234" s="1">
        <v>9.9</v>
      </c>
      <c r="J234" s="1">
        <v>79</v>
      </c>
      <c r="K234" s="1">
        <v>44</v>
      </c>
      <c r="L234" s="1" t="s">
        <v>18</v>
      </c>
    </row>
    <row r="235" spans="1:12" x14ac:dyDescent="0.25">
      <c r="A235" s="1" t="s">
        <v>19</v>
      </c>
      <c r="B235" s="1" t="s">
        <v>20</v>
      </c>
      <c r="C235" s="1">
        <v>2022</v>
      </c>
      <c r="D235" s="7">
        <v>8422</v>
      </c>
      <c r="E235" s="1">
        <v>7.8</v>
      </c>
      <c r="F235" s="1">
        <v>67</v>
      </c>
      <c r="G235" s="1">
        <v>542020568</v>
      </c>
      <c r="H235" s="1">
        <v>94</v>
      </c>
      <c r="I235" s="1">
        <v>4.3</v>
      </c>
      <c r="J235" s="1">
        <v>81</v>
      </c>
      <c r="K235" s="1">
        <v>35</v>
      </c>
      <c r="L235" s="1" t="s">
        <v>20</v>
      </c>
    </row>
    <row r="236" spans="1:12" x14ac:dyDescent="0.25">
      <c r="A236" s="1" t="s">
        <v>21</v>
      </c>
      <c r="B236" s="1" t="s">
        <v>22</v>
      </c>
      <c r="C236" s="1">
        <v>2020</v>
      </c>
      <c r="D236" s="7">
        <v>24162</v>
      </c>
      <c r="E236" s="1">
        <v>12.5</v>
      </c>
      <c r="F236" s="1">
        <v>68</v>
      </c>
      <c r="G236" s="1">
        <v>699868506</v>
      </c>
      <c r="H236" s="1">
        <v>68</v>
      </c>
      <c r="I236" s="1">
        <v>20.3</v>
      </c>
      <c r="J236" s="1">
        <v>81</v>
      </c>
      <c r="K236" s="1">
        <v>76</v>
      </c>
      <c r="L236" s="1" t="s">
        <v>14</v>
      </c>
    </row>
    <row r="237" spans="1:12" x14ac:dyDescent="0.25">
      <c r="A237" s="1" t="s">
        <v>23</v>
      </c>
      <c r="B237" s="1" t="s">
        <v>18</v>
      </c>
      <c r="C237" s="1">
        <v>2020</v>
      </c>
      <c r="D237" s="7">
        <v>64150</v>
      </c>
      <c r="E237" s="1">
        <v>11.6</v>
      </c>
      <c r="F237" s="1">
        <v>77</v>
      </c>
      <c r="G237" s="1">
        <v>451311215</v>
      </c>
      <c r="H237" s="1">
        <v>90</v>
      </c>
      <c r="I237" s="1">
        <v>17.7</v>
      </c>
      <c r="J237" s="1">
        <v>96</v>
      </c>
      <c r="K237" s="1">
        <v>58</v>
      </c>
      <c r="L237" s="1" t="s">
        <v>18</v>
      </c>
    </row>
    <row r="238" spans="1:12" x14ac:dyDescent="0.25">
      <c r="A238" s="1" t="s">
        <v>24</v>
      </c>
      <c r="B238" s="1" t="s">
        <v>16</v>
      </c>
      <c r="C238" s="1">
        <v>2022</v>
      </c>
      <c r="D238" s="7">
        <v>58981</v>
      </c>
      <c r="E238" s="1">
        <v>8.6999999999999993</v>
      </c>
      <c r="F238" s="1">
        <v>66</v>
      </c>
      <c r="G238" s="1">
        <v>1494679285</v>
      </c>
      <c r="H238" s="1">
        <v>54</v>
      </c>
      <c r="I238" s="1">
        <v>7.2</v>
      </c>
      <c r="J238" s="1">
        <v>93</v>
      </c>
      <c r="K238" s="1">
        <v>67</v>
      </c>
      <c r="L238" s="1" t="s">
        <v>16</v>
      </c>
    </row>
    <row r="239" spans="1:12" x14ac:dyDescent="0.25">
      <c r="A239" s="1" t="s">
        <v>25</v>
      </c>
      <c r="B239" s="1" t="s">
        <v>26</v>
      </c>
      <c r="C239" s="1">
        <v>2022</v>
      </c>
      <c r="D239" s="7">
        <v>27083</v>
      </c>
      <c r="E239" s="1">
        <v>5.4</v>
      </c>
      <c r="F239" s="1">
        <v>68</v>
      </c>
      <c r="G239" s="1">
        <v>991560709</v>
      </c>
      <c r="H239" s="1">
        <v>94</v>
      </c>
      <c r="I239" s="1">
        <v>24.5</v>
      </c>
      <c r="J239" s="1">
        <v>78</v>
      </c>
      <c r="K239" s="1">
        <v>66</v>
      </c>
      <c r="L239" s="1" t="s">
        <v>26</v>
      </c>
    </row>
    <row r="240" spans="1:12" x14ac:dyDescent="0.25">
      <c r="A240" s="1" t="s">
        <v>27</v>
      </c>
      <c r="B240" s="1" t="s">
        <v>22</v>
      </c>
      <c r="C240" s="1">
        <v>2021</v>
      </c>
      <c r="D240" s="7">
        <v>2323</v>
      </c>
      <c r="E240" s="1">
        <v>11.1</v>
      </c>
      <c r="F240" s="1">
        <v>70</v>
      </c>
      <c r="G240" s="1">
        <v>859378086</v>
      </c>
      <c r="H240" s="1">
        <v>86</v>
      </c>
      <c r="I240" s="1">
        <v>21.4</v>
      </c>
      <c r="J240" s="1">
        <v>93</v>
      </c>
      <c r="K240" s="1">
        <v>76</v>
      </c>
      <c r="L240" s="1" t="s">
        <v>14</v>
      </c>
    </row>
    <row r="241" spans="1:12" x14ac:dyDescent="0.25">
      <c r="A241" s="1" t="s">
        <v>28</v>
      </c>
      <c r="B241" s="1" t="s">
        <v>29</v>
      </c>
      <c r="C241" s="1">
        <v>2020</v>
      </c>
      <c r="D241" s="7">
        <v>54686</v>
      </c>
      <c r="E241" s="1">
        <v>4</v>
      </c>
      <c r="F241" s="1">
        <v>84</v>
      </c>
      <c r="G241" s="1">
        <v>785066722</v>
      </c>
      <c r="H241" s="1">
        <v>60</v>
      </c>
      <c r="I241" s="1">
        <v>24.6</v>
      </c>
      <c r="J241" s="1">
        <v>81</v>
      </c>
      <c r="K241" s="1">
        <v>37</v>
      </c>
      <c r="L241" s="1" t="s">
        <v>29</v>
      </c>
    </row>
    <row r="242" spans="1:12" x14ac:dyDescent="0.25">
      <c r="A242" s="1" t="s">
        <v>12</v>
      </c>
      <c r="B242" s="1" t="s">
        <v>13</v>
      </c>
      <c r="C242" s="1">
        <v>2020</v>
      </c>
      <c r="D242" s="7">
        <v>23478</v>
      </c>
      <c r="E242" s="1">
        <v>8.5</v>
      </c>
      <c r="F242" s="1">
        <v>64</v>
      </c>
      <c r="G242" s="1">
        <v>856670434</v>
      </c>
      <c r="H242" s="1">
        <v>69</v>
      </c>
      <c r="I242" s="1">
        <v>15.8</v>
      </c>
      <c r="J242" s="1">
        <v>75</v>
      </c>
      <c r="K242" s="1">
        <v>69</v>
      </c>
      <c r="L242" s="1" t="s">
        <v>14</v>
      </c>
    </row>
    <row r="243" spans="1:12" x14ac:dyDescent="0.25">
      <c r="A243" s="1" t="s">
        <v>15</v>
      </c>
      <c r="B243" s="1" t="s">
        <v>16</v>
      </c>
      <c r="C243" s="1">
        <v>2020</v>
      </c>
      <c r="D243" s="7">
        <v>45491</v>
      </c>
      <c r="E243" s="1">
        <v>7.4</v>
      </c>
      <c r="F243" s="1">
        <v>61</v>
      </c>
      <c r="G243" s="1">
        <v>1066551966</v>
      </c>
      <c r="H243" s="1">
        <v>76</v>
      </c>
      <c r="I243" s="1">
        <v>15.2</v>
      </c>
      <c r="J243" s="1">
        <v>86</v>
      </c>
      <c r="K243" s="1">
        <v>38</v>
      </c>
      <c r="L243" s="1" t="s">
        <v>16</v>
      </c>
    </row>
    <row r="244" spans="1:12" x14ac:dyDescent="0.25">
      <c r="A244" s="1" t="s">
        <v>17</v>
      </c>
      <c r="B244" s="1" t="s">
        <v>18</v>
      </c>
      <c r="C244" s="1">
        <v>2020</v>
      </c>
      <c r="D244" s="7">
        <v>59630</v>
      </c>
      <c r="E244" s="1">
        <v>11.1</v>
      </c>
      <c r="F244" s="1">
        <v>82</v>
      </c>
      <c r="G244" s="1">
        <v>1296401631</v>
      </c>
      <c r="H244" s="1">
        <v>77</v>
      </c>
      <c r="I244" s="1">
        <v>12.1</v>
      </c>
      <c r="J244" s="1">
        <v>92</v>
      </c>
      <c r="K244" s="1">
        <v>55</v>
      </c>
      <c r="L244" s="1" t="s">
        <v>18</v>
      </c>
    </row>
    <row r="245" spans="1:12" x14ac:dyDescent="0.25">
      <c r="A245" s="1" t="s">
        <v>19</v>
      </c>
      <c r="B245" s="1" t="s">
        <v>20</v>
      </c>
      <c r="C245" s="1">
        <v>2021</v>
      </c>
      <c r="D245" s="7">
        <v>55137</v>
      </c>
      <c r="E245" s="1">
        <v>8.1999999999999993</v>
      </c>
      <c r="F245" s="1">
        <v>67</v>
      </c>
      <c r="G245" s="1">
        <v>127144716</v>
      </c>
      <c r="H245" s="1">
        <v>58</v>
      </c>
      <c r="I245" s="1">
        <v>22.7</v>
      </c>
      <c r="J245" s="1">
        <v>90</v>
      </c>
      <c r="K245" s="1">
        <v>30</v>
      </c>
      <c r="L245" s="1" t="s">
        <v>20</v>
      </c>
    </row>
    <row r="246" spans="1:12" x14ac:dyDescent="0.25">
      <c r="A246" s="1" t="s">
        <v>21</v>
      </c>
      <c r="B246" s="1" t="s">
        <v>22</v>
      </c>
      <c r="C246" s="1">
        <v>2022</v>
      </c>
      <c r="D246" s="7">
        <v>48794</v>
      </c>
      <c r="E246" s="1">
        <v>6.4</v>
      </c>
      <c r="F246" s="1">
        <v>64</v>
      </c>
      <c r="G246" s="1">
        <v>1494088218</v>
      </c>
      <c r="H246" s="1">
        <v>53</v>
      </c>
      <c r="I246" s="1">
        <v>25</v>
      </c>
      <c r="J246" s="1">
        <v>72</v>
      </c>
      <c r="K246" s="1">
        <v>76</v>
      </c>
      <c r="L246" s="1" t="s">
        <v>14</v>
      </c>
    </row>
    <row r="247" spans="1:12" x14ac:dyDescent="0.25">
      <c r="A247" s="1" t="s">
        <v>23</v>
      </c>
      <c r="B247" s="1" t="s">
        <v>18</v>
      </c>
      <c r="C247" s="1">
        <v>2022</v>
      </c>
      <c r="D247" s="7">
        <v>6744</v>
      </c>
      <c r="E247" s="1">
        <v>16.100000000000001</v>
      </c>
      <c r="F247" s="1">
        <v>76</v>
      </c>
      <c r="G247" s="1">
        <v>874401344</v>
      </c>
      <c r="H247" s="1">
        <v>90</v>
      </c>
      <c r="I247" s="1">
        <v>11.8</v>
      </c>
      <c r="J247" s="1">
        <v>86</v>
      </c>
      <c r="K247" s="1">
        <v>72</v>
      </c>
      <c r="L247" s="1" t="s">
        <v>18</v>
      </c>
    </row>
    <row r="248" spans="1:12" x14ac:dyDescent="0.25">
      <c r="A248" s="1" t="s">
        <v>24</v>
      </c>
      <c r="B248" s="1" t="s">
        <v>16</v>
      </c>
      <c r="C248" s="1">
        <v>2020</v>
      </c>
      <c r="D248" s="7">
        <v>69528</v>
      </c>
      <c r="E248" s="1">
        <v>5.9</v>
      </c>
      <c r="F248" s="1">
        <v>75</v>
      </c>
      <c r="G248" s="1">
        <v>1043953467</v>
      </c>
      <c r="H248" s="1">
        <v>88</v>
      </c>
      <c r="I248" s="1">
        <v>19.100000000000001</v>
      </c>
      <c r="J248" s="1">
        <v>100</v>
      </c>
      <c r="K248" s="1">
        <v>46</v>
      </c>
      <c r="L248" s="1" t="s">
        <v>16</v>
      </c>
    </row>
    <row r="249" spans="1:12" x14ac:dyDescent="0.25">
      <c r="A249" s="1" t="s">
        <v>25</v>
      </c>
      <c r="B249" s="1" t="s">
        <v>26</v>
      </c>
      <c r="C249" s="1">
        <v>2020</v>
      </c>
      <c r="D249" s="7">
        <v>11110</v>
      </c>
      <c r="E249" s="1">
        <v>14.3</v>
      </c>
      <c r="F249" s="1">
        <v>66</v>
      </c>
      <c r="G249" s="1">
        <v>656298314</v>
      </c>
      <c r="H249" s="1">
        <v>88</v>
      </c>
      <c r="I249" s="1">
        <v>14.7</v>
      </c>
      <c r="J249" s="1">
        <v>79</v>
      </c>
      <c r="K249" s="1">
        <v>52</v>
      </c>
      <c r="L249" s="1" t="s">
        <v>26</v>
      </c>
    </row>
    <row r="250" spans="1:12" x14ac:dyDescent="0.25">
      <c r="A250" s="1" t="s">
        <v>27</v>
      </c>
      <c r="B250" s="1" t="s">
        <v>22</v>
      </c>
      <c r="C250" s="1">
        <v>2021</v>
      </c>
      <c r="D250" s="7">
        <v>2217</v>
      </c>
      <c r="E250" s="1">
        <v>3.3</v>
      </c>
      <c r="F250" s="1">
        <v>65</v>
      </c>
      <c r="G250" s="1">
        <v>850897555</v>
      </c>
      <c r="H250" s="1">
        <v>84</v>
      </c>
      <c r="I250" s="1">
        <v>2.5</v>
      </c>
      <c r="J250" s="1">
        <v>79</v>
      </c>
      <c r="K250" s="1">
        <v>73</v>
      </c>
      <c r="L250" s="1" t="s">
        <v>14</v>
      </c>
    </row>
    <row r="251" spans="1:12" x14ac:dyDescent="0.25">
      <c r="A251" s="1" t="s">
        <v>28</v>
      </c>
      <c r="B251" s="1" t="s">
        <v>29</v>
      </c>
      <c r="C251" s="1">
        <v>2021</v>
      </c>
      <c r="D251" s="7">
        <v>10496</v>
      </c>
      <c r="E251" s="1">
        <v>15.7</v>
      </c>
      <c r="F251" s="1">
        <v>83</v>
      </c>
      <c r="G251" s="1">
        <v>428133100</v>
      </c>
      <c r="H251" s="1">
        <v>59</v>
      </c>
      <c r="I251" s="1">
        <v>21.2</v>
      </c>
      <c r="J251" s="1">
        <v>96</v>
      </c>
      <c r="K251" s="1">
        <v>80</v>
      </c>
      <c r="L251" s="1" t="s">
        <v>29</v>
      </c>
    </row>
    <row r="252" spans="1:12" x14ac:dyDescent="0.25">
      <c r="A252" s="1" t="s">
        <v>12</v>
      </c>
      <c r="B252" s="1" t="s">
        <v>13</v>
      </c>
      <c r="C252" s="1">
        <v>2022</v>
      </c>
      <c r="D252" s="7">
        <v>6757</v>
      </c>
      <c r="E252" s="1">
        <v>10</v>
      </c>
      <c r="F252" s="1">
        <v>72</v>
      </c>
      <c r="G252" s="1">
        <v>1468227841</v>
      </c>
      <c r="H252" s="1">
        <v>91</v>
      </c>
      <c r="I252" s="1">
        <v>17.600000000000001</v>
      </c>
      <c r="J252" s="1">
        <v>80</v>
      </c>
      <c r="K252" s="1">
        <v>63</v>
      </c>
      <c r="L252" s="1" t="s">
        <v>14</v>
      </c>
    </row>
    <row r="253" spans="1:12" x14ac:dyDescent="0.25">
      <c r="A253" s="1" t="s">
        <v>15</v>
      </c>
      <c r="B253" s="1" t="s">
        <v>16</v>
      </c>
      <c r="C253" s="1">
        <v>2022</v>
      </c>
      <c r="D253" s="7">
        <v>8177</v>
      </c>
      <c r="E253" s="1">
        <v>10.1</v>
      </c>
      <c r="F253" s="1">
        <v>78</v>
      </c>
      <c r="G253" s="1">
        <v>764470568</v>
      </c>
      <c r="H253" s="1">
        <v>60</v>
      </c>
      <c r="I253" s="1">
        <v>21.9</v>
      </c>
      <c r="J253" s="1">
        <v>91</v>
      </c>
      <c r="K253" s="1">
        <v>59</v>
      </c>
      <c r="L253" s="1" t="s">
        <v>16</v>
      </c>
    </row>
    <row r="254" spans="1:12" x14ac:dyDescent="0.25">
      <c r="A254" s="1" t="s">
        <v>17</v>
      </c>
      <c r="B254" s="1" t="s">
        <v>18</v>
      </c>
      <c r="C254" s="1">
        <v>2022</v>
      </c>
      <c r="D254" s="7">
        <v>43885</v>
      </c>
      <c r="E254" s="1">
        <v>7.9</v>
      </c>
      <c r="F254" s="1">
        <v>74</v>
      </c>
      <c r="G254" s="1">
        <v>983771547</v>
      </c>
      <c r="H254" s="1">
        <v>95</v>
      </c>
      <c r="I254" s="1">
        <v>4.9000000000000004</v>
      </c>
      <c r="J254" s="1">
        <v>98</v>
      </c>
      <c r="K254" s="1">
        <v>82</v>
      </c>
      <c r="L254" s="1" t="s">
        <v>18</v>
      </c>
    </row>
    <row r="255" spans="1:12" x14ac:dyDescent="0.25">
      <c r="A255" s="1" t="s">
        <v>19</v>
      </c>
      <c r="B255" s="1" t="s">
        <v>20</v>
      </c>
      <c r="C255" s="1">
        <v>2020</v>
      </c>
      <c r="D255" s="7">
        <v>32588</v>
      </c>
      <c r="E255" s="1">
        <v>5.8</v>
      </c>
      <c r="F255" s="1">
        <v>61</v>
      </c>
      <c r="G255" s="1">
        <v>827223739</v>
      </c>
      <c r="H255" s="1">
        <v>59</v>
      </c>
      <c r="I255" s="1">
        <v>19.399999999999999</v>
      </c>
      <c r="J255" s="1">
        <v>73</v>
      </c>
      <c r="K255" s="1">
        <v>47</v>
      </c>
      <c r="L255" s="1" t="s">
        <v>20</v>
      </c>
    </row>
    <row r="256" spans="1:12" x14ac:dyDescent="0.25">
      <c r="A256" s="1" t="s">
        <v>21</v>
      </c>
      <c r="B256" s="1" t="s">
        <v>22</v>
      </c>
      <c r="C256" s="1">
        <v>2020</v>
      </c>
      <c r="D256" s="7">
        <v>46512</v>
      </c>
      <c r="E256" s="1">
        <v>13.6</v>
      </c>
      <c r="F256" s="1">
        <v>71</v>
      </c>
      <c r="G256" s="1">
        <v>624229972</v>
      </c>
      <c r="H256" s="1">
        <v>81</v>
      </c>
      <c r="I256" s="1">
        <v>11.7</v>
      </c>
      <c r="J256" s="1">
        <v>92</v>
      </c>
      <c r="K256" s="1">
        <v>45</v>
      </c>
      <c r="L256" s="1" t="s">
        <v>14</v>
      </c>
    </row>
    <row r="257" spans="1:12" x14ac:dyDescent="0.25">
      <c r="A257" s="1" t="s">
        <v>23</v>
      </c>
      <c r="B257" s="1" t="s">
        <v>18</v>
      </c>
      <c r="C257" s="1">
        <v>2022</v>
      </c>
      <c r="D257" s="7">
        <v>36536</v>
      </c>
      <c r="E257" s="1">
        <v>6.8</v>
      </c>
      <c r="F257" s="1">
        <v>61</v>
      </c>
      <c r="G257" s="1">
        <v>61277754</v>
      </c>
      <c r="H257" s="1">
        <v>85</v>
      </c>
      <c r="I257" s="1">
        <v>7.2</v>
      </c>
      <c r="J257" s="1">
        <v>82</v>
      </c>
      <c r="K257" s="1">
        <v>46</v>
      </c>
      <c r="L257" s="1" t="s">
        <v>18</v>
      </c>
    </row>
    <row r="258" spans="1:12" x14ac:dyDescent="0.25">
      <c r="A258" s="1" t="s">
        <v>24</v>
      </c>
      <c r="B258" s="1" t="s">
        <v>16</v>
      </c>
      <c r="C258" s="1">
        <v>2020</v>
      </c>
      <c r="D258" s="7">
        <v>20070</v>
      </c>
      <c r="E258" s="1">
        <v>11.9</v>
      </c>
      <c r="F258" s="1">
        <v>72</v>
      </c>
      <c r="G258" s="1">
        <v>936085937</v>
      </c>
      <c r="H258" s="1">
        <v>80</v>
      </c>
      <c r="I258" s="1">
        <v>14.2</v>
      </c>
      <c r="J258" s="1">
        <v>98</v>
      </c>
      <c r="K258" s="1">
        <v>66</v>
      </c>
      <c r="L258" s="1" t="s">
        <v>16</v>
      </c>
    </row>
    <row r="259" spans="1:12" x14ac:dyDescent="0.25">
      <c r="A259" s="1" t="s">
        <v>25</v>
      </c>
      <c r="B259" s="1" t="s">
        <v>26</v>
      </c>
      <c r="C259" s="1">
        <v>2021</v>
      </c>
      <c r="D259" s="7">
        <v>34028</v>
      </c>
      <c r="E259" s="1">
        <v>12.2</v>
      </c>
      <c r="F259" s="1">
        <v>75</v>
      </c>
      <c r="G259" s="1">
        <v>1172149943</v>
      </c>
      <c r="H259" s="1">
        <v>89</v>
      </c>
      <c r="I259" s="1">
        <v>3.8</v>
      </c>
      <c r="J259" s="1">
        <v>99</v>
      </c>
      <c r="K259" s="1">
        <v>75</v>
      </c>
      <c r="L259" s="1" t="s">
        <v>26</v>
      </c>
    </row>
    <row r="260" spans="1:12" x14ac:dyDescent="0.25">
      <c r="A260" s="1" t="s">
        <v>27</v>
      </c>
      <c r="B260" s="1" t="s">
        <v>22</v>
      </c>
      <c r="C260" s="1">
        <v>2021</v>
      </c>
      <c r="D260" s="7">
        <v>57072</v>
      </c>
      <c r="E260" s="1">
        <v>7</v>
      </c>
      <c r="F260" s="1">
        <v>81</v>
      </c>
      <c r="G260" s="1">
        <v>1265374410</v>
      </c>
      <c r="H260" s="1">
        <v>90</v>
      </c>
      <c r="I260" s="1">
        <v>13</v>
      </c>
      <c r="J260" s="1">
        <v>88</v>
      </c>
      <c r="K260" s="1">
        <v>65</v>
      </c>
      <c r="L260" s="1" t="s">
        <v>14</v>
      </c>
    </row>
    <row r="261" spans="1:12" x14ac:dyDescent="0.25">
      <c r="A261" s="1" t="s">
        <v>28</v>
      </c>
      <c r="B261" s="1" t="s">
        <v>29</v>
      </c>
      <c r="C261" s="1">
        <v>2022</v>
      </c>
      <c r="D261" s="7">
        <v>17332</v>
      </c>
      <c r="E261" s="1">
        <v>16.399999999999999</v>
      </c>
      <c r="F261" s="1">
        <v>81</v>
      </c>
      <c r="G261" s="1">
        <v>1402500309</v>
      </c>
      <c r="H261" s="1">
        <v>79</v>
      </c>
      <c r="I261" s="1">
        <v>12.7</v>
      </c>
      <c r="J261" s="1">
        <v>74</v>
      </c>
      <c r="K261" s="1">
        <v>59</v>
      </c>
      <c r="L261" s="1" t="s">
        <v>29</v>
      </c>
    </row>
    <row r="262" spans="1:12" x14ac:dyDescent="0.25">
      <c r="A262" s="1" t="s">
        <v>12</v>
      </c>
      <c r="B262" s="1" t="s">
        <v>13</v>
      </c>
      <c r="C262" s="1">
        <v>2021</v>
      </c>
      <c r="D262" s="7">
        <v>54844</v>
      </c>
      <c r="E262" s="1">
        <v>12.8</v>
      </c>
      <c r="F262" s="1">
        <v>82</v>
      </c>
      <c r="G262" s="1">
        <v>977424254</v>
      </c>
      <c r="H262" s="1">
        <v>78</v>
      </c>
      <c r="I262" s="1">
        <v>23</v>
      </c>
      <c r="J262" s="1">
        <v>89</v>
      </c>
      <c r="K262" s="1">
        <v>86</v>
      </c>
      <c r="L262" s="1" t="s">
        <v>14</v>
      </c>
    </row>
    <row r="263" spans="1:12" x14ac:dyDescent="0.25">
      <c r="A263" s="1" t="s">
        <v>15</v>
      </c>
      <c r="B263" s="1" t="s">
        <v>16</v>
      </c>
      <c r="C263" s="1">
        <v>2022</v>
      </c>
      <c r="D263" s="7">
        <v>23013</v>
      </c>
      <c r="E263" s="1">
        <v>16.2</v>
      </c>
      <c r="F263" s="1">
        <v>75</v>
      </c>
      <c r="G263" s="1">
        <v>1288390039</v>
      </c>
      <c r="H263" s="1">
        <v>76</v>
      </c>
      <c r="I263" s="1">
        <v>22.9</v>
      </c>
      <c r="J263" s="1">
        <v>76</v>
      </c>
      <c r="K263" s="1">
        <v>89</v>
      </c>
      <c r="L263" s="1" t="s">
        <v>16</v>
      </c>
    </row>
    <row r="264" spans="1:12" x14ac:dyDescent="0.25">
      <c r="A264" s="1" t="s">
        <v>17</v>
      </c>
      <c r="B264" s="1" t="s">
        <v>18</v>
      </c>
      <c r="C264" s="1">
        <v>2022</v>
      </c>
      <c r="D264" s="7">
        <v>56722</v>
      </c>
      <c r="E264" s="1">
        <v>7.2</v>
      </c>
      <c r="F264" s="1">
        <v>78</v>
      </c>
      <c r="G264" s="1">
        <v>595157673</v>
      </c>
      <c r="H264" s="1">
        <v>71</v>
      </c>
      <c r="I264" s="1">
        <v>5.9</v>
      </c>
      <c r="J264" s="1">
        <v>70</v>
      </c>
      <c r="K264" s="1">
        <v>33</v>
      </c>
      <c r="L264" s="1" t="s">
        <v>18</v>
      </c>
    </row>
    <row r="265" spans="1:12" x14ac:dyDescent="0.25">
      <c r="A265" s="1" t="s">
        <v>19</v>
      </c>
      <c r="B265" s="1" t="s">
        <v>20</v>
      </c>
      <c r="C265" s="1">
        <v>2022</v>
      </c>
      <c r="D265" s="7">
        <v>13668</v>
      </c>
      <c r="E265" s="1">
        <v>7.1</v>
      </c>
      <c r="F265" s="1">
        <v>72</v>
      </c>
      <c r="G265" s="1">
        <v>805387120</v>
      </c>
      <c r="H265" s="1">
        <v>66</v>
      </c>
      <c r="I265" s="1">
        <v>19.2</v>
      </c>
      <c r="J265" s="1">
        <v>90</v>
      </c>
      <c r="K265" s="1">
        <v>38</v>
      </c>
      <c r="L265" s="1" t="s">
        <v>20</v>
      </c>
    </row>
    <row r="266" spans="1:12" x14ac:dyDescent="0.25">
      <c r="A266" s="1" t="s">
        <v>21</v>
      </c>
      <c r="B266" s="1" t="s">
        <v>22</v>
      </c>
      <c r="C266" s="1">
        <v>2020</v>
      </c>
      <c r="D266" s="7">
        <v>29396</v>
      </c>
      <c r="E266" s="1">
        <v>8.9</v>
      </c>
      <c r="F266" s="1">
        <v>82</v>
      </c>
      <c r="G266" s="1">
        <v>199492409</v>
      </c>
      <c r="H266" s="1">
        <v>82</v>
      </c>
      <c r="I266" s="1">
        <v>8.8000000000000007</v>
      </c>
      <c r="J266" s="1">
        <v>83</v>
      </c>
      <c r="K266" s="1">
        <v>58</v>
      </c>
      <c r="L266" s="1" t="s">
        <v>14</v>
      </c>
    </row>
    <row r="267" spans="1:12" x14ac:dyDescent="0.25">
      <c r="A267" s="1" t="s">
        <v>23</v>
      </c>
      <c r="B267" s="1" t="s">
        <v>18</v>
      </c>
      <c r="C267" s="1">
        <v>2020</v>
      </c>
      <c r="D267" s="7">
        <v>26649</v>
      </c>
      <c r="E267" s="1">
        <v>14.5</v>
      </c>
      <c r="F267" s="1">
        <v>60</v>
      </c>
      <c r="G267" s="1">
        <v>1266988135</v>
      </c>
      <c r="H267" s="1">
        <v>59</v>
      </c>
      <c r="I267" s="1">
        <v>7.3</v>
      </c>
      <c r="J267" s="1">
        <v>95</v>
      </c>
      <c r="K267" s="1">
        <v>39</v>
      </c>
      <c r="L267" s="1" t="s">
        <v>18</v>
      </c>
    </row>
    <row r="268" spans="1:12" x14ac:dyDescent="0.25">
      <c r="A268" s="1" t="s">
        <v>24</v>
      </c>
      <c r="B268" s="1" t="s">
        <v>16</v>
      </c>
      <c r="C268" s="1">
        <v>2020</v>
      </c>
      <c r="D268" s="7">
        <v>53818</v>
      </c>
      <c r="E268" s="1">
        <v>7.6</v>
      </c>
      <c r="F268" s="1">
        <v>63</v>
      </c>
      <c r="G268" s="1">
        <v>898957493</v>
      </c>
      <c r="H268" s="1">
        <v>60</v>
      </c>
      <c r="I268" s="1">
        <v>15.4</v>
      </c>
      <c r="J268" s="1">
        <v>71</v>
      </c>
      <c r="K268" s="1">
        <v>76</v>
      </c>
      <c r="L268" s="1" t="s">
        <v>16</v>
      </c>
    </row>
    <row r="269" spans="1:12" x14ac:dyDescent="0.25">
      <c r="A269" s="1" t="s">
        <v>25</v>
      </c>
      <c r="B269" s="1" t="s">
        <v>26</v>
      </c>
      <c r="C269" s="1">
        <v>2022</v>
      </c>
      <c r="D269" s="7">
        <v>69415</v>
      </c>
      <c r="E269" s="1">
        <v>10.9</v>
      </c>
      <c r="F269" s="1">
        <v>74</v>
      </c>
      <c r="G269" s="1">
        <v>699390462</v>
      </c>
      <c r="H269" s="1">
        <v>74</v>
      </c>
      <c r="I269" s="1">
        <v>3.7</v>
      </c>
      <c r="J269" s="1">
        <v>94</v>
      </c>
      <c r="K269" s="1">
        <v>45</v>
      </c>
      <c r="L269" s="1" t="s">
        <v>26</v>
      </c>
    </row>
    <row r="270" spans="1:12" x14ac:dyDescent="0.25">
      <c r="A270" s="1" t="s">
        <v>27</v>
      </c>
      <c r="B270" s="1" t="s">
        <v>22</v>
      </c>
      <c r="C270" s="1">
        <v>2020</v>
      </c>
      <c r="D270" s="7">
        <v>65388</v>
      </c>
      <c r="E270" s="1">
        <v>15.3</v>
      </c>
      <c r="F270" s="1">
        <v>64</v>
      </c>
      <c r="G270" s="1">
        <v>571665392</v>
      </c>
      <c r="H270" s="1">
        <v>71</v>
      </c>
      <c r="I270" s="1">
        <v>24.9</v>
      </c>
      <c r="J270" s="1">
        <v>96</v>
      </c>
      <c r="K270" s="1">
        <v>38</v>
      </c>
      <c r="L270" s="1" t="s">
        <v>14</v>
      </c>
    </row>
    <row r="271" spans="1:12" x14ac:dyDescent="0.25">
      <c r="A271" s="1" t="s">
        <v>28</v>
      </c>
      <c r="B271" s="1" t="s">
        <v>29</v>
      </c>
      <c r="C271" s="1">
        <v>2020</v>
      </c>
      <c r="D271" s="7">
        <v>24879</v>
      </c>
      <c r="E271" s="1">
        <v>4.0999999999999996</v>
      </c>
      <c r="F271" s="1">
        <v>74</v>
      </c>
      <c r="G271" s="1">
        <v>527359192</v>
      </c>
      <c r="H271" s="1">
        <v>72</v>
      </c>
      <c r="I271" s="1">
        <v>19.600000000000001</v>
      </c>
      <c r="J271" s="1">
        <v>87</v>
      </c>
      <c r="K271" s="1">
        <v>83</v>
      </c>
      <c r="L271" s="1" t="s">
        <v>29</v>
      </c>
    </row>
    <row r="272" spans="1:12" x14ac:dyDescent="0.25">
      <c r="A272" s="1" t="s">
        <v>12</v>
      </c>
      <c r="B272" s="1" t="s">
        <v>13</v>
      </c>
      <c r="C272" s="1">
        <v>2020</v>
      </c>
      <c r="D272" s="7">
        <v>16565</v>
      </c>
      <c r="E272" s="1">
        <v>4.5</v>
      </c>
      <c r="F272" s="1">
        <v>80</v>
      </c>
      <c r="G272" s="1">
        <v>906211892</v>
      </c>
      <c r="H272" s="1">
        <v>66</v>
      </c>
      <c r="I272" s="1">
        <v>16.2</v>
      </c>
      <c r="J272" s="1">
        <v>98</v>
      </c>
      <c r="K272" s="1">
        <v>78</v>
      </c>
      <c r="L272" s="1" t="s">
        <v>14</v>
      </c>
    </row>
    <row r="273" spans="1:12" x14ac:dyDescent="0.25">
      <c r="A273" s="1" t="s">
        <v>15</v>
      </c>
      <c r="B273" s="1" t="s">
        <v>16</v>
      </c>
      <c r="C273" s="1">
        <v>2020</v>
      </c>
      <c r="D273" s="7">
        <v>31517</v>
      </c>
      <c r="E273" s="1">
        <v>6.3</v>
      </c>
      <c r="F273" s="1">
        <v>83</v>
      </c>
      <c r="G273" s="1">
        <v>699552144</v>
      </c>
      <c r="H273" s="1">
        <v>79</v>
      </c>
      <c r="I273" s="1">
        <v>11.4</v>
      </c>
      <c r="J273" s="1">
        <v>95</v>
      </c>
      <c r="K273" s="1">
        <v>85</v>
      </c>
      <c r="L273" s="1" t="s">
        <v>16</v>
      </c>
    </row>
    <row r="274" spans="1:12" x14ac:dyDescent="0.25">
      <c r="A274" s="1" t="s">
        <v>17</v>
      </c>
      <c r="B274" s="1" t="s">
        <v>18</v>
      </c>
      <c r="C274" s="1">
        <v>2020</v>
      </c>
      <c r="D274" s="7">
        <v>19510</v>
      </c>
      <c r="E274" s="1">
        <v>4.2</v>
      </c>
      <c r="F274" s="1">
        <v>83</v>
      </c>
      <c r="G274" s="1">
        <v>706334425</v>
      </c>
      <c r="H274" s="1">
        <v>59</v>
      </c>
      <c r="I274" s="1">
        <v>9.1</v>
      </c>
      <c r="J274" s="1">
        <v>86</v>
      </c>
      <c r="K274" s="1">
        <v>41</v>
      </c>
      <c r="L274" s="1" t="s">
        <v>18</v>
      </c>
    </row>
    <row r="275" spans="1:12" x14ac:dyDescent="0.25">
      <c r="A275" s="1" t="s">
        <v>19</v>
      </c>
      <c r="B275" s="1" t="s">
        <v>20</v>
      </c>
      <c r="C275" s="1">
        <v>2020</v>
      </c>
      <c r="D275" s="7">
        <v>36987</v>
      </c>
      <c r="E275" s="1">
        <v>6.1</v>
      </c>
      <c r="F275" s="1">
        <v>62</v>
      </c>
      <c r="G275" s="1">
        <v>341643496</v>
      </c>
      <c r="H275" s="1">
        <v>79</v>
      </c>
      <c r="I275" s="1">
        <v>15.5</v>
      </c>
      <c r="J275" s="1">
        <v>91</v>
      </c>
      <c r="K275" s="1">
        <v>64</v>
      </c>
      <c r="L275" s="1" t="s">
        <v>20</v>
      </c>
    </row>
    <row r="276" spans="1:12" x14ac:dyDescent="0.25">
      <c r="A276" s="1" t="s">
        <v>21</v>
      </c>
      <c r="B276" s="1" t="s">
        <v>22</v>
      </c>
      <c r="C276" s="1">
        <v>2020</v>
      </c>
      <c r="D276" s="7">
        <v>3463</v>
      </c>
      <c r="E276" s="1">
        <v>13.1</v>
      </c>
      <c r="F276" s="1">
        <v>71</v>
      </c>
      <c r="G276" s="1">
        <v>961353170</v>
      </c>
      <c r="H276" s="1">
        <v>54</v>
      </c>
      <c r="I276" s="1">
        <v>19.2</v>
      </c>
      <c r="J276" s="1">
        <v>79</v>
      </c>
      <c r="K276" s="1">
        <v>53</v>
      </c>
      <c r="L276" s="1" t="s">
        <v>14</v>
      </c>
    </row>
    <row r="277" spans="1:12" x14ac:dyDescent="0.25">
      <c r="A277" s="1" t="s">
        <v>23</v>
      </c>
      <c r="B277" s="1" t="s">
        <v>18</v>
      </c>
      <c r="C277" s="1">
        <v>2020</v>
      </c>
      <c r="D277" s="7">
        <v>42051</v>
      </c>
      <c r="E277" s="1">
        <v>3.3</v>
      </c>
      <c r="F277" s="1">
        <v>71</v>
      </c>
      <c r="G277" s="1">
        <v>1292519312</v>
      </c>
      <c r="H277" s="1">
        <v>65</v>
      </c>
      <c r="I277" s="1">
        <v>13.2</v>
      </c>
      <c r="J277" s="1">
        <v>87</v>
      </c>
      <c r="K277" s="1">
        <v>63</v>
      </c>
      <c r="L277" s="1" t="s">
        <v>18</v>
      </c>
    </row>
    <row r="278" spans="1:12" x14ac:dyDescent="0.25">
      <c r="A278" s="1" t="s">
        <v>24</v>
      </c>
      <c r="B278" s="1" t="s">
        <v>16</v>
      </c>
      <c r="C278" s="1">
        <v>2021</v>
      </c>
      <c r="D278" s="7">
        <v>45233</v>
      </c>
      <c r="E278" s="1">
        <v>12.1</v>
      </c>
      <c r="F278" s="1">
        <v>82</v>
      </c>
      <c r="G278" s="1">
        <v>291838115</v>
      </c>
      <c r="H278" s="1">
        <v>55</v>
      </c>
      <c r="I278" s="1">
        <v>8.4</v>
      </c>
      <c r="J278" s="1">
        <v>82</v>
      </c>
      <c r="K278" s="1">
        <v>54</v>
      </c>
      <c r="L278" s="1" t="s">
        <v>16</v>
      </c>
    </row>
    <row r="279" spans="1:12" x14ac:dyDescent="0.25">
      <c r="A279" s="1" t="s">
        <v>25</v>
      </c>
      <c r="B279" s="1" t="s">
        <v>26</v>
      </c>
      <c r="C279" s="1">
        <v>2022</v>
      </c>
      <c r="D279" s="7">
        <v>40675</v>
      </c>
      <c r="E279" s="1">
        <v>14.8</v>
      </c>
      <c r="F279" s="1">
        <v>84</v>
      </c>
      <c r="G279" s="1">
        <v>1028631086</v>
      </c>
      <c r="H279" s="1">
        <v>58</v>
      </c>
      <c r="I279" s="1">
        <v>16.2</v>
      </c>
      <c r="J279" s="1">
        <v>90</v>
      </c>
      <c r="K279" s="1">
        <v>87</v>
      </c>
      <c r="L279" s="1" t="s">
        <v>26</v>
      </c>
    </row>
    <row r="280" spans="1:12" x14ac:dyDescent="0.25">
      <c r="A280" s="1" t="s">
        <v>27</v>
      </c>
      <c r="B280" s="1" t="s">
        <v>22</v>
      </c>
      <c r="C280" s="1">
        <v>2021</v>
      </c>
      <c r="D280" s="7">
        <v>60927</v>
      </c>
      <c r="E280" s="1">
        <v>10</v>
      </c>
      <c r="F280" s="1">
        <v>70</v>
      </c>
      <c r="G280" s="1">
        <v>427540401</v>
      </c>
      <c r="H280" s="1">
        <v>94</v>
      </c>
      <c r="I280" s="1">
        <v>21.3</v>
      </c>
      <c r="J280" s="1">
        <v>92</v>
      </c>
      <c r="K280" s="1">
        <v>34</v>
      </c>
      <c r="L280" s="1" t="s">
        <v>14</v>
      </c>
    </row>
    <row r="281" spans="1:12" x14ac:dyDescent="0.25">
      <c r="A281" s="1" t="s">
        <v>28</v>
      </c>
      <c r="B281" s="1" t="s">
        <v>29</v>
      </c>
      <c r="C281" s="1">
        <v>2020</v>
      </c>
      <c r="D281" s="7">
        <v>66545</v>
      </c>
      <c r="E281" s="1">
        <v>13.8</v>
      </c>
      <c r="F281" s="1">
        <v>67</v>
      </c>
      <c r="G281" s="1">
        <v>589885790</v>
      </c>
      <c r="H281" s="1">
        <v>63</v>
      </c>
      <c r="I281" s="1">
        <v>3.6</v>
      </c>
      <c r="J281" s="1">
        <v>75</v>
      </c>
      <c r="K281" s="1">
        <v>89</v>
      </c>
      <c r="L281" s="1" t="s">
        <v>29</v>
      </c>
    </row>
    <row r="282" spans="1:12" x14ac:dyDescent="0.25">
      <c r="A282" s="1" t="s">
        <v>12</v>
      </c>
      <c r="B282" s="1" t="s">
        <v>13</v>
      </c>
      <c r="C282" s="1">
        <v>2021</v>
      </c>
      <c r="D282" s="7">
        <v>7041</v>
      </c>
      <c r="E282" s="1">
        <v>15.2</v>
      </c>
      <c r="F282" s="1">
        <v>81</v>
      </c>
      <c r="G282" s="1">
        <v>399130520</v>
      </c>
      <c r="H282" s="1">
        <v>82</v>
      </c>
      <c r="I282" s="1">
        <v>22.5</v>
      </c>
      <c r="J282" s="1">
        <v>73</v>
      </c>
      <c r="K282" s="1">
        <v>43</v>
      </c>
      <c r="L282" s="1" t="s">
        <v>14</v>
      </c>
    </row>
    <row r="283" spans="1:12" x14ac:dyDescent="0.25">
      <c r="A283" s="1" t="s">
        <v>15</v>
      </c>
      <c r="B283" s="1" t="s">
        <v>16</v>
      </c>
      <c r="C283" s="1">
        <v>2021</v>
      </c>
      <c r="D283" s="7">
        <v>5207</v>
      </c>
      <c r="E283" s="1">
        <v>6.6</v>
      </c>
      <c r="F283" s="1">
        <v>79</v>
      </c>
      <c r="G283" s="1">
        <v>283346459</v>
      </c>
      <c r="H283" s="1">
        <v>50</v>
      </c>
      <c r="I283" s="1">
        <v>24.2</v>
      </c>
      <c r="J283" s="1">
        <v>84</v>
      </c>
      <c r="K283" s="1">
        <v>68</v>
      </c>
      <c r="L283" s="1" t="s">
        <v>16</v>
      </c>
    </row>
    <row r="284" spans="1:12" x14ac:dyDescent="0.25">
      <c r="A284" s="1" t="s">
        <v>17</v>
      </c>
      <c r="B284" s="1" t="s">
        <v>18</v>
      </c>
      <c r="C284" s="1">
        <v>2022</v>
      </c>
      <c r="D284" s="7">
        <v>37347</v>
      </c>
      <c r="E284" s="1">
        <v>12.4</v>
      </c>
      <c r="F284" s="1">
        <v>60</v>
      </c>
      <c r="G284" s="1">
        <v>1277376759</v>
      </c>
      <c r="H284" s="1">
        <v>90</v>
      </c>
      <c r="I284" s="1">
        <v>23.9</v>
      </c>
      <c r="J284" s="1">
        <v>90</v>
      </c>
      <c r="K284" s="1">
        <v>90</v>
      </c>
      <c r="L284" s="1" t="s">
        <v>18</v>
      </c>
    </row>
    <row r="285" spans="1:12" x14ac:dyDescent="0.25">
      <c r="A285" s="1" t="s">
        <v>19</v>
      </c>
      <c r="B285" s="1" t="s">
        <v>20</v>
      </c>
      <c r="C285" s="1">
        <v>2020</v>
      </c>
      <c r="D285" s="7">
        <v>17074</v>
      </c>
      <c r="E285" s="1">
        <v>3.6</v>
      </c>
      <c r="F285" s="1">
        <v>79</v>
      </c>
      <c r="G285" s="1">
        <v>1354307721</v>
      </c>
      <c r="H285" s="1">
        <v>51</v>
      </c>
      <c r="I285" s="1">
        <v>11.1</v>
      </c>
      <c r="J285" s="1">
        <v>84</v>
      </c>
      <c r="K285" s="1">
        <v>74</v>
      </c>
      <c r="L285" s="1" t="s">
        <v>20</v>
      </c>
    </row>
    <row r="286" spans="1:12" x14ac:dyDescent="0.25">
      <c r="A286" s="1" t="s">
        <v>21</v>
      </c>
      <c r="B286" s="1" t="s">
        <v>22</v>
      </c>
      <c r="C286" s="1">
        <v>2022</v>
      </c>
      <c r="D286" s="7">
        <v>22458</v>
      </c>
      <c r="E286" s="1">
        <v>11.1</v>
      </c>
      <c r="F286" s="1">
        <v>76</v>
      </c>
      <c r="G286" s="1">
        <v>1468157032</v>
      </c>
      <c r="H286" s="1">
        <v>56</v>
      </c>
      <c r="I286" s="1">
        <v>24.5</v>
      </c>
      <c r="J286" s="1">
        <v>78</v>
      </c>
      <c r="K286" s="1">
        <v>44</v>
      </c>
      <c r="L286" s="1" t="s">
        <v>14</v>
      </c>
    </row>
    <row r="287" spans="1:12" x14ac:dyDescent="0.25">
      <c r="A287" s="1" t="s">
        <v>23</v>
      </c>
      <c r="B287" s="1" t="s">
        <v>18</v>
      </c>
      <c r="C287" s="1">
        <v>2020</v>
      </c>
      <c r="D287" s="7">
        <v>22854</v>
      </c>
      <c r="E287" s="1">
        <v>11</v>
      </c>
      <c r="F287" s="1">
        <v>84</v>
      </c>
      <c r="G287" s="1">
        <v>1247965140</v>
      </c>
      <c r="H287" s="1">
        <v>84</v>
      </c>
      <c r="I287" s="1">
        <v>2.4</v>
      </c>
      <c r="J287" s="1">
        <v>70</v>
      </c>
      <c r="K287" s="1">
        <v>75</v>
      </c>
      <c r="L287" s="1" t="s">
        <v>18</v>
      </c>
    </row>
    <row r="288" spans="1:12" x14ac:dyDescent="0.25">
      <c r="A288" s="1" t="s">
        <v>24</v>
      </c>
      <c r="B288" s="1" t="s">
        <v>16</v>
      </c>
      <c r="C288" s="1">
        <v>2020</v>
      </c>
      <c r="D288" s="7">
        <v>28708</v>
      </c>
      <c r="E288" s="1">
        <v>4.0999999999999996</v>
      </c>
      <c r="F288" s="1">
        <v>78</v>
      </c>
      <c r="G288" s="1">
        <v>340827256</v>
      </c>
      <c r="H288" s="1">
        <v>77</v>
      </c>
      <c r="I288" s="1">
        <v>5.7</v>
      </c>
      <c r="J288" s="1">
        <v>97</v>
      </c>
      <c r="K288" s="1">
        <v>63</v>
      </c>
      <c r="L288" s="1" t="s">
        <v>16</v>
      </c>
    </row>
    <row r="289" spans="1:12" x14ac:dyDescent="0.25">
      <c r="A289" s="1" t="s">
        <v>25</v>
      </c>
      <c r="B289" s="1" t="s">
        <v>26</v>
      </c>
      <c r="C289" s="1">
        <v>2021</v>
      </c>
      <c r="D289" s="7">
        <v>59791</v>
      </c>
      <c r="E289" s="1">
        <v>16.100000000000001</v>
      </c>
      <c r="F289" s="1">
        <v>61</v>
      </c>
      <c r="G289" s="1">
        <v>638699977</v>
      </c>
      <c r="H289" s="1">
        <v>54</v>
      </c>
      <c r="I289" s="1">
        <v>16.399999999999999</v>
      </c>
      <c r="J289" s="1">
        <v>97</v>
      </c>
      <c r="K289" s="1">
        <v>44</v>
      </c>
      <c r="L289" s="1" t="s">
        <v>26</v>
      </c>
    </row>
    <row r="290" spans="1:12" x14ac:dyDescent="0.25">
      <c r="A290" s="1" t="s">
        <v>27</v>
      </c>
      <c r="B290" s="1" t="s">
        <v>22</v>
      </c>
      <c r="C290" s="1">
        <v>2021</v>
      </c>
      <c r="D290" s="7">
        <v>61868</v>
      </c>
      <c r="E290" s="1">
        <v>16.3</v>
      </c>
      <c r="F290" s="1">
        <v>69</v>
      </c>
      <c r="G290" s="1">
        <v>1360087715</v>
      </c>
      <c r="H290" s="1">
        <v>75</v>
      </c>
      <c r="I290" s="1">
        <v>17.2</v>
      </c>
      <c r="J290" s="1">
        <v>98</v>
      </c>
      <c r="K290" s="1">
        <v>74</v>
      </c>
      <c r="L290" s="1" t="s">
        <v>14</v>
      </c>
    </row>
    <row r="291" spans="1:12" x14ac:dyDescent="0.25">
      <c r="A291" s="1" t="s">
        <v>28</v>
      </c>
      <c r="B291" s="1" t="s">
        <v>29</v>
      </c>
      <c r="C291" s="1">
        <v>2022</v>
      </c>
      <c r="D291" s="7">
        <v>57878</v>
      </c>
      <c r="E291" s="1">
        <v>7.5</v>
      </c>
      <c r="F291" s="1">
        <v>85</v>
      </c>
      <c r="G291" s="1">
        <v>786621987</v>
      </c>
      <c r="H291" s="1">
        <v>59</v>
      </c>
      <c r="I291" s="1">
        <v>13</v>
      </c>
      <c r="J291" s="1">
        <v>84</v>
      </c>
      <c r="K291" s="1">
        <v>65</v>
      </c>
      <c r="L291" s="1" t="s">
        <v>29</v>
      </c>
    </row>
    <row r="292" spans="1:12" x14ac:dyDescent="0.25">
      <c r="A292" s="1" t="s">
        <v>12</v>
      </c>
      <c r="B292" s="1" t="s">
        <v>13</v>
      </c>
      <c r="C292" s="1">
        <v>2020</v>
      </c>
      <c r="D292" s="7">
        <v>2518</v>
      </c>
      <c r="E292" s="1">
        <v>10.8</v>
      </c>
      <c r="F292" s="1">
        <v>85</v>
      </c>
      <c r="G292" s="1">
        <v>496945704</v>
      </c>
      <c r="H292" s="1">
        <v>87</v>
      </c>
      <c r="I292" s="1">
        <v>9.5</v>
      </c>
      <c r="J292" s="1">
        <v>95</v>
      </c>
      <c r="K292" s="1">
        <v>87</v>
      </c>
      <c r="L292" s="1" t="s">
        <v>14</v>
      </c>
    </row>
    <row r="293" spans="1:12" x14ac:dyDescent="0.25">
      <c r="A293" s="1" t="s">
        <v>15</v>
      </c>
      <c r="B293" s="1" t="s">
        <v>16</v>
      </c>
      <c r="C293" s="1">
        <v>2021</v>
      </c>
      <c r="D293" s="7">
        <v>22895</v>
      </c>
      <c r="E293" s="1">
        <v>7.8</v>
      </c>
      <c r="F293" s="1">
        <v>84</v>
      </c>
      <c r="G293" s="1">
        <v>142579345</v>
      </c>
      <c r="H293" s="1">
        <v>82</v>
      </c>
      <c r="I293" s="1">
        <v>13.5</v>
      </c>
      <c r="J293" s="1">
        <v>71</v>
      </c>
      <c r="K293" s="1">
        <v>85</v>
      </c>
      <c r="L293" s="1" t="s">
        <v>16</v>
      </c>
    </row>
    <row r="294" spans="1:12" x14ac:dyDescent="0.25">
      <c r="A294" s="1" t="s">
        <v>17</v>
      </c>
      <c r="B294" s="1" t="s">
        <v>18</v>
      </c>
      <c r="C294" s="1">
        <v>2022</v>
      </c>
      <c r="D294" s="7">
        <v>9675</v>
      </c>
      <c r="E294" s="1">
        <v>5.8</v>
      </c>
      <c r="F294" s="1">
        <v>71</v>
      </c>
      <c r="G294" s="1">
        <v>428842037</v>
      </c>
      <c r="H294" s="1">
        <v>52</v>
      </c>
      <c r="I294" s="1">
        <v>6.5</v>
      </c>
      <c r="J294" s="1">
        <v>82</v>
      </c>
      <c r="K294" s="1">
        <v>38</v>
      </c>
      <c r="L294" s="1" t="s">
        <v>18</v>
      </c>
    </row>
    <row r="295" spans="1:12" x14ac:dyDescent="0.25">
      <c r="A295" s="1" t="s">
        <v>19</v>
      </c>
      <c r="B295" s="1" t="s">
        <v>20</v>
      </c>
      <c r="C295" s="1">
        <v>2022</v>
      </c>
      <c r="D295" s="7">
        <v>42941</v>
      </c>
      <c r="E295" s="1">
        <v>9.8000000000000007</v>
      </c>
      <c r="F295" s="1">
        <v>82</v>
      </c>
      <c r="G295" s="1">
        <v>1394902341</v>
      </c>
      <c r="H295" s="1">
        <v>86</v>
      </c>
      <c r="I295" s="1">
        <v>23.2</v>
      </c>
      <c r="J295" s="1">
        <v>99</v>
      </c>
      <c r="K295" s="1">
        <v>76</v>
      </c>
      <c r="L295" s="1" t="s">
        <v>20</v>
      </c>
    </row>
    <row r="296" spans="1:12" x14ac:dyDescent="0.25">
      <c r="A296" s="1" t="s">
        <v>21</v>
      </c>
      <c r="B296" s="1" t="s">
        <v>22</v>
      </c>
      <c r="C296" s="1">
        <v>2020</v>
      </c>
      <c r="D296" s="7">
        <v>32996</v>
      </c>
      <c r="E296" s="1">
        <v>13.1</v>
      </c>
      <c r="F296" s="1">
        <v>62</v>
      </c>
      <c r="G296" s="1">
        <v>1300724914</v>
      </c>
      <c r="H296" s="1">
        <v>54</v>
      </c>
      <c r="I296" s="1">
        <v>19.3</v>
      </c>
      <c r="J296" s="1">
        <v>84</v>
      </c>
      <c r="K296" s="1">
        <v>63</v>
      </c>
      <c r="L296" s="1" t="s">
        <v>14</v>
      </c>
    </row>
    <row r="297" spans="1:12" x14ac:dyDescent="0.25">
      <c r="A297" s="1" t="s">
        <v>23</v>
      </c>
      <c r="B297" s="1" t="s">
        <v>18</v>
      </c>
      <c r="C297" s="1">
        <v>2021</v>
      </c>
      <c r="D297" s="7">
        <v>62020</v>
      </c>
      <c r="E297" s="1">
        <v>8.1</v>
      </c>
      <c r="F297" s="1">
        <v>76</v>
      </c>
      <c r="G297" s="1">
        <v>644376168</v>
      </c>
      <c r="H297" s="1">
        <v>50</v>
      </c>
      <c r="I297" s="1">
        <v>3.4</v>
      </c>
      <c r="J297" s="1">
        <v>78</v>
      </c>
      <c r="K297" s="1">
        <v>60</v>
      </c>
      <c r="L297" s="1" t="s">
        <v>18</v>
      </c>
    </row>
    <row r="298" spans="1:12" x14ac:dyDescent="0.25">
      <c r="A298" s="1" t="s">
        <v>24</v>
      </c>
      <c r="B298" s="1" t="s">
        <v>16</v>
      </c>
      <c r="C298" s="1">
        <v>2020</v>
      </c>
      <c r="D298" s="7">
        <v>47826</v>
      </c>
      <c r="E298" s="1">
        <v>7.2</v>
      </c>
      <c r="F298" s="1">
        <v>83</v>
      </c>
      <c r="G298" s="1">
        <v>655753625</v>
      </c>
      <c r="H298" s="1">
        <v>58</v>
      </c>
      <c r="I298" s="1">
        <v>16.3</v>
      </c>
      <c r="J298" s="1">
        <v>71</v>
      </c>
      <c r="K298" s="1">
        <v>69</v>
      </c>
      <c r="L298" s="1" t="s">
        <v>16</v>
      </c>
    </row>
    <row r="299" spans="1:12" x14ac:dyDescent="0.25">
      <c r="A299" s="1" t="s">
        <v>25</v>
      </c>
      <c r="B299" s="1" t="s">
        <v>26</v>
      </c>
      <c r="C299" s="1">
        <v>2021</v>
      </c>
      <c r="D299" s="7">
        <v>27935</v>
      </c>
      <c r="E299" s="1">
        <v>6.1</v>
      </c>
      <c r="F299" s="1">
        <v>66</v>
      </c>
      <c r="G299" s="1">
        <v>54981057</v>
      </c>
      <c r="H299" s="1">
        <v>90</v>
      </c>
      <c r="I299" s="1">
        <v>22.5</v>
      </c>
      <c r="J299" s="1">
        <v>72</v>
      </c>
      <c r="K299" s="1">
        <v>45</v>
      </c>
      <c r="L299" s="1" t="s">
        <v>26</v>
      </c>
    </row>
    <row r="300" spans="1:12" x14ac:dyDescent="0.25">
      <c r="A300" s="1" t="s">
        <v>27</v>
      </c>
      <c r="B300" s="1" t="s">
        <v>22</v>
      </c>
      <c r="C300" s="1">
        <v>2022</v>
      </c>
      <c r="D300" s="7">
        <v>55247</v>
      </c>
      <c r="E300" s="1">
        <v>4.5999999999999996</v>
      </c>
      <c r="F300" s="1">
        <v>66</v>
      </c>
      <c r="G300" s="1">
        <v>715165571</v>
      </c>
      <c r="H300" s="1">
        <v>93</v>
      </c>
      <c r="I300" s="1">
        <v>16.3</v>
      </c>
      <c r="J300" s="1">
        <v>86</v>
      </c>
      <c r="K300" s="1">
        <v>73</v>
      </c>
      <c r="L300" s="1" t="s">
        <v>14</v>
      </c>
    </row>
    <row r="301" spans="1:12" x14ac:dyDescent="0.25">
      <c r="A301" s="1" t="s">
        <v>28</v>
      </c>
      <c r="B301" s="1" t="s">
        <v>29</v>
      </c>
      <c r="C301" s="1">
        <v>2022</v>
      </c>
      <c r="D301" s="7">
        <v>31685</v>
      </c>
      <c r="E301" s="1">
        <v>12.4</v>
      </c>
      <c r="F301" s="1">
        <v>65</v>
      </c>
      <c r="G301" s="1">
        <v>824090686</v>
      </c>
      <c r="H301" s="1">
        <v>67</v>
      </c>
      <c r="I301" s="1">
        <v>10.3</v>
      </c>
      <c r="J301" s="1">
        <v>91</v>
      </c>
      <c r="K301" s="1">
        <v>82</v>
      </c>
      <c r="L301" s="1" t="s">
        <v>29</v>
      </c>
    </row>
    <row r="302" spans="1:12" x14ac:dyDescent="0.25">
      <c r="A302" s="1" t="s">
        <v>12</v>
      </c>
      <c r="B302" s="1" t="s">
        <v>13</v>
      </c>
      <c r="C302" s="1">
        <v>2022</v>
      </c>
      <c r="D302" s="7">
        <v>69200</v>
      </c>
      <c r="E302" s="1">
        <v>4.5</v>
      </c>
      <c r="F302" s="1">
        <v>65</v>
      </c>
      <c r="G302" s="1">
        <v>546847975</v>
      </c>
      <c r="H302" s="1">
        <v>50</v>
      </c>
      <c r="I302" s="1">
        <v>15.7</v>
      </c>
      <c r="J302" s="1">
        <v>81</v>
      </c>
      <c r="K302" s="1">
        <v>52</v>
      </c>
      <c r="L302" s="1" t="s">
        <v>14</v>
      </c>
    </row>
    <row r="303" spans="1:12" x14ac:dyDescent="0.25">
      <c r="A303" s="1" t="s">
        <v>15</v>
      </c>
      <c r="B303" s="1" t="s">
        <v>16</v>
      </c>
      <c r="C303" s="1">
        <v>2021</v>
      </c>
      <c r="D303" s="7">
        <v>31189</v>
      </c>
      <c r="E303" s="1">
        <v>4.5999999999999996</v>
      </c>
      <c r="F303" s="1">
        <v>66</v>
      </c>
      <c r="G303" s="1">
        <v>777729750</v>
      </c>
      <c r="H303" s="1">
        <v>54</v>
      </c>
      <c r="I303" s="1">
        <v>5.8</v>
      </c>
      <c r="J303" s="1">
        <v>79</v>
      </c>
      <c r="K303" s="1">
        <v>79</v>
      </c>
      <c r="L303" s="1" t="s">
        <v>16</v>
      </c>
    </row>
    <row r="304" spans="1:12" x14ac:dyDescent="0.25">
      <c r="A304" s="1" t="s">
        <v>17</v>
      </c>
      <c r="B304" s="1" t="s">
        <v>18</v>
      </c>
      <c r="C304" s="1">
        <v>2021</v>
      </c>
      <c r="D304" s="7">
        <v>9830</v>
      </c>
      <c r="E304" s="1">
        <v>10</v>
      </c>
      <c r="F304" s="1">
        <v>79</v>
      </c>
      <c r="G304" s="1">
        <v>184122617</v>
      </c>
      <c r="H304" s="1">
        <v>76</v>
      </c>
      <c r="I304" s="1">
        <v>7.1</v>
      </c>
      <c r="J304" s="1">
        <v>95</v>
      </c>
      <c r="K304" s="1">
        <v>50</v>
      </c>
      <c r="L304" s="1" t="s">
        <v>18</v>
      </c>
    </row>
    <row r="305" spans="1:12" x14ac:dyDescent="0.25">
      <c r="A305" s="1" t="s">
        <v>19</v>
      </c>
      <c r="B305" s="1" t="s">
        <v>20</v>
      </c>
      <c r="C305" s="1">
        <v>2021</v>
      </c>
      <c r="D305" s="7">
        <v>6895</v>
      </c>
      <c r="E305" s="1">
        <v>12.4</v>
      </c>
      <c r="F305" s="1">
        <v>67</v>
      </c>
      <c r="G305" s="1">
        <v>1087676656</v>
      </c>
      <c r="H305" s="1">
        <v>78</v>
      </c>
      <c r="I305" s="1">
        <v>24.2</v>
      </c>
      <c r="J305" s="1">
        <v>96</v>
      </c>
      <c r="K305" s="1">
        <v>61</v>
      </c>
      <c r="L305" s="1" t="s">
        <v>20</v>
      </c>
    </row>
    <row r="306" spans="1:12" x14ac:dyDescent="0.25">
      <c r="A306" s="1" t="s">
        <v>21</v>
      </c>
      <c r="B306" s="1" t="s">
        <v>22</v>
      </c>
      <c r="C306" s="1">
        <v>2021</v>
      </c>
      <c r="D306" s="7">
        <v>19042</v>
      </c>
      <c r="E306" s="1">
        <v>4.2</v>
      </c>
      <c r="F306" s="1">
        <v>65</v>
      </c>
      <c r="G306" s="1">
        <v>567396274</v>
      </c>
      <c r="H306" s="1">
        <v>61</v>
      </c>
      <c r="I306" s="1">
        <v>23.7</v>
      </c>
      <c r="J306" s="1">
        <v>81</v>
      </c>
      <c r="K306" s="1">
        <v>35</v>
      </c>
      <c r="L306" s="1" t="s">
        <v>14</v>
      </c>
    </row>
    <row r="307" spans="1:12" x14ac:dyDescent="0.25">
      <c r="A307" s="1" t="s">
        <v>23</v>
      </c>
      <c r="B307" s="1" t="s">
        <v>18</v>
      </c>
      <c r="C307" s="1">
        <v>2020</v>
      </c>
      <c r="D307" s="7">
        <v>4479</v>
      </c>
      <c r="E307" s="1">
        <v>12.2</v>
      </c>
      <c r="F307" s="1">
        <v>74</v>
      </c>
      <c r="G307" s="1">
        <v>1352400045</v>
      </c>
      <c r="H307" s="1">
        <v>51</v>
      </c>
      <c r="I307" s="1">
        <v>23.1</v>
      </c>
      <c r="J307" s="1">
        <v>76</v>
      </c>
      <c r="K307" s="1">
        <v>69</v>
      </c>
      <c r="L307" s="1" t="s">
        <v>18</v>
      </c>
    </row>
    <row r="308" spans="1:12" x14ac:dyDescent="0.25">
      <c r="A308" s="1" t="s">
        <v>24</v>
      </c>
      <c r="B308" s="1" t="s">
        <v>16</v>
      </c>
      <c r="C308" s="1">
        <v>2021</v>
      </c>
      <c r="D308" s="7">
        <v>38455</v>
      </c>
      <c r="E308" s="1">
        <v>15.1</v>
      </c>
      <c r="F308" s="1">
        <v>65</v>
      </c>
      <c r="G308" s="1">
        <v>1010075292</v>
      </c>
      <c r="H308" s="1">
        <v>94</v>
      </c>
      <c r="I308" s="1">
        <v>5.5</v>
      </c>
      <c r="J308" s="1">
        <v>79</v>
      </c>
      <c r="K308" s="1">
        <v>58</v>
      </c>
      <c r="L308" s="1" t="s">
        <v>16</v>
      </c>
    </row>
    <row r="309" spans="1:12" x14ac:dyDescent="0.25">
      <c r="A309" s="1" t="s">
        <v>25</v>
      </c>
      <c r="B309" s="1" t="s">
        <v>26</v>
      </c>
      <c r="C309" s="1">
        <v>2022</v>
      </c>
      <c r="D309" s="7">
        <v>31443</v>
      </c>
      <c r="E309" s="1">
        <v>11.5</v>
      </c>
      <c r="F309" s="1">
        <v>62</v>
      </c>
      <c r="G309" s="1">
        <v>953750645</v>
      </c>
      <c r="H309" s="1">
        <v>64</v>
      </c>
      <c r="I309" s="1">
        <v>9.1999999999999993</v>
      </c>
      <c r="J309" s="1">
        <v>95</v>
      </c>
      <c r="K309" s="1">
        <v>37</v>
      </c>
      <c r="L309" s="1" t="s">
        <v>26</v>
      </c>
    </row>
    <row r="310" spans="1:12" x14ac:dyDescent="0.25">
      <c r="A310" s="1" t="s">
        <v>27</v>
      </c>
      <c r="B310" s="1" t="s">
        <v>22</v>
      </c>
      <c r="C310" s="1">
        <v>2020</v>
      </c>
      <c r="D310" s="7">
        <v>40599</v>
      </c>
      <c r="E310" s="1">
        <v>12.8</v>
      </c>
      <c r="F310" s="1">
        <v>68</v>
      </c>
      <c r="G310" s="1">
        <v>388891570</v>
      </c>
      <c r="H310" s="1">
        <v>92</v>
      </c>
      <c r="I310" s="1">
        <v>24.3</v>
      </c>
      <c r="J310" s="1">
        <v>92</v>
      </c>
      <c r="K310" s="1">
        <v>82</v>
      </c>
      <c r="L310" s="1" t="s">
        <v>14</v>
      </c>
    </row>
    <row r="311" spans="1:12" x14ac:dyDescent="0.25">
      <c r="A311" s="1" t="s">
        <v>28</v>
      </c>
      <c r="B311" s="1" t="s">
        <v>29</v>
      </c>
      <c r="C311" s="1">
        <v>2021</v>
      </c>
      <c r="D311" s="7">
        <v>30884</v>
      </c>
      <c r="E311" s="1">
        <v>7.2</v>
      </c>
      <c r="F311" s="1">
        <v>71</v>
      </c>
      <c r="G311" s="1">
        <v>838739934</v>
      </c>
      <c r="H311" s="1">
        <v>70</v>
      </c>
      <c r="I311" s="1">
        <v>12.4</v>
      </c>
      <c r="J311" s="1">
        <v>89</v>
      </c>
      <c r="K311" s="1">
        <v>42</v>
      </c>
      <c r="L311" s="1" t="s">
        <v>29</v>
      </c>
    </row>
    <row r="312" spans="1:12" x14ac:dyDescent="0.25">
      <c r="A312" s="1" t="s">
        <v>12</v>
      </c>
      <c r="B312" s="1" t="s">
        <v>13</v>
      </c>
      <c r="C312" s="1">
        <v>2021</v>
      </c>
      <c r="D312" s="7">
        <v>8088</v>
      </c>
      <c r="E312" s="1">
        <v>10.5</v>
      </c>
      <c r="F312" s="1">
        <v>62</v>
      </c>
      <c r="G312" s="1">
        <v>1438981351</v>
      </c>
      <c r="H312" s="1">
        <v>93</v>
      </c>
      <c r="I312" s="1">
        <v>3.3</v>
      </c>
      <c r="J312" s="1">
        <v>74</v>
      </c>
      <c r="K312" s="1">
        <v>78</v>
      </c>
      <c r="L312" s="1" t="s">
        <v>14</v>
      </c>
    </row>
    <row r="313" spans="1:12" x14ac:dyDescent="0.25">
      <c r="A313" s="1" t="s">
        <v>15</v>
      </c>
      <c r="B313" s="1" t="s">
        <v>16</v>
      </c>
      <c r="C313" s="1">
        <v>2020</v>
      </c>
      <c r="D313" s="7">
        <v>52254</v>
      </c>
      <c r="E313" s="1">
        <v>14.7</v>
      </c>
      <c r="F313" s="1">
        <v>71</v>
      </c>
      <c r="G313" s="1">
        <v>536167628</v>
      </c>
      <c r="H313" s="1">
        <v>51</v>
      </c>
      <c r="I313" s="1">
        <v>7.5</v>
      </c>
      <c r="J313" s="1">
        <v>98</v>
      </c>
      <c r="K313" s="1">
        <v>55</v>
      </c>
      <c r="L313" s="1" t="s">
        <v>16</v>
      </c>
    </row>
    <row r="314" spans="1:12" x14ac:dyDescent="0.25">
      <c r="A314" s="1" t="s">
        <v>17</v>
      </c>
      <c r="B314" s="1" t="s">
        <v>18</v>
      </c>
      <c r="C314" s="1">
        <v>2020</v>
      </c>
      <c r="D314" s="7">
        <v>25129</v>
      </c>
      <c r="E314" s="1">
        <v>9.5</v>
      </c>
      <c r="F314" s="1">
        <v>69</v>
      </c>
      <c r="G314" s="1">
        <v>1244586459</v>
      </c>
      <c r="H314" s="1">
        <v>58</v>
      </c>
      <c r="I314" s="1">
        <v>21.2</v>
      </c>
      <c r="J314" s="1">
        <v>96</v>
      </c>
      <c r="K314" s="1">
        <v>59</v>
      </c>
      <c r="L314" s="1" t="s">
        <v>18</v>
      </c>
    </row>
    <row r="315" spans="1:12" x14ac:dyDescent="0.25">
      <c r="A315" s="1" t="s">
        <v>19</v>
      </c>
      <c r="B315" s="1" t="s">
        <v>20</v>
      </c>
      <c r="C315" s="1">
        <v>2021</v>
      </c>
      <c r="D315" s="7">
        <v>4331</v>
      </c>
      <c r="E315" s="1">
        <v>16.3</v>
      </c>
      <c r="F315" s="1">
        <v>74</v>
      </c>
      <c r="G315" s="1">
        <v>47967447</v>
      </c>
      <c r="H315" s="1">
        <v>58</v>
      </c>
      <c r="I315" s="1">
        <v>8.6</v>
      </c>
      <c r="J315" s="1">
        <v>72</v>
      </c>
      <c r="K315" s="1">
        <v>42</v>
      </c>
      <c r="L315" s="1" t="s">
        <v>20</v>
      </c>
    </row>
    <row r="316" spans="1:12" x14ac:dyDescent="0.25">
      <c r="A316" s="1" t="s">
        <v>21</v>
      </c>
      <c r="B316" s="1" t="s">
        <v>22</v>
      </c>
      <c r="C316" s="1">
        <v>2022</v>
      </c>
      <c r="D316" s="7">
        <v>58368</v>
      </c>
      <c r="E316" s="1">
        <v>4.8</v>
      </c>
      <c r="F316" s="1">
        <v>64</v>
      </c>
      <c r="G316" s="1">
        <v>585456731</v>
      </c>
      <c r="H316" s="1">
        <v>54</v>
      </c>
      <c r="I316" s="1">
        <v>14.4</v>
      </c>
      <c r="J316" s="1">
        <v>93</v>
      </c>
      <c r="K316" s="1">
        <v>55</v>
      </c>
      <c r="L316" s="1" t="s">
        <v>14</v>
      </c>
    </row>
    <row r="317" spans="1:12" x14ac:dyDescent="0.25">
      <c r="A317" s="1" t="s">
        <v>23</v>
      </c>
      <c r="B317" s="1" t="s">
        <v>18</v>
      </c>
      <c r="C317" s="1">
        <v>2020</v>
      </c>
      <c r="D317" s="7">
        <v>33367</v>
      </c>
      <c r="E317" s="1">
        <v>11.4</v>
      </c>
      <c r="F317" s="1">
        <v>69</v>
      </c>
      <c r="G317" s="1">
        <v>119689761</v>
      </c>
      <c r="H317" s="1">
        <v>84</v>
      </c>
      <c r="I317" s="1">
        <v>9</v>
      </c>
      <c r="J317" s="1">
        <v>91</v>
      </c>
      <c r="K317" s="1">
        <v>73</v>
      </c>
      <c r="L317" s="1" t="s">
        <v>18</v>
      </c>
    </row>
    <row r="318" spans="1:12" x14ac:dyDescent="0.25">
      <c r="A318" s="1" t="s">
        <v>24</v>
      </c>
      <c r="B318" s="1" t="s">
        <v>16</v>
      </c>
      <c r="C318" s="1">
        <v>2022</v>
      </c>
      <c r="D318" s="7">
        <v>43109</v>
      </c>
      <c r="E318" s="1">
        <v>4.7</v>
      </c>
      <c r="F318" s="1">
        <v>77</v>
      </c>
      <c r="G318" s="1">
        <v>581988730</v>
      </c>
      <c r="H318" s="1">
        <v>67</v>
      </c>
      <c r="I318" s="1">
        <v>9.5</v>
      </c>
      <c r="J318" s="1">
        <v>98</v>
      </c>
      <c r="K318" s="1">
        <v>60</v>
      </c>
      <c r="L318" s="1" t="s">
        <v>16</v>
      </c>
    </row>
    <row r="319" spans="1:12" x14ac:dyDescent="0.25">
      <c r="A319" s="1" t="s">
        <v>25</v>
      </c>
      <c r="B319" s="1" t="s">
        <v>26</v>
      </c>
      <c r="C319" s="1">
        <v>2021</v>
      </c>
      <c r="D319" s="7">
        <v>11953</v>
      </c>
      <c r="E319" s="1">
        <v>15</v>
      </c>
      <c r="F319" s="1">
        <v>63</v>
      </c>
      <c r="G319" s="1">
        <v>1008189171</v>
      </c>
      <c r="H319" s="1">
        <v>91</v>
      </c>
      <c r="I319" s="1">
        <v>19.3</v>
      </c>
      <c r="J319" s="1">
        <v>100</v>
      </c>
      <c r="K319" s="1">
        <v>90</v>
      </c>
      <c r="L319" s="1" t="s">
        <v>26</v>
      </c>
    </row>
    <row r="320" spans="1:12" x14ac:dyDescent="0.25">
      <c r="A320" s="1" t="s">
        <v>27</v>
      </c>
      <c r="B320" s="1" t="s">
        <v>22</v>
      </c>
      <c r="C320" s="1">
        <v>2022</v>
      </c>
      <c r="D320" s="7">
        <v>42457</v>
      </c>
      <c r="E320" s="1">
        <v>6.7</v>
      </c>
      <c r="F320" s="1">
        <v>64</v>
      </c>
      <c r="G320" s="1">
        <v>995432119</v>
      </c>
      <c r="H320" s="1">
        <v>89</v>
      </c>
      <c r="I320" s="1">
        <v>22.9</v>
      </c>
      <c r="J320" s="1">
        <v>73</v>
      </c>
      <c r="K320" s="1">
        <v>58</v>
      </c>
      <c r="L320" s="1" t="s">
        <v>14</v>
      </c>
    </row>
    <row r="321" spans="1:12" x14ac:dyDescent="0.25">
      <c r="A321" s="1" t="s">
        <v>28</v>
      </c>
      <c r="B321" s="1" t="s">
        <v>29</v>
      </c>
      <c r="C321" s="1">
        <v>2020</v>
      </c>
      <c r="D321" s="7">
        <v>64269</v>
      </c>
      <c r="E321" s="1">
        <v>4.5999999999999996</v>
      </c>
      <c r="F321" s="1">
        <v>63</v>
      </c>
      <c r="G321" s="1">
        <v>591421225</v>
      </c>
      <c r="H321" s="1">
        <v>51</v>
      </c>
      <c r="I321" s="1">
        <v>9.3000000000000007</v>
      </c>
      <c r="J321" s="1">
        <v>81</v>
      </c>
      <c r="K321" s="1">
        <v>51</v>
      </c>
      <c r="L321" s="1" t="s">
        <v>29</v>
      </c>
    </row>
    <row r="322" spans="1:12" x14ac:dyDescent="0.25">
      <c r="A322" s="1" t="s">
        <v>12</v>
      </c>
      <c r="B322" s="1" t="s">
        <v>13</v>
      </c>
      <c r="C322" s="1">
        <v>2020</v>
      </c>
      <c r="D322" s="7">
        <v>37447</v>
      </c>
      <c r="E322" s="1">
        <v>7.5</v>
      </c>
      <c r="F322" s="1">
        <v>61</v>
      </c>
      <c r="G322" s="1">
        <v>643543016</v>
      </c>
      <c r="H322" s="1">
        <v>85</v>
      </c>
      <c r="I322" s="1">
        <v>19.899999999999999</v>
      </c>
      <c r="J322" s="1">
        <v>89</v>
      </c>
      <c r="K322" s="1">
        <v>42</v>
      </c>
      <c r="L322" s="1" t="s">
        <v>14</v>
      </c>
    </row>
    <row r="323" spans="1:12" x14ac:dyDescent="0.25">
      <c r="A323" s="1" t="s">
        <v>15</v>
      </c>
      <c r="B323" s="1" t="s">
        <v>16</v>
      </c>
      <c r="C323" s="1">
        <v>2020</v>
      </c>
      <c r="D323" s="7">
        <v>20949</v>
      </c>
      <c r="E323" s="1">
        <v>16.2</v>
      </c>
      <c r="F323" s="1">
        <v>75</v>
      </c>
      <c r="G323" s="1">
        <v>830554157</v>
      </c>
      <c r="H323" s="1">
        <v>94</v>
      </c>
      <c r="I323" s="1">
        <v>11.5</v>
      </c>
      <c r="J323" s="1">
        <v>76</v>
      </c>
      <c r="K323" s="1">
        <v>84</v>
      </c>
      <c r="L323" s="1" t="s">
        <v>16</v>
      </c>
    </row>
    <row r="324" spans="1:12" x14ac:dyDescent="0.25">
      <c r="A324" s="1" t="s">
        <v>17</v>
      </c>
      <c r="B324" s="1" t="s">
        <v>18</v>
      </c>
      <c r="C324" s="1">
        <v>2020</v>
      </c>
      <c r="D324" s="7">
        <v>14552</v>
      </c>
      <c r="E324" s="1">
        <v>16.7</v>
      </c>
      <c r="F324" s="1">
        <v>76</v>
      </c>
      <c r="G324" s="1">
        <v>916954073</v>
      </c>
      <c r="H324" s="1">
        <v>70</v>
      </c>
      <c r="I324" s="1">
        <v>7.9</v>
      </c>
      <c r="J324" s="1">
        <v>77</v>
      </c>
      <c r="K324" s="1">
        <v>49</v>
      </c>
      <c r="L324" s="1" t="s">
        <v>18</v>
      </c>
    </row>
    <row r="325" spans="1:12" x14ac:dyDescent="0.25">
      <c r="A325" s="1" t="s">
        <v>19</v>
      </c>
      <c r="B325" s="1" t="s">
        <v>20</v>
      </c>
      <c r="C325" s="1">
        <v>2022</v>
      </c>
      <c r="D325" s="7">
        <v>29169</v>
      </c>
      <c r="E325" s="1">
        <v>3.9</v>
      </c>
      <c r="F325" s="1">
        <v>61</v>
      </c>
      <c r="G325" s="1">
        <v>493774114</v>
      </c>
      <c r="H325" s="1">
        <v>60</v>
      </c>
      <c r="I325" s="1">
        <v>13.7</v>
      </c>
      <c r="J325" s="1">
        <v>88</v>
      </c>
      <c r="K325" s="1">
        <v>79</v>
      </c>
      <c r="L325" s="1" t="s">
        <v>20</v>
      </c>
    </row>
    <row r="326" spans="1:12" x14ac:dyDescent="0.25">
      <c r="A326" s="1" t="s">
        <v>21</v>
      </c>
      <c r="B326" s="1" t="s">
        <v>22</v>
      </c>
      <c r="C326" s="1">
        <v>2021</v>
      </c>
      <c r="D326" s="7">
        <v>67325</v>
      </c>
      <c r="E326" s="1">
        <v>8.8000000000000007</v>
      </c>
      <c r="F326" s="1">
        <v>74</v>
      </c>
      <c r="G326" s="1">
        <v>198751555</v>
      </c>
      <c r="H326" s="1">
        <v>85</v>
      </c>
      <c r="I326" s="1">
        <v>4.3</v>
      </c>
      <c r="J326" s="1">
        <v>76</v>
      </c>
      <c r="K326" s="1">
        <v>53</v>
      </c>
      <c r="L326" s="1" t="s">
        <v>14</v>
      </c>
    </row>
    <row r="327" spans="1:12" x14ac:dyDescent="0.25">
      <c r="A327" s="1" t="s">
        <v>23</v>
      </c>
      <c r="B327" s="1" t="s">
        <v>18</v>
      </c>
      <c r="C327" s="1">
        <v>2020</v>
      </c>
      <c r="D327" s="7">
        <v>26828</v>
      </c>
      <c r="E327" s="1">
        <v>9</v>
      </c>
      <c r="F327" s="1">
        <v>62</v>
      </c>
      <c r="G327" s="1">
        <v>93378703</v>
      </c>
      <c r="H327" s="1">
        <v>81</v>
      </c>
      <c r="I327" s="1">
        <v>2.1</v>
      </c>
      <c r="J327" s="1">
        <v>80</v>
      </c>
      <c r="K327" s="1">
        <v>81</v>
      </c>
      <c r="L327" s="1" t="s">
        <v>18</v>
      </c>
    </row>
    <row r="328" spans="1:12" x14ac:dyDescent="0.25">
      <c r="A328" s="1" t="s">
        <v>24</v>
      </c>
      <c r="B328" s="1" t="s">
        <v>16</v>
      </c>
      <c r="C328" s="1">
        <v>2021</v>
      </c>
      <c r="D328" s="7">
        <v>65159</v>
      </c>
      <c r="E328" s="1">
        <v>8.1999999999999993</v>
      </c>
      <c r="F328" s="1">
        <v>69</v>
      </c>
      <c r="G328" s="1">
        <v>290686228</v>
      </c>
      <c r="H328" s="1">
        <v>61</v>
      </c>
      <c r="I328" s="1">
        <v>9.5</v>
      </c>
      <c r="J328" s="1">
        <v>81</v>
      </c>
      <c r="K328" s="1">
        <v>33</v>
      </c>
      <c r="L328" s="1" t="s">
        <v>16</v>
      </c>
    </row>
    <row r="329" spans="1:12" x14ac:dyDescent="0.25">
      <c r="A329" s="1" t="s">
        <v>25</v>
      </c>
      <c r="B329" s="1" t="s">
        <v>26</v>
      </c>
      <c r="C329" s="1">
        <v>2022</v>
      </c>
      <c r="D329" s="7">
        <v>33340</v>
      </c>
      <c r="E329" s="1">
        <v>14.3</v>
      </c>
      <c r="F329" s="1">
        <v>71</v>
      </c>
      <c r="G329" s="1">
        <v>879517218</v>
      </c>
      <c r="H329" s="1">
        <v>72</v>
      </c>
      <c r="I329" s="1">
        <v>15</v>
      </c>
      <c r="J329" s="1">
        <v>85</v>
      </c>
      <c r="K329" s="1">
        <v>76</v>
      </c>
      <c r="L329" s="1" t="s">
        <v>26</v>
      </c>
    </row>
    <row r="330" spans="1:12" x14ac:dyDescent="0.25">
      <c r="A330" s="1" t="s">
        <v>27</v>
      </c>
      <c r="B330" s="1" t="s">
        <v>22</v>
      </c>
      <c r="C330" s="1">
        <v>2021</v>
      </c>
      <c r="D330" s="7">
        <v>37713</v>
      </c>
      <c r="E330" s="1">
        <v>4.5</v>
      </c>
      <c r="F330" s="1">
        <v>83</v>
      </c>
      <c r="G330" s="1">
        <v>280596008</v>
      </c>
      <c r="H330" s="1">
        <v>60</v>
      </c>
      <c r="I330" s="1">
        <v>17</v>
      </c>
      <c r="J330" s="1">
        <v>85</v>
      </c>
      <c r="K330" s="1">
        <v>46</v>
      </c>
      <c r="L330" s="1" t="s">
        <v>14</v>
      </c>
    </row>
    <row r="331" spans="1:12" x14ac:dyDescent="0.25">
      <c r="A331" s="1" t="s">
        <v>28</v>
      </c>
      <c r="B331" s="1" t="s">
        <v>29</v>
      </c>
      <c r="C331" s="1">
        <v>2021</v>
      </c>
      <c r="D331" s="7">
        <v>30791</v>
      </c>
      <c r="E331" s="1">
        <v>10.1</v>
      </c>
      <c r="F331" s="1">
        <v>84</v>
      </c>
      <c r="G331" s="1">
        <v>1126116189</v>
      </c>
      <c r="H331" s="1">
        <v>95</v>
      </c>
      <c r="I331" s="1">
        <v>20.3</v>
      </c>
      <c r="J331" s="1">
        <v>89</v>
      </c>
      <c r="K331" s="1">
        <v>48</v>
      </c>
      <c r="L331" s="1" t="s">
        <v>29</v>
      </c>
    </row>
    <row r="332" spans="1:12" x14ac:dyDescent="0.25">
      <c r="A332" s="1" t="s">
        <v>12</v>
      </c>
      <c r="B332" s="1" t="s">
        <v>13</v>
      </c>
      <c r="C332" s="1">
        <v>2020</v>
      </c>
      <c r="D332" s="7">
        <v>43675</v>
      </c>
      <c r="E332" s="1">
        <v>5.7</v>
      </c>
      <c r="F332" s="1">
        <v>62</v>
      </c>
      <c r="G332" s="1">
        <v>762571734</v>
      </c>
      <c r="H332" s="1">
        <v>75</v>
      </c>
      <c r="I332" s="1">
        <v>5.9</v>
      </c>
      <c r="J332" s="1">
        <v>87</v>
      </c>
      <c r="K332" s="1">
        <v>39</v>
      </c>
      <c r="L332" s="1" t="s">
        <v>14</v>
      </c>
    </row>
    <row r="333" spans="1:12" x14ac:dyDescent="0.25">
      <c r="A333" s="1" t="s">
        <v>15</v>
      </c>
      <c r="B333" s="1" t="s">
        <v>16</v>
      </c>
      <c r="C333" s="1">
        <v>2020</v>
      </c>
      <c r="D333" s="7">
        <v>68392</v>
      </c>
      <c r="E333" s="1">
        <v>11.2</v>
      </c>
      <c r="F333" s="1">
        <v>63</v>
      </c>
      <c r="G333" s="1">
        <v>1475280515</v>
      </c>
      <c r="H333" s="1">
        <v>73</v>
      </c>
      <c r="I333" s="1">
        <v>21.9</v>
      </c>
      <c r="J333" s="1">
        <v>70</v>
      </c>
      <c r="K333" s="1">
        <v>58</v>
      </c>
      <c r="L333" s="1" t="s">
        <v>16</v>
      </c>
    </row>
    <row r="334" spans="1:12" x14ac:dyDescent="0.25">
      <c r="A334" s="1" t="s">
        <v>17</v>
      </c>
      <c r="B334" s="1" t="s">
        <v>18</v>
      </c>
      <c r="C334" s="1">
        <v>2020</v>
      </c>
      <c r="D334" s="7">
        <v>15020</v>
      </c>
      <c r="E334" s="1">
        <v>4.9000000000000004</v>
      </c>
      <c r="F334" s="1">
        <v>70</v>
      </c>
      <c r="G334" s="1">
        <v>506526463</v>
      </c>
      <c r="H334" s="1">
        <v>65</v>
      </c>
      <c r="I334" s="1">
        <v>15</v>
      </c>
      <c r="J334" s="1">
        <v>78</v>
      </c>
      <c r="K334" s="1">
        <v>46</v>
      </c>
      <c r="L334" s="1" t="s">
        <v>18</v>
      </c>
    </row>
    <row r="335" spans="1:12" x14ac:dyDescent="0.25">
      <c r="A335" s="1" t="s">
        <v>19</v>
      </c>
      <c r="B335" s="1" t="s">
        <v>20</v>
      </c>
      <c r="C335" s="1">
        <v>2022</v>
      </c>
      <c r="D335" s="7">
        <v>3592</v>
      </c>
      <c r="E335" s="1">
        <v>13.4</v>
      </c>
      <c r="F335" s="1">
        <v>79</v>
      </c>
      <c r="G335" s="1">
        <v>1097647114</v>
      </c>
      <c r="H335" s="1">
        <v>67</v>
      </c>
      <c r="I335" s="1">
        <v>13.8</v>
      </c>
      <c r="J335" s="1">
        <v>85</v>
      </c>
      <c r="K335" s="1">
        <v>41</v>
      </c>
      <c r="L335" s="1" t="s">
        <v>20</v>
      </c>
    </row>
    <row r="336" spans="1:12" x14ac:dyDescent="0.25">
      <c r="A336" s="1" t="s">
        <v>21</v>
      </c>
      <c r="B336" s="1" t="s">
        <v>22</v>
      </c>
      <c r="C336" s="1">
        <v>2020</v>
      </c>
      <c r="D336" s="7">
        <v>16623</v>
      </c>
      <c r="E336" s="1">
        <v>7.1</v>
      </c>
      <c r="F336" s="1">
        <v>63</v>
      </c>
      <c r="G336" s="1">
        <v>1153026740</v>
      </c>
      <c r="H336" s="1">
        <v>67</v>
      </c>
      <c r="I336" s="1">
        <v>18.3</v>
      </c>
      <c r="J336" s="1">
        <v>70</v>
      </c>
      <c r="K336" s="1">
        <v>60</v>
      </c>
      <c r="L336" s="1" t="s">
        <v>14</v>
      </c>
    </row>
    <row r="337" spans="1:12" x14ac:dyDescent="0.25">
      <c r="A337" s="1" t="s">
        <v>23</v>
      </c>
      <c r="B337" s="1" t="s">
        <v>18</v>
      </c>
      <c r="C337" s="1">
        <v>2021</v>
      </c>
      <c r="D337" s="7">
        <v>40106</v>
      </c>
      <c r="E337" s="1">
        <v>9.8000000000000007</v>
      </c>
      <c r="F337" s="1">
        <v>64</v>
      </c>
      <c r="G337" s="1">
        <v>295202050</v>
      </c>
      <c r="H337" s="1">
        <v>67</v>
      </c>
      <c r="I337" s="1">
        <v>15.4</v>
      </c>
      <c r="J337" s="1">
        <v>79</v>
      </c>
      <c r="K337" s="1">
        <v>30</v>
      </c>
      <c r="L337" s="1" t="s">
        <v>18</v>
      </c>
    </row>
    <row r="338" spans="1:12" x14ac:dyDescent="0.25">
      <c r="A338" s="1" t="s">
        <v>24</v>
      </c>
      <c r="B338" s="1" t="s">
        <v>16</v>
      </c>
      <c r="C338" s="1">
        <v>2021</v>
      </c>
      <c r="D338" s="7">
        <v>12105</v>
      </c>
      <c r="E338" s="1">
        <v>6.9</v>
      </c>
      <c r="F338" s="1">
        <v>70</v>
      </c>
      <c r="G338" s="1">
        <v>1253164896</v>
      </c>
      <c r="H338" s="1">
        <v>71</v>
      </c>
      <c r="I338" s="1">
        <v>4.5999999999999996</v>
      </c>
      <c r="J338" s="1">
        <v>72</v>
      </c>
      <c r="K338" s="1">
        <v>33</v>
      </c>
      <c r="L338" s="1" t="s">
        <v>16</v>
      </c>
    </row>
    <row r="339" spans="1:12" x14ac:dyDescent="0.25">
      <c r="A339" s="1" t="s">
        <v>25</v>
      </c>
      <c r="B339" s="1" t="s">
        <v>26</v>
      </c>
      <c r="C339" s="1">
        <v>2020</v>
      </c>
      <c r="D339" s="7">
        <v>48363</v>
      </c>
      <c r="E339" s="1">
        <v>9.3000000000000007</v>
      </c>
      <c r="F339" s="1">
        <v>61</v>
      </c>
      <c r="G339" s="1">
        <v>236721507</v>
      </c>
      <c r="H339" s="1">
        <v>78</v>
      </c>
      <c r="I339" s="1">
        <v>5.2</v>
      </c>
      <c r="J339" s="1">
        <v>79</v>
      </c>
      <c r="K339" s="1">
        <v>81</v>
      </c>
      <c r="L339" s="1" t="s">
        <v>26</v>
      </c>
    </row>
    <row r="340" spans="1:12" x14ac:dyDescent="0.25">
      <c r="A340" s="1" t="s">
        <v>27</v>
      </c>
      <c r="B340" s="1" t="s">
        <v>22</v>
      </c>
      <c r="C340" s="1">
        <v>2020</v>
      </c>
      <c r="D340" s="7">
        <v>19002</v>
      </c>
      <c r="E340" s="1">
        <v>12.5</v>
      </c>
      <c r="F340" s="1">
        <v>74</v>
      </c>
      <c r="G340" s="1">
        <v>1176849241</v>
      </c>
      <c r="H340" s="1">
        <v>92</v>
      </c>
      <c r="I340" s="1">
        <v>14.8</v>
      </c>
      <c r="J340" s="1">
        <v>97</v>
      </c>
      <c r="K340" s="1">
        <v>32</v>
      </c>
      <c r="L340" s="1" t="s">
        <v>14</v>
      </c>
    </row>
    <row r="341" spans="1:12" x14ac:dyDescent="0.25">
      <c r="A341" s="1" t="s">
        <v>28</v>
      </c>
      <c r="B341" s="1" t="s">
        <v>29</v>
      </c>
      <c r="C341" s="1">
        <v>2020</v>
      </c>
      <c r="D341" s="7">
        <v>50244</v>
      </c>
      <c r="E341" s="1">
        <v>16.8</v>
      </c>
      <c r="F341" s="1">
        <v>60</v>
      </c>
      <c r="G341" s="1">
        <v>848454583</v>
      </c>
      <c r="H341" s="1">
        <v>61</v>
      </c>
      <c r="I341" s="1">
        <v>20.399999999999999</v>
      </c>
      <c r="J341" s="1">
        <v>77</v>
      </c>
      <c r="K341" s="1">
        <v>31</v>
      </c>
      <c r="L341" s="1" t="s">
        <v>29</v>
      </c>
    </row>
    <row r="342" spans="1:12" x14ac:dyDescent="0.25">
      <c r="A342" s="1" t="s">
        <v>12</v>
      </c>
      <c r="B342" s="1" t="s">
        <v>13</v>
      </c>
      <c r="C342" s="1">
        <v>2021</v>
      </c>
      <c r="D342" s="7">
        <v>19121</v>
      </c>
      <c r="E342" s="1">
        <v>3.2</v>
      </c>
      <c r="F342" s="1">
        <v>64</v>
      </c>
      <c r="G342" s="1">
        <v>897075017</v>
      </c>
      <c r="H342" s="1">
        <v>60</v>
      </c>
      <c r="I342" s="1">
        <v>20.100000000000001</v>
      </c>
      <c r="J342" s="1">
        <v>80</v>
      </c>
      <c r="K342" s="1">
        <v>51</v>
      </c>
      <c r="L342" s="1" t="s">
        <v>14</v>
      </c>
    </row>
    <row r="343" spans="1:12" x14ac:dyDescent="0.25">
      <c r="A343" s="1" t="s">
        <v>15</v>
      </c>
      <c r="B343" s="1" t="s">
        <v>16</v>
      </c>
      <c r="C343" s="1">
        <v>2021</v>
      </c>
      <c r="D343" s="7">
        <v>41996</v>
      </c>
      <c r="E343" s="1">
        <v>13.4</v>
      </c>
      <c r="F343" s="1">
        <v>85</v>
      </c>
      <c r="G343" s="1">
        <v>577123435</v>
      </c>
      <c r="H343" s="1">
        <v>62</v>
      </c>
      <c r="I343" s="1">
        <v>13.7</v>
      </c>
      <c r="J343" s="1">
        <v>76</v>
      </c>
      <c r="K343" s="1">
        <v>39</v>
      </c>
      <c r="L343" s="1" t="s">
        <v>16</v>
      </c>
    </row>
    <row r="344" spans="1:12" x14ac:dyDescent="0.25">
      <c r="A344" s="1" t="s">
        <v>17</v>
      </c>
      <c r="B344" s="1" t="s">
        <v>18</v>
      </c>
      <c r="C344" s="1">
        <v>2021</v>
      </c>
      <c r="D344" s="7">
        <v>6464</v>
      </c>
      <c r="E344" s="1">
        <v>11.6</v>
      </c>
      <c r="F344" s="1">
        <v>69</v>
      </c>
      <c r="G344" s="1">
        <v>127849080</v>
      </c>
      <c r="H344" s="1">
        <v>64</v>
      </c>
      <c r="I344" s="1">
        <v>20.6</v>
      </c>
      <c r="J344" s="1">
        <v>72</v>
      </c>
      <c r="K344" s="1">
        <v>55</v>
      </c>
      <c r="L344" s="1" t="s">
        <v>18</v>
      </c>
    </row>
    <row r="345" spans="1:12" x14ac:dyDescent="0.25">
      <c r="A345" s="1" t="s">
        <v>19</v>
      </c>
      <c r="B345" s="1" t="s">
        <v>20</v>
      </c>
      <c r="C345" s="1">
        <v>2022</v>
      </c>
      <c r="D345" s="7">
        <v>31097</v>
      </c>
      <c r="E345" s="1">
        <v>11.6</v>
      </c>
      <c r="F345" s="1">
        <v>76</v>
      </c>
      <c r="G345" s="1">
        <v>459994120</v>
      </c>
      <c r="H345" s="1">
        <v>67</v>
      </c>
      <c r="I345" s="1">
        <v>22.8</v>
      </c>
      <c r="J345" s="1">
        <v>77</v>
      </c>
      <c r="K345" s="1">
        <v>84</v>
      </c>
      <c r="L345" s="1" t="s">
        <v>20</v>
      </c>
    </row>
    <row r="346" spans="1:12" x14ac:dyDescent="0.25">
      <c r="A346" s="1" t="s">
        <v>21</v>
      </c>
      <c r="B346" s="1" t="s">
        <v>22</v>
      </c>
      <c r="C346" s="1">
        <v>2020</v>
      </c>
      <c r="D346" s="7">
        <v>31723</v>
      </c>
      <c r="E346" s="1">
        <v>14.9</v>
      </c>
      <c r="F346" s="1">
        <v>82</v>
      </c>
      <c r="G346" s="1">
        <v>1357989704</v>
      </c>
      <c r="H346" s="1">
        <v>59</v>
      </c>
      <c r="I346" s="1">
        <v>24.2</v>
      </c>
      <c r="J346" s="1">
        <v>74</v>
      </c>
      <c r="K346" s="1">
        <v>60</v>
      </c>
      <c r="L346" s="1" t="s">
        <v>14</v>
      </c>
    </row>
    <row r="347" spans="1:12" x14ac:dyDescent="0.25">
      <c r="A347" s="1" t="s">
        <v>23</v>
      </c>
      <c r="B347" s="1" t="s">
        <v>18</v>
      </c>
      <c r="C347" s="1">
        <v>2020</v>
      </c>
      <c r="D347" s="7">
        <v>16904</v>
      </c>
      <c r="E347" s="1">
        <v>12.5</v>
      </c>
      <c r="F347" s="1">
        <v>63</v>
      </c>
      <c r="G347" s="1">
        <v>440790761</v>
      </c>
      <c r="H347" s="1">
        <v>81</v>
      </c>
      <c r="I347" s="1">
        <v>23</v>
      </c>
      <c r="J347" s="1">
        <v>87</v>
      </c>
      <c r="K347" s="1">
        <v>62</v>
      </c>
      <c r="L347" s="1" t="s">
        <v>18</v>
      </c>
    </row>
    <row r="348" spans="1:12" x14ac:dyDescent="0.25">
      <c r="A348" s="1" t="s">
        <v>24</v>
      </c>
      <c r="B348" s="1" t="s">
        <v>16</v>
      </c>
      <c r="C348" s="1">
        <v>2022</v>
      </c>
      <c r="D348" s="7">
        <v>25858</v>
      </c>
      <c r="E348" s="1">
        <v>14.1</v>
      </c>
      <c r="F348" s="1">
        <v>79</v>
      </c>
      <c r="G348" s="1">
        <v>215994106</v>
      </c>
      <c r="H348" s="1">
        <v>90</v>
      </c>
      <c r="I348" s="1">
        <v>14.4</v>
      </c>
      <c r="J348" s="1">
        <v>89</v>
      </c>
      <c r="K348" s="1">
        <v>60</v>
      </c>
      <c r="L348" s="1" t="s">
        <v>16</v>
      </c>
    </row>
    <row r="349" spans="1:12" x14ac:dyDescent="0.25">
      <c r="A349" s="1" t="s">
        <v>25</v>
      </c>
      <c r="B349" s="1" t="s">
        <v>26</v>
      </c>
      <c r="C349" s="1">
        <v>2020</v>
      </c>
      <c r="D349" s="7">
        <v>39090</v>
      </c>
      <c r="E349" s="1">
        <v>6.3</v>
      </c>
      <c r="F349" s="1">
        <v>81</v>
      </c>
      <c r="G349" s="1">
        <v>1476134950</v>
      </c>
      <c r="H349" s="1">
        <v>94</v>
      </c>
      <c r="I349" s="1">
        <v>2.2999999999999998</v>
      </c>
      <c r="J349" s="1">
        <v>88</v>
      </c>
      <c r="K349" s="1">
        <v>67</v>
      </c>
      <c r="L349" s="1" t="s">
        <v>26</v>
      </c>
    </row>
    <row r="350" spans="1:12" x14ac:dyDescent="0.25">
      <c r="A350" s="1" t="s">
        <v>27</v>
      </c>
      <c r="B350" s="1" t="s">
        <v>22</v>
      </c>
      <c r="C350" s="1">
        <v>2020</v>
      </c>
      <c r="D350" s="7">
        <v>57924</v>
      </c>
      <c r="E350" s="1">
        <v>16</v>
      </c>
      <c r="F350" s="1">
        <v>77</v>
      </c>
      <c r="G350" s="1">
        <v>1413813761</v>
      </c>
      <c r="H350" s="1">
        <v>58</v>
      </c>
      <c r="I350" s="1">
        <v>20.7</v>
      </c>
      <c r="J350" s="1">
        <v>74</v>
      </c>
      <c r="K350" s="1">
        <v>40</v>
      </c>
      <c r="L350" s="1" t="s">
        <v>14</v>
      </c>
    </row>
    <row r="351" spans="1:12" x14ac:dyDescent="0.25">
      <c r="A351" s="1" t="s">
        <v>28</v>
      </c>
      <c r="B351" s="1" t="s">
        <v>29</v>
      </c>
      <c r="C351" s="1">
        <v>2021</v>
      </c>
      <c r="D351" s="7">
        <v>21162</v>
      </c>
      <c r="E351" s="1">
        <v>6.3</v>
      </c>
      <c r="F351" s="1">
        <v>83</v>
      </c>
      <c r="G351" s="1">
        <v>27917842</v>
      </c>
      <c r="H351" s="1">
        <v>64</v>
      </c>
      <c r="I351" s="1">
        <v>20.5</v>
      </c>
      <c r="J351" s="1">
        <v>100</v>
      </c>
      <c r="K351" s="1">
        <v>74</v>
      </c>
      <c r="L351" s="1" t="s">
        <v>29</v>
      </c>
    </row>
    <row r="352" spans="1:12" x14ac:dyDescent="0.25">
      <c r="A352" s="1" t="s">
        <v>12</v>
      </c>
      <c r="B352" s="1" t="s">
        <v>13</v>
      </c>
      <c r="C352" s="1">
        <v>2021</v>
      </c>
      <c r="D352" s="7">
        <v>55873</v>
      </c>
      <c r="E352" s="1">
        <v>5.4</v>
      </c>
      <c r="F352" s="1">
        <v>69</v>
      </c>
      <c r="G352" s="1">
        <v>218491208</v>
      </c>
      <c r="H352" s="1">
        <v>94</v>
      </c>
      <c r="I352" s="1">
        <v>16.3</v>
      </c>
      <c r="J352" s="1">
        <v>86</v>
      </c>
      <c r="K352" s="1">
        <v>88</v>
      </c>
      <c r="L352" s="1" t="s">
        <v>14</v>
      </c>
    </row>
    <row r="353" spans="1:12" x14ac:dyDescent="0.25">
      <c r="A353" s="1" t="s">
        <v>15</v>
      </c>
      <c r="B353" s="1" t="s">
        <v>16</v>
      </c>
      <c r="C353" s="1">
        <v>2022</v>
      </c>
      <c r="D353" s="7">
        <v>47245</v>
      </c>
      <c r="E353" s="1">
        <v>13.6</v>
      </c>
      <c r="F353" s="1">
        <v>60</v>
      </c>
      <c r="G353" s="1">
        <v>401373216</v>
      </c>
      <c r="H353" s="1">
        <v>66</v>
      </c>
      <c r="I353" s="1">
        <v>12.6</v>
      </c>
      <c r="J353" s="1">
        <v>80</v>
      </c>
      <c r="K353" s="1">
        <v>78</v>
      </c>
      <c r="L353" s="1" t="s">
        <v>16</v>
      </c>
    </row>
    <row r="354" spans="1:12" x14ac:dyDescent="0.25">
      <c r="A354" s="1" t="s">
        <v>17</v>
      </c>
      <c r="B354" s="1" t="s">
        <v>18</v>
      </c>
      <c r="C354" s="1">
        <v>2020</v>
      </c>
      <c r="D354" s="7">
        <v>66912</v>
      </c>
      <c r="E354" s="1">
        <v>14</v>
      </c>
      <c r="F354" s="1">
        <v>70</v>
      </c>
      <c r="G354" s="1">
        <v>893992750</v>
      </c>
      <c r="H354" s="1">
        <v>58</v>
      </c>
      <c r="I354" s="1">
        <v>3.6</v>
      </c>
      <c r="J354" s="1">
        <v>94</v>
      </c>
      <c r="K354" s="1">
        <v>58</v>
      </c>
      <c r="L354" s="1" t="s">
        <v>18</v>
      </c>
    </row>
    <row r="355" spans="1:12" x14ac:dyDescent="0.25">
      <c r="A355" s="1" t="s">
        <v>19</v>
      </c>
      <c r="B355" s="1" t="s">
        <v>20</v>
      </c>
      <c r="C355" s="1">
        <v>2022</v>
      </c>
      <c r="D355" s="7">
        <v>46344</v>
      </c>
      <c r="E355" s="1">
        <v>10.7</v>
      </c>
      <c r="F355" s="1">
        <v>65</v>
      </c>
      <c r="G355" s="1">
        <v>701763525</v>
      </c>
      <c r="H355" s="1">
        <v>86</v>
      </c>
      <c r="I355" s="1">
        <v>12.6</v>
      </c>
      <c r="J355" s="1">
        <v>90</v>
      </c>
      <c r="K355" s="1">
        <v>35</v>
      </c>
      <c r="L355" s="1" t="s">
        <v>20</v>
      </c>
    </row>
    <row r="356" spans="1:12" x14ac:dyDescent="0.25">
      <c r="A356" s="1" t="s">
        <v>21</v>
      </c>
      <c r="B356" s="1" t="s">
        <v>22</v>
      </c>
      <c r="C356" s="1">
        <v>2022</v>
      </c>
      <c r="D356" s="7">
        <v>25337</v>
      </c>
      <c r="E356" s="1">
        <v>4.9000000000000004</v>
      </c>
      <c r="F356" s="1">
        <v>76</v>
      </c>
      <c r="G356" s="1">
        <v>856009677</v>
      </c>
      <c r="H356" s="1">
        <v>84</v>
      </c>
      <c r="I356" s="1">
        <v>12</v>
      </c>
      <c r="J356" s="1">
        <v>77</v>
      </c>
      <c r="K356" s="1">
        <v>33</v>
      </c>
      <c r="L356" s="1" t="s">
        <v>14</v>
      </c>
    </row>
    <row r="357" spans="1:12" x14ac:dyDescent="0.25">
      <c r="A357" s="1" t="s">
        <v>23</v>
      </c>
      <c r="B357" s="1" t="s">
        <v>18</v>
      </c>
      <c r="C357" s="1">
        <v>2021</v>
      </c>
      <c r="D357" s="7">
        <v>60407</v>
      </c>
      <c r="E357" s="1">
        <v>10</v>
      </c>
      <c r="F357" s="1">
        <v>81</v>
      </c>
      <c r="G357" s="1">
        <v>83865122</v>
      </c>
      <c r="H357" s="1">
        <v>60</v>
      </c>
      <c r="I357" s="1">
        <v>10.6</v>
      </c>
      <c r="J357" s="1">
        <v>100</v>
      </c>
      <c r="K357" s="1">
        <v>81</v>
      </c>
      <c r="L357" s="1" t="s">
        <v>18</v>
      </c>
    </row>
    <row r="358" spans="1:12" x14ac:dyDescent="0.25">
      <c r="A358" s="1" t="s">
        <v>24</v>
      </c>
      <c r="B358" s="1" t="s">
        <v>16</v>
      </c>
      <c r="C358" s="1">
        <v>2022</v>
      </c>
      <c r="D358" s="7">
        <v>34173</v>
      </c>
      <c r="E358" s="1">
        <v>14.1</v>
      </c>
      <c r="F358" s="1">
        <v>68</v>
      </c>
      <c r="G358" s="1">
        <v>661590179</v>
      </c>
      <c r="H358" s="1">
        <v>60</v>
      </c>
      <c r="I358" s="1">
        <v>21.6</v>
      </c>
      <c r="J358" s="1">
        <v>100</v>
      </c>
      <c r="K358" s="1">
        <v>75</v>
      </c>
      <c r="L358" s="1" t="s">
        <v>16</v>
      </c>
    </row>
    <row r="359" spans="1:12" x14ac:dyDescent="0.25">
      <c r="A359" s="1" t="s">
        <v>25</v>
      </c>
      <c r="B359" s="1" t="s">
        <v>26</v>
      </c>
      <c r="C359" s="1">
        <v>2020</v>
      </c>
      <c r="D359" s="7">
        <v>9212</v>
      </c>
      <c r="E359" s="1">
        <v>8.1999999999999993</v>
      </c>
      <c r="F359" s="1">
        <v>81</v>
      </c>
      <c r="G359" s="1">
        <v>1116574399</v>
      </c>
      <c r="H359" s="1">
        <v>83</v>
      </c>
      <c r="I359" s="1">
        <v>2.4</v>
      </c>
      <c r="J359" s="1">
        <v>95</v>
      </c>
      <c r="K359" s="1">
        <v>31</v>
      </c>
      <c r="L359" s="1" t="s">
        <v>26</v>
      </c>
    </row>
    <row r="360" spans="1:12" x14ac:dyDescent="0.25">
      <c r="A360" s="1" t="s">
        <v>27</v>
      </c>
      <c r="B360" s="1" t="s">
        <v>22</v>
      </c>
      <c r="C360" s="1">
        <v>2022</v>
      </c>
      <c r="D360" s="7">
        <v>62364</v>
      </c>
      <c r="E360" s="1">
        <v>13.8</v>
      </c>
      <c r="F360" s="1">
        <v>85</v>
      </c>
      <c r="G360" s="1">
        <v>94654996</v>
      </c>
      <c r="H360" s="1">
        <v>67</v>
      </c>
      <c r="I360" s="1">
        <v>12.7</v>
      </c>
      <c r="J360" s="1">
        <v>76</v>
      </c>
      <c r="K360" s="1">
        <v>63</v>
      </c>
      <c r="L360" s="1" t="s">
        <v>14</v>
      </c>
    </row>
    <row r="361" spans="1:12" x14ac:dyDescent="0.25">
      <c r="A361" s="1" t="s">
        <v>28</v>
      </c>
      <c r="B361" s="1" t="s">
        <v>29</v>
      </c>
      <c r="C361" s="1">
        <v>2022</v>
      </c>
      <c r="D361" s="7">
        <v>22421</v>
      </c>
      <c r="E361" s="1">
        <v>9.6</v>
      </c>
      <c r="F361" s="1">
        <v>71</v>
      </c>
      <c r="G361" s="1">
        <v>1003413259</v>
      </c>
      <c r="H361" s="1">
        <v>75</v>
      </c>
      <c r="I361" s="1">
        <v>15.9</v>
      </c>
      <c r="J361" s="1">
        <v>97</v>
      </c>
      <c r="K361" s="1">
        <v>53</v>
      </c>
      <c r="L361" s="1" t="s">
        <v>29</v>
      </c>
    </row>
    <row r="362" spans="1:12" x14ac:dyDescent="0.25">
      <c r="A362" s="1" t="s">
        <v>12</v>
      </c>
      <c r="B362" s="1" t="s">
        <v>13</v>
      </c>
      <c r="C362" s="1">
        <v>2022</v>
      </c>
      <c r="D362" s="7">
        <v>5352</v>
      </c>
      <c r="E362" s="1">
        <v>14.2</v>
      </c>
      <c r="F362" s="1">
        <v>67</v>
      </c>
      <c r="G362" s="1">
        <v>414625913</v>
      </c>
      <c r="H362" s="1">
        <v>61</v>
      </c>
      <c r="I362" s="1">
        <v>10.5</v>
      </c>
      <c r="J362" s="1">
        <v>82</v>
      </c>
      <c r="K362" s="1">
        <v>33</v>
      </c>
      <c r="L362" s="1" t="s">
        <v>14</v>
      </c>
    </row>
    <row r="363" spans="1:12" x14ac:dyDescent="0.25">
      <c r="A363" s="1" t="s">
        <v>15</v>
      </c>
      <c r="B363" s="1" t="s">
        <v>16</v>
      </c>
      <c r="C363" s="1">
        <v>2020</v>
      </c>
      <c r="D363" s="7">
        <v>23422</v>
      </c>
      <c r="E363" s="1">
        <v>10.8</v>
      </c>
      <c r="F363" s="1">
        <v>75</v>
      </c>
      <c r="G363" s="1">
        <v>278348910</v>
      </c>
      <c r="H363" s="1">
        <v>86</v>
      </c>
      <c r="I363" s="1">
        <v>23.4</v>
      </c>
      <c r="J363" s="1">
        <v>82</v>
      </c>
      <c r="K363" s="1">
        <v>40</v>
      </c>
      <c r="L363" s="1" t="s">
        <v>16</v>
      </c>
    </row>
    <row r="364" spans="1:12" x14ac:dyDescent="0.25">
      <c r="A364" s="1" t="s">
        <v>17</v>
      </c>
      <c r="B364" s="1" t="s">
        <v>18</v>
      </c>
      <c r="C364" s="1">
        <v>2022</v>
      </c>
      <c r="D364" s="7">
        <v>55688</v>
      </c>
      <c r="E364" s="1">
        <v>15.6</v>
      </c>
      <c r="F364" s="1">
        <v>65</v>
      </c>
      <c r="G364" s="1">
        <v>1183515905</v>
      </c>
      <c r="H364" s="1">
        <v>69</v>
      </c>
      <c r="I364" s="1">
        <v>8.6999999999999993</v>
      </c>
      <c r="J364" s="1">
        <v>96</v>
      </c>
      <c r="K364" s="1">
        <v>79</v>
      </c>
      <c r="L364" s="1" t="s">
        <v>18</v>
      </c>
    </row>
    <row r="365" spans="1:12" x14ac:dyDescent="0.25">
      <c r="A365" s="1" t="s">
        <v>19</v>
      </c>
      <c r="B365" s="1" t="s">
        <v>20</v>
      </c>
      <c r="C365" s="1">
        <v>2021</v>
      </c>
      <c r="D365" s="7">
        <v>52617</v>
      </c>
      <c r="E365" s="1">
        <v>7.3</v>
      </c>
      <c r="F365" s="1">
        <v>68</v>
      </c>
      <c r="G365" s="1">
        <v>360684735</v>
      </c>
      <c r="H365" s="1">
        <v>60</v>
      </c>
      <c r="I365" s="1">
        <v>16.2</v>
      </c>
      <c r="J365" s="1">
        <v>90</v>
      </c>
      <c r="K365" s="1">
        <v>71</v>
      </c>
      <c r="L365" s="1" t="s">
        <v>20</v>
      </c>
    </row>
    <row r="366" spans="1:12" x14ac:dyDescent="0.25">
      <c r="A366" s="1" t="s">
        <v>21</v>
      </c>
      <c r="B366" s="1" t="s">
        <v>22</v>
      </c>
      <c r="C366" s="1">
        <v>2022</v>
      </c>
      <c r="D366" s="7">
        <v>18268</v>
      </c>
      <c r="E366" s="1">
        <v>16.100000000000001</v>
      </c>
      <c r="F366" s="1">
        <v>60</v>
      </c>
      <c r="G366" s="1">
        <v>488893672</v>
      </c>
      <c r="H366" s="1">
        <v>75</v>
      </c>
      <c r="I366" s="1">
        <v>24</v>
      </c>
      <c r="J366" s="1">
        <v>79</v>
      </c>
      <c r="K366" s="1">
        <v>59</v>
      </c>
      <c r="L366" s="1" t="s">
        <v>14</v>
      </c>
    </row>
    <row r="367" spans="1:12" x14ac:dyDescent="0.25">
      <c r="A367" s="1" t="s">
        <v>23</v>
      </c>
      <c r="B367" s="1" t="s">
        <v>18</v>
      </c>
      <c r="C367" s="1">
        <v>2022</v>
      </c>
      <c r="D367" s="7">
        <v>58179</v>
      </c>
      <c r="E367" s="1">
        <v>10.7</v>
      </c>
      <c r="F367" s="1">
        <v>60</v>
      </c>
      <c r="G367" s="1">
        <v>58407393</v>
      </c>
      <c r="H367" s="1">
        <v>78</v>
      </c>
      <c r="I367" s="1">
        <v>14.7</v>
      </c>
      <c r="J367" s="1">
        <v>100</v>
      </c>
      <c r="K367" s="1">
        <v>67</v>
      </c>
      <c r="L367" s="1" t="s">
        <v>18</v>
      </c>
    </row>
    <row r="368" spans="1:12" x14ac:dyDescent="0.25">
      <c r="A368" s="1" t="s">
        <v>24</v>
      </c>
      <c r="B368" s="1" t="s">
        <v>16</v>
      </c>
      <c r="C368" s="1">
        <v>2020</v>
      </c>
      <c r="D368" s="7">
        <v>67212</v>
      </c>
      <c r="E368" s="1">
        <v>10.4</v>
      </c>
      <c r="F368" s="1">
        <v>81</v>
      </c>
      <c r="G368" s="1">
        <v>443057589</v>
      </c>
      <c r="H368" s="1">
        <v>52</v>
      </c>
      <c r="I368" s="1">
        <v>19.899999999999999</v>
      </c>
      <c r="J368" s="1">
        <v>78</v>
      </c>
      <c r="K368" s="1">
        <v>85</v>
      </c>
      <c r="L368" s="1" t="s">
        <v>16</v>
      </c>
    </row>
    <row r="369" spans="1:12" x14ac:dyDescent="0.25">
      <c r="A369" s="1" t="s">
        <v>25</v>
      </c>
      <c r="B369" s="1" t="s">
        <v>26</v>
      </c>
      <c r="C369" s="1">
        <v>2020</v>
      </c>
      <c r="D369" s="7">
        <v>28417</v>
      </c>
      <c r="E369" s="1">
        <v>13.3</v>
      </c>
      <c r="F369" s="1">
        <v>81</v>
      </c>
      <c r="G369" s="1">
        <v>207120040</v>
      </c>
      <c r="H369" s="1">
        <v>83</v>
      </c>
      <c r="I369" s="1">
        <v>15.7</v>
      </c>
      <c r="J369" s="1">
        <v>87</v>
      </c>
      <c r="K369" s="1">
        <v>83</v>
      </c>
      <c r="L369" s="1" t="s">
        <v>26</v>
      </c>
    </row>
    <row r="370" spans="1:12" x14ac:dyDescent="0.25">
      <c r="A370" s="1" t="s">
        <v>27</v>
      </c>
      <c r="B370" s="1" t="s">
        <v>22</v>
      </c>
      <c r="C370" s="1">
        <v>2022</v>
      </c>
      <c r="D370" s="7">
        <v>61755</v>
      </c>
      <c r="E370" s="1">
        <v>6.9</v>
      </c>
      <c r="F370" s="1">
        <v>60</v>
      </c>
      <c r="G370" s="1">
        <v>736063375</v>
      </c>
      <c r="H370" s="1">
        <v>91</v>
      </c>
      <c r="I370" s="1">
        <v>2.6</v>
      </c>
      <c r="J370" s="1">
        <v>81</v>
      </c>
      <c r="K370" s="1">
        <v>71</v>
      </c>
      <c r="L370" s="1" t="s">
        <v>14</v>
      </c>
    </row>
    <row r="371" spans="1:12" x14ac:dyDescent="0.25">
      <c r="A371" s="1" t="s">
        <v>28</v>
      </c>
      <c r="B371" s="1" t="s">
        <v>29</v>
      </c>
      <c r="C371" s="1">
        <v>2020</v>
      </c>
      <c r="D371" s="7">
        <v>52971</v>
      </c>
      <c r="E371" s="1">
        <v>5.0999999999999996</v>
      </c>
      <c r="F371" s="1">
        <v>73</v>
      </c>
      <c r="G371" s="1">
        <v>1361638540</v>
      </c>
      <c r="H371" s="1">
        <v>55</v>
      </c>
      <c r="I371" s="1">
        <v>17.7</v>
      </c>
      <c r="J371" s="1">
        <v>83</v>
      </c>
      <c r="K371" s="1">
        <v>60</v>
      </c>
      <c r="L371" s="1" t="s">
        <v>29</v>
      </c>
    </row>
    <row r="372" spans="1:12" x14ac:dyDescent="0.25">
      <c r="A372" s="1" t="s">
        <v>12</v>
      </c>
      <c r="B372" s="1" t="s">
        <v>13</v>
      </c>
      <c r="C372" s="1">
        <v>2022</v>
      </c>
      <c r="D372" s="7">
        <v>65719</v>
      </c>
      <c r="E372" s="1">
        <v>15.9</v>
      </c>
      <c r="F372" s="1">
        <v>80</v>
      </c>
      <c r="G372" s="1">
        <v>998891419</v>
      </c>
      <c r="H372" s="1">
        <v>51</v>
      </c>
      <c r="I372" s="1">
        <v>20.2</v>
      </c>
      <c r="J372" s="1">
        <v>91</v>
      </c>
      <c r="K372" s="1">
        <v>32</v>
      </c>
      <c r="L372" s="1" t="s">
        <v>14</v>
      </c>
    </row>
    <row r="373" spans="1:12" x14ac:dyDescent="0.25">
      <c r="A373" s="1" t="s">
        <v>15</v>
      </c>
      <c r="B373" s="1" t="s">
        <v>16</v>
      </c>
      <c r="C373" s="1">
        <v>2022</v>
      </c>
      <c r="D373" s="7">
        <v>23935</v>
      </c>
      <c r="E373" s="1">
        <v>10.5</v>
      </c>
      <c r="F373" s="1">
        <v>75</v>
      </c>
      <c r="G373" s="1">
        <v>461110423</v>
      </c>
      <c r="H373" s="1">
        <v>57</v>
      </c>
      <c r="I373" s="1">
        <v>9.6</v>
      </c>
      <c r="J373" s="1">
        <v>98</v>
      </c>
      <c r="K373" s="1">
        <v>39</v>
      </c>
      <c r="L373" s="1" t="s">
        <v>16</v>
      </c>
    </row>
    <row r="374" spans="1:12" x14ac:dyDescent="0.25">
      <c r="A374" s="1" t="s">
        <v>17</v>
      </c>
      <c r="B374" s="1" t="s">
        <v>18</v>
      </c>
      <c r="C374" s="1">
        <v>2022</v>
      </c>
      <c r="D374" s="7">
        <v>27508</v>
      </c>
      <c r="E374" s="1">
        <v>4.5999999999999996</v>
      </c>
      <c r="F374" s="1">
        <v>72</v>
      </c>
      <c r="G374" s="1">
        <v>725536174</v>
      </c>
      <c r="H374" s="1">
        <v>81</v>
      </c>
      <c r="I374" s="1">
        <v>3.5</v>
      </c>
      <c r="J374" s="1">
        <v>73</v>
      </c>
      <c r="K374" s="1">
        <v>65</v>
      </c>
      <c r="L374" s="1" t="s">
        <v>18</v>
      </c>
    </row>
    <row r="375" spans="1:12" x14ac:dyDescent="0.25">
      <c r="A375" s="1" t="s">
        <v>19</v>
      </c>
      <c r="B375" s="1" t="s">
        <v>20</v>
      </c>
      <c r="C375" s="1">
        <v>2021</v>
      </c>
      <c r="D375" s="7">
        <v>67905</v>
      </c>
      <c r="E375" s="1">
        <v>9.6</v>
      </c>
      <c r="F375" s="1">
        <v>78</v>
      </c>
      <c r="G375" s="1">
        <v>967550619</v>
      </c>
      <c r="H375" s="1">
        <v>88</v>
      </c>
      <c r="I375" s="1">
        <v>12.8</v>
      </c>
      <c r="J375" s="1">
        <v>93</v>
      </c>
      <c r="K375" s="1">
        <v>44</v>
      </c>
      <c r="L375" s="1" t="s">
        <v>20</v>
      </c>
    </row>
    <row r="376" spans="1:12" x14ac:dyDescent="0.25">
      <c r="A376" s="1" t="s">
        <v>21</v>
      </c>
      <c r="B376" s="1" t="s">
        <v>22</v>
      </c>
      <c r="C376" s="1">
        <v>2020</v>
      </c>
      <c r="D376" s="7">
        <v>13503</v>
      </c>
      <c r="E376" s="1">
        <v>4.7</v>
      </c>
      <c r="F376" s="1">
        <v>81</v>
      </c>
      <c r="G376" s="1">
        <v>236743613</v>
      </c>
      <c r="H376" s="1">
        <v>81</v>
      </c>
      <c r="I376" s="1">
        <v>20.2</v>
      </c>
      <c r="J376" s="1">
        <v>71</v>
      </c>
      <c r="K376" s="1">
        <v>71</v>
      </c>
      <c r="L376" s="1" t="s">
        <v>14</v>
      </c>
    </row>
    <row r="377" spans="1:12" x14ac:dyDescent="0.25">
      <c r="A377" s="1" t="s">
        <v>23</v>
      </c>
      <c r="B377" s="1" t="s">
        <v>18</v>
      </c>
      <c r="C377" s="1">
        <v>2020</v>
      </c>
      <c r="D377" s="7">
        <v>3780</v>
      </c>
      <c r="E377" s="1">
        <v>3</v>
      </c>
      <c r="F377" s="1">
        <v>78</v>
      </c>
      <c r="G377" s="1">
        <v>212496804</v>
      </c>
      <c r="H377" s="1">
        <v>75</v>
      </c>
      <c r="I377" s="1">
        <v>13.1</v>
      </c>
      <c r="J377" s="1">
        <v>77</v>
      </c>
      <c r="K377" s="1">
        <v>48</v>
      </c>
      <c r="L377" s="1" t="s">
        <v>18</v>
      </c>
    </row>
    <row r="378" spans="1:12" x14ac:dyDescent="0.25">
      <c r="A378" s="1" t="s">
        <v>24</v>
      </c>
      <c r="B378" s="1" t="s">
        <v>16</v>
      </c>
      <c r="C378" s="1">
        <v>2020</v>
      </c>
      <c r="D378" s="7">
        <v>6049</v>
      </c>
      <c r="E378" s="1">
        <v>14.3</v>
      </c>
      <c r="F378" s="1">
        <v>74</v>
      </c>
      <c r="G378" s="1">
        <v>61857679</v>
      </c>
      <c r="H378" s="1">
        <v>85</v>
      </c>
      <c r="I378" s="1">
        <v>23.1</v>
      </c>
      <c r="J378" s="1">
        <v>97</v>
      </c>
      <c r="K378" s="1">
        <v>37</v>
      </c>
      <c r="L378" s="1" t="s">
        <v>16</v>
      </c>
    </row>
    <row r="379" spans="1:12" x14ac:dyDescent="0.25">
      <c r="A379" s="1" t="s">
        <v>25</v>
      </c>
      <c r="B379" s="1" t="s">
        <v>26</v>
      </c>
      <c r="C379" s="1">
        <v>2022</v>
      </c>
      <c r="D379" s="7">
        <v>8851</v>
      </c>
      <c r="E379" s="1">
        <v>12</v>
      </c>
      <c r="F379" s="1">
        <v>78</v>
      </c>
      <c r="G379" s="1">
        <v>946720689</v>
      </c>
      <c r="H379" s="1">
        <v>92</v>
      </c>
      <c r="I379" s="1">
        <v>10.5</v>
      </c>
      <c r="J379" s="1">
        <v>91</v>
      </c>
      <c r="K379" s="1">
        <v>43</v>
      </c>
      <c r="L379" s="1" t="s">
        <v>26</v>
      </c>
    </row>
    <row r="380" spans="1:12" x14ac:dyDescent="0.25">
      <c r="A380" s="1" t="s">
        <v>27</v>
      </c>
      <c r="B380" s="1" t="s">
        <v>22</v>
      </c>
      <c r="C380" s="1">
        <v>2020</v>
      </c>
      <c r="D380" s="7">
        <v>14242</v>
      </c>
      <c r="E380" s="1">
        <v>5</v>
      </c>
      <c r="F380" s="1">
        <v>84</v>
      </c>
      <c r="G380" s="1">
        <v>1205376478</v>
      </c>
      <c r="H380" s="1">
        <v>81</v>
      </c>
      <c r="I380" s="1">
        <v>7.1</v>
      </c>
      <c r="J380" s="1">
        <v>87</v>
      </c>
      <c r="K380" s="1">
        <v>84</v>
      </c>
      <c r="L380" s="1" t="s">
        <v>14</v>
      </c>
    </row>
    <row r="381" spans="1:12" x14ac:dyDescent="0.25">
      <c r="A381" s="1" t="s">
        <v>28</v>
      </c>
      <c r="B381" s="1" t="s">
        <v>29</v>
      </c>
      <c r="C381" s="1">
        <v>2020</v>
      </c>
      <c r="D381" s="7">
        <v>19980</v>
      </c>
      <c r="E381" s="1">
        <v>3.4</v>
      </c>
      <c r="F381" s="1">
        <v>67</v>
      </c>
      <c r="G381" s="1">
        <v>392211162</v>
      </c>
      <c r="H381" s="1">
        <v>53</v>
      </c>
      <c r="I381" s="1">
        <v>17.5</v>
      </c>
      <c r="J381" s="1">
        <v>73</v>
      </c>
      <c r="K381" s="1">
        <v>88</v>
      </c>
      <c r="L381" s="1" t="s">
        <v>29</v>
      </c>
    </row>
    <row r="382" spans="1:12" x14ac:dyDescent="0.25">
      <c r="A382" s="1" t="s">
        <v>12</v>
      </c>
      <c r="B382" s="1" t="s">
        <v>13</v>
      </c>
      <c r="C382" s="1">
        <v>2020</v>
      </c>
      <c r="D382" s="7">
        <v>68223</v>
      </c>
      <c r="E382" s="1">
        <v>3.2</v>
      </c>
      <c r="F382" s="1">
        <v>72</v>
      </c>
      <c r="G382" s="1">
        <v>189284618</v>
      </c>
      <c r="H382" s="1">
        <v>58</v>
      </c>
      <c r="I382" s="1">
        <v>3.1</v>
      </c>
      <c r="J382" s="1">
        <v>82</v>
      </c>
      <c r="K382" s="1">
        <v>40</v>
      </c>
      <c r="L382" s="1" t="s">
        <v>14</v>
      </c>
    </row>
    <row r="383" spans="1:12" x14ac:dyDescent="0.25">
      <c r="A383" s="1" t="s">
        <v>15</v>
      </c>
      <c r="B383" s="1" t="s">
        <v>16</v>
      </c>
      <c r="C383" s="1">
        <v>2022</v>
      </c>
      <c r="D383" s="7">
        <v>65750</v>
      </c>
      <c r="E383" s="1">
        <v>13.4</v>
      </c>
      <c r="F383" s="1">
        <v>72</v>
      </c>
      <c r="G383" s="1">
        <v>705030364</v>
      </c>
      <c r="H383" s="1">
        <v>71</v>
      </c>
      <c r="I383" s="1">
        <v>9</v>
      </c>
      <c r="J383" s="1">
        <v>89</v>
      </c>
      <c r="K383" s="1">
        <v>46</v>
      </c>
      <c r="L383" s="1" t="s">
        <v>16</v>
      </c>
    </row>
    <row r="384" spans="1:12" x14ac:dyDescent="0.25">
      <c r="A384" s="1" t="s">
        <v>17</v>
      </c>
      <c r="B384" s="1" t="s">
        <v>18</v>
      </c>
      <c r="C384" s="1">
        <v>2020</v>
      </c>
      <c r="D384" s="7">
        <v>27111</v>
      </c>
      <c r="E384" s="1">
        <v>14.4</v>
      </c>
      <c r="F384" s="1">
        <v>82</v>
      </c>
      <c r="G384" s="1">
        <v>1059301565</v>
      </c>
      <c r="H384" s="1">
        <v>53</v>
      </c>
      <c r="I384" s="1">
        <v>5.0999999999999996</v>
      </c>
      <c r="J384" s="1">
        <v>97</v>
      </c>
      <c r="K384" s="1">
        <v>53</v>
      </c>
      <c r="L384" s="1" t="s">
        <v>18</v>
      </c>
    </row>
    <row r="385" spans="1:12" x14ac:dyDescent="0.25">
      <c r="A385" s="1" t="s">
        <v>19</v>
      </c>
      <c r="B385" s="1" t="s">
        <v>20</v>
      </c>
      <c r="C385" s="1">
        <v>2022</v>
      </c>
      <c r="D385" s="7">
        <v>8980</v>
      </c>
      <c r="E385" s="1">
        <v>13.3</v>
      </c>
      <c r="F385" s="1">
        <v>84</v>
      </c>
      <c r="G385" s="1">
        <v>324191940</v>
      </c>
      <c r="H385" s="1">
        <v>82</v>
      </c>
      <c r="I385" s="1">
        <v>11.5</v>
      </c>
      <c r="J385" s="1">
        <v>75</v>
      </c>
      <c r="K385" s="1">
        <v>83</v>
      </c>
      <c r="L385" s="1" t="s">
        <v>20</v>
      </c>
    </row>
    <row r="386" spans="1:12" x14ac:dyDescent="0.25">
      <c r="A386" s="1" t="s">
        <v>21</v>
      </c>
      <c r="B386" s="1" t="s">
        <v>22</v>
      </c>
      <c r="C386" s="1">
        <v>2020</v>
      </c>
      <c r="D386" s="7">
        <v>46639</v>
      </c>
      <c r="E386" s="1">
        <v>8.9</v>
      </c>
      <c r="F386" s="1">
        <v>84</v>
      </c>
      <c r="G386" s="1">
        <v>1499869837</v>
      </c>
      <c r="H386" s="1">
        <v>69</v>
      </c>
      <c r="I386" s="1">
        <v>21.1</v>
      </c>
      <c r="J386" s="1">
        <v>84</v>
      </c>
      <c r="K386" s="1">
        <v>47</v>
      </c>
      <c r="L386" s="1" t="s">
        <v>14</v>
      </c>
    </row>
    <row r="387" spans="1:12" x14ac:dyDescent="0.25">
      <c r="A387" s="1" t="s">
        <v>23</v>
      </c>
      <c r="B387" s="1" t="s">
        <v>18</v>
      </c>
      <c r="C387" s="1">
        <v>2021</v>
      </c>
      <c r="D387" s="7">
        <v>23918</v>
      </c>
      <c r="E387" s="1">
        <v>10</v>
      </c>
      <c r="F387" s="1">
        <v>74</v>
      </c>
      <c r="G387" s="1">
        <v>844049896</v>
      </c>
      <c r="H387" s="1">
        <v>76</v>
      </c>
      <c r="I387" s="1">
        <v>15.5</v>
      </c>
      <c r="J387" s="1">
        <v>93</v>
      </c>
      <c r="K387" s="1">
        <v>49</v>
      </c>
      <c r="L387" s="1" t="s">
        <v>18</v>
      </c>
    </row>
    <row r="388" spans="1:12" x14ac:dyDescent="0.25">
      <c r="A388" s="1" t="s">
        <v>24</v>
      </c>
      <c r="B388" s="1" t="s">
        <v>16</v>
      </c>
      <c r="C388" s="1">
        <v>2022</v>
      </c>
      <c r="D388" s="7">
        <v>59228</v>
      </c>
      <c r="E388" s="1">
        <v>8.8000000000000007</v>
      </c>
      <c r="F388" s="1">
        <v>66</v>
      </c>
      <c r="G388" s="1">
        <v>96035002</v>
      </c>
      <c r="H388" s="1">
        <v>76</v>
      </c>
      <c r="I388" s="1">
        <v>21.8</v>
      </c>
      <c r="J388" s="1">
        <v>89</v>
      </c>
      <c r="K388" s="1">
        <v>74</v>
      </c>
      <c r="L388" s="1" t="s">
        <v>16</v>
      </c>
    </row>
    <row r="389" spans="1:12" x14ac:dyDescent="0.25">
      <c r="A389" s="1" t="s">
        <v>25</v>
      </c>
      <c r="B389" s="1" t="s">
        <v>26</v>
      </c>
      <c r="C389" s="1">
        <v>2022</v>
      </c>
      <c r="D389" s="7">
        <v>28349</v>
      </c>
      <c r="E389" s="1">
        <v>7</v>
      </c>
      <c r="F389" s="1">
        <v>61</v>
      </c>
      <c r="G389" s="1">
        <v>421151082</v>
      </c>
      <c r="H389" s="1">
        <v>93</v>
      </c>
      <c r="I389" s="1">
        <v>19</v>
      </c>
      <c r="J389" s="1">
        <v>74</v>
      </c>
      <c r="K389" s="1">
        <v>47</v>
      </c>
      <c r="L389" s="1" t="s">
        <v>26</v>
      </c>
    </row>
    <row r="390" spans="1:12" x14ac:dyDescent="0.25">
      <c r="A390" s="1" t="s">
        <v>27</v>
      </c>
      <c r="B390" s="1" t="s">
        <v>22</v>
      </c>
      <c r="C390" s="1">
        <v>2022</v>
      </c>
      <c r="D390" s="7">
        <v>34011</v>
      </c>
      <c r="E390" s="1">
        <v>7.9</v>
      </c>
      <c r="F390" s="1">
        <v>63</v>
      </c>
      <c r="G390" s="1">
        <v>454896118</v>
      </c>
      <c r="H390" s="1">
        <v>59</v>
      </c>
      <c r="I390" s="1">
        <v>23.1</v>
      </c>
      <c r="J390" s="1">
        <v>79</v>
      </c>
      <c r="K390" s="1">
        <v>31</v>
      </c>
      <c r="L390" s="1" t="s">
        <v>14</v>
      </c>
    </row>
    <row r="391" spans="1:12" x14ac:dyDescent="0.25">
      <c r="A391" s="1" t="s">
        <v>28</v>
      </c>
      <c r="B391" s="1" t="s">
        <v>29</v>
      </c>
      <c r="C391" s="1">
        <v>2020</v>
      </c>
      <c r="D391" s="7">
        <v>19879</v>
      </c>
      <c r="E391" s="1">
        <v>10.5</v>
      </c>
      <c r="F391" s="1">
        <v>66</v>
      </c>
      <c r="G391" s="1">
        <v>876409362</v>
      </c>
      <c r="H391" s="1">
        <v>90</v>
      </c>
      <c r="I391" s="1">
        <v>23.3</v>
      </c>
      <c r="J391" s="1">
        <v>79</v>
      </c>
      <c r="K391" s="1">
        <v>70</v>
      </c>
      <c r="L391" s="1" t="s">
        <v>29</v>
      </c>
    </row>
    <row r="392" spans="1:12" x14ac:dyDescent="0.25">
      <c r="A392" s="1" t="s">
        <v>12</v>
      </c>
      <c r="B392" s="1" t="s">
        <v>13</v>
      </c>
      <c r="C392" s="1">
        <v>2020</v>
      </c>
      <c r="D392" s="7">
        <v>40859</v>
      </c>
      <c r="E392" s="1">
        <v>4.9000000000000004</v>
      </c>
      <c r="F392" s="1">
        <v>70</v>
      </c>
      <c r="G392" s="1">
        <v>1265409244</v>
      </c>
      <c r="H392" s="1">
        <v>69</v>
      </c>
      <c r="I392" s="1">
        <v>14.4</v>
      </c>
      <c r="J392" s="1">
        <v>86</v>
      </c>
      <c r="K392" s="1">
        <v>33</v>
      </c>
      <c r="L392" s="1" t="s">
        <v>14</v>
      </c>
    </row>
    <row r="393" spans="1:12" x14ac:dyDescent="0.25">
      <c r="A393" s="1" t="s">
        <v>15</v>
      </c>
      <c r="B393" s="1" t="s">
        <v>16</v>
      </c>
      <c r="C393" s="1">
        <v>2021</v>
      </c>
      <c r="D393" s="7">
        <v>3658</v>
      </c>
      <c r="E393" s="1">
        <v>16.2</v>
      </c>
      <c r="F393" s="1">
        <v>85</v>
      </c>
      <c r="G393" s="1">
        <v>1353066187</v>
      </c>
      <c r="H393" s="1">
        <v>80</v>
      </c>
      <c r="I393" s="1">
        <v>3.6</v>
      </c>
      <c r="J393" s="1">
        <v>84</v>
      </c>
      <c r="K393" s="1">
        <v>70</v>
      </c>
      <c r="L393" s="1" t="s">
        <v>16</v>
      </c>
    </row>
    <row r="394" spans="1:12" x14ac:dyDescent="0.25">
      <c r="A394" s="1" t="s">
        <v>17</v>
      </c>
      <c r="B394" s="1" t="s">
        <v>18</v>
      </c>
      <c r="C394" s="1">
        <v>2021</v>
      </c>
      <c r="D394" s="7">
        <v>28472</v>
      </c>
      <c r="E394" s="1">
        <v>9.1</v>
      </c>
      <c r="F394" s="1">
        <v>80</v>
      </c>
      <c r="G394" s="1">
        <v>1068064073</v>
      </c>
      <c r="H394" s="1">
        <v>59</v>
      </c>
      <c r="I394" s="1">
        <v>12.8</v>
      </c>
      <c r="J394" s="1">
        <v>71</v>
      </c>
      <c r="K394" s="1">
        <v>86</v>
      </c>
      <c r="L394" s="1" t="s">
        <v>18</v>
      </c>
    </row>
    <row r="395" spans="1:12" x14ac:dyDescent="0.25">
      <c r="A395" s="1" t="s">
        <v>19</v>
      </c>
      <c r="B395" s="1" t="s">
        <v>20</v>
      </c>
      <c r="C395" s="1">
        <v>2022</v>
      </c>
      <c r="D395" s="7">
        <v>57516</v>
      </c>
      <c r="E395" s="1">
        <v>13.8</v>
      </c>
      <c r="F395" s="1">
        <v>76</v>
      </c>
      <c r="G395" s="1">
        <v>536204215</v>
      </c>
      <c r="H395" s="1">
        <v>75</v>
      </c>
      <c r="I395" s="1">
        <v>24.3</v>
      </c>
      <c r="J395" s="1">
        <v>75</v>
      </c>
      <c r="K395" s="1">
        <v>47</v>
      </c>
      <c r="L395" s="1" t="s">
        <v>20</v>
      </c>
    </row>
    <row r="396" spans="1:12" x14ac:dyDescent="0.25">
      <c r="A396" s="1" t="s">
        <v>21</v>
      </c>
      <c r="B396" s="1" t="s">
        <v>22</v>
      </c>
      <c r="C396" s="1">
        <v>2020</v>
      </c>
      <c r="D396" s="7">
        <v>2363</v>
      </c>
      <c r="E396" s="1">
        <v>6</v>
      </c>
      <c r="F396" s="1">
        <v>79</v>
      </c>
      <c r="G396" s="1">
        <v>680837925</v>
      </c>
      <c r="H396" s="1">
        <v>65</v>
      </c>
      <c r="I396" s="1">
        <v>21.8</v>
      </c>
      <c r="J396" s="1">
        <v>100</v>
      </c>
      <c r="K396" s="1">
        <v>90</v>
      </c>
      <c r="L396" s="1" t="s">
        <v>14</v>
      </c>
    </row>
    <row r="397" spans="1:12" x14ac:dyDescent="0.25">
      <c r="A397" s="1" t="s">
        <v>23</v>
      </c>
      <c r="B397" s="1" t="s">
        <v>18</v>
      </c>
      <c r="C397" s="1">
        <v>2020</v>
      </c>
      <c r="D397" s="7">
        <v>7995</v>
      </c>
      <c r="E397" s="1">
        <v>15</v>
      </c>
      <c r="F397" s="1">
        <v>76</v>
      </c>
      <c r="G397" s="1">
        <v>45891353</v>
      </c>
      <c r="H397" s="1">
        <v>89</v>
      </c>
      <c r="I397" s="1">
        <v>3.1</v>
      </c>
      <c r="J397" s="1">
        <v>72</v>
      </c>
      <c r="K397" s="1">
        <v>81</v>
      </c>
      <c r="L397" s="1" t="s">
        <v>18</v>
      </c>
    </row>
    <row r="398" spans="1:12" x14ac:dyDescent="0.25">
      <c r="A398" s="1" t="s">
        <v>24</v>
      </c>
      <c r="B398" s="1" t="s">
        <v>16</v>
      </c>
      <c r="C398" s="1">
        <v>2022</v>
      </c>
      <c r="D398" s="7">
        <v>16460</v>
      </c>
      <c r="E398" s="1">
        <v>11.6</v>
      </c>
      <c r="F398" s="1">
        <v>62</v>
      </c>
      <c r="G398" s="1">
        <v>944538253</v>
      </c>
      <c r="H398" s="1">
        <v>63</v>
      </c>
      <c r="I398" s="1">
        <v>10.6</v>
      </c>
      <c r="J398" s="1">
        <v>93</v>
      </c>
      <c r="K398" s="1">
        <v>56</v>
      </c>
      <c r="L398" s="1" t="s">
        <v>16</v>
      </c>
    </row>
    <row r="399" spans="1:12" x14ac:dyDescent="0.25">
      <c r="A399" s="1" t="s">
        <v>25</v>
      </c>
      <c r="B399" s="1" t="s">
        <v>26</v>
      </c>
      <c r="C399" s="1">
        <v>2020</v>
      </c>
      <c r="D399" s="7">
        <v>50989</v>
      </c>
      <c r="E399" s="1">
        <v>7.2</v>
      </c>
      <c r="F399" s="1">
        <v>74</v>
      </c>
      <c r="G399" s="1">
        <v>1444144732</v>
      </c>
      <c r="H399" s="1">
        <v>54</v>
      </c>
      <c r="I399" s="1">
        <v>18.2</v>
      </c>
      <c r="J399" s="1">
        <v>83</v>
      </c>
      <c r="K399" s="1">
        <v>35</v>
      </c>
      <c r="L399" s="1" t="s">
        <v>26</v>
      </c>
    </row>
    <row r="400" spans="1:12" x14ac:dyDescent="0.25">
      <c r="A400" s="1" t="s">
        <v>27</v>
      </c>
      <c r="B400" s="1" t="s">
        <v>22</v>
      </c>
      <c r="C400" s="1">
        <v>2021</v>
      </c>
      <c r="D400" s="7">
        <v>46887</v>
      </c>
      <c r="E400" s="1">
        <v>16.8</v>
      </c>
      <c r="F400" s="1">
        <v>72</v>
      </c>
      <c r="G400" s="1">
        <v>983193431</v>
      </c>
      <c r="H400" s="1">
        <v>58</v>
      </c>
      <c r="I400" s="1">
        <v>6</v>
      </c>
      <c r="J400" s="1">
        <v>79</v>
      </c>
      <c r="K400" s="1">
        <v>44</v>
      </c>
      <c r="L400" s="1" t="s">
        <v>14</v>
      </c>
    </row>
    <row r="401" spans="1:12" x14ac:dyDescent="0.25">
      <c r="A401" s="1" t="s">
        <v>28</v>
      </c>
      <c r="B401" s="1" t="s">
        <v>29</v>
      </c>
      <c r="C401" s="1">
        <v>2021</v>
      </c>
      <c r="D401" s="7">
        <v>42307</v>
      </c>
      <c r="E401" s="1">
        <v>7.7</v>
      </c>
      <c r="F401" s="1">
        <v>71</v>
      </c>
      <c r="G401" s="1">
        <v>2676624</v>
      </c>
      <c r="H401" s="1">
        <v>92</v>
      </c>
      <c r="I401" s="1">
        <v>17.2</v>
      </c>
      <c r="J401" s="1">
        <v>97</v>
      </c>
      <c r="K401" s="1">
        <v>89</v>
      </c>
      <c r="L401" s="1" t="s">
        <v>29</v>
      </c>
    </row>
    <row r="402" spans="1:12" x14ac:dyDescent="0.25">
      <c r="A402" s="1" t="s">
        <v>12</v>
      </c>
      <c r="B402" s="1" t="s">
        <v>13</v>
      </c>
      <c r="C402" s="1">
        <v>2021</v>
      </c>
      <c r="D402" s="7">
        <v>46124</v>
      </c>
      <c r="E402" s="1">
        <v>11.2</v>
      </c>
      <c r="F402" s="1">
        <v>78</v>
      </c>
      <c r="G402" s="1">
        <v>774704291</v>
      </c>
      <c r="H402" s="1">
        <v>51</v>
      </c>
      <c r="I402" s="1">
        <v>11.2</v>
      </c>
      <c r="J402" s="1">
        <v>88</v>
      </c>
      <c r="K402" s="1">
        <v>69</v>
      </c>
      <c r="L402" s="1" t="s">
        <v>14</v>
      </c>
    </row>
    <row r="403" spans="1:12" x14ac:dyDescent="0.25">
      <c r="A403" s="1" t="s">
        <v>15</v>
      </c>
      <c r="B403" s="1" t="s">
        <v>16</v>
      </c>
      <c r="C403" s="1">
        <v>2020</v>
      </c>
      <c r="D403" s="7">
        <v>66404</v>
      </c>
      <c r="E403" s="1">
        <v>13.5</v>
      </c>
      <c r="F403" s="1">
        <v>75</v>
      </c>
      <c r="G403" s="1">
        <v>425886178</v>
      </c>
      <c r="H403" s="1">
        <v>64</v>
      </c>
      <c r="I403" s="1">
        <v>15.6</v>
      </c>
      <c r="J403" s="1">
        <v>79</v>
      </c>
      <c r="K403" s="1">
        <v>74</v>
      </c>
      <c r="L403" s="1" t="s">
        <v>16</v>
      </c>
    </row>
    <row r="404" spans="1:12" x14ac:dyDescent="0.25">
      <c r="A404" s="1" t="s">
        <v>17</v>
      </c>
      <c r="B404" s="1" t="s">
        <v>18</v>
      </c>
      <c r="C404" s="1">
        <v>2020</v>
      </c>
      <c r="D404" s="7">
        <v>67637</v>
      </c>
      <c r="E404" s="1">
        <v>9.8000000000000007</v>
      </c>
      <c r="F404" s="1">
        <v>82</v>
      </c>
      <c r="G404" s="1">
        <v>1122339088</v>
      </c>
      <c r="H404" s="1">
        <v>52</v>
      </c>
      <c r="I404" s="1">
        <v>23.4</v>
      </c>
      <c r="J404" s="1">
        <v>85</v>
      </c>
      <c r="K404" s="1">
        <v>86</v>
      </c>
      <c r="L404" s="1" t="s">
        <v>18</v>
      </c>
    </row>
    <row r="405" spans="1:12" x14ac:dyDescent="0.25">
      <c r="A405" s="1" t="s">
        <v>19</v>
      </c>
      <c r="B405" s="1" t="s">
        <v>20</v>
      </c>
      <c r="C405" s="1">
        <v>2020</v>
      </c>
      <c r="D405" s="7">
        <v>55986</v>
      </c>
      <c r="E405" s="1">
        <v>15</v>
      </c>
      <c r="F405" s="1">
        <v>73</v>
      </c>
      <c r="G405" s="1">
        <v>628325803</v>
      </c>
      <c r="H405" s="1">
        <v>66</v>
      </c>
      <c r="I405" s="1">
        <v>8.1999999999999993</v>
      </c>
      <c r="J405" s="1">
        <v>85</v>
      </c>
      <c r="K405" s="1">
        <v>46</v>
      </c>
      <c r="L405" s="1" t="s">
        <v>20</v>
      </c>
    </row>
    <row r="406" spans="1:12" x14ac:dyDescent="0.25">
      <c r="A406" s="1" t="s">
        <v>21</v>
      </c>
      <c r="B406" s="1" t="s">
        <v>22</v>
      </c>
      <c r="C406" s="1">
        <v>2021</v>
      </c>
      <c r="D406" s="7">
        <v>39651</v>
      </c>
      <c r="E406" s="1">
        <v>3.1</v>
      </c>
      <c r="F406" s="1">
        <v>64</v>
      </c>
      <c r="G406" s="1">
        <v>166171553</v>
      </c>
      <c r="H406" s="1">
        <v>53</v>
      </c>
      <c r="I406" s="1">
        <v>23.5</v>
      </c>
      <c r="J406" s="1">
        <v>74</v>
      </c>
      <c r="K406" s="1">
        <v>37</v>
      </c>
      <c r="L406" s="1" t="s">
        <v>14</v>
      </c>
    </row>
    <row r="407" spans="1:12" x14ac:dyDescent="0.25">
      <c r="A407" s="1" t="s">
        <v>23</v>
      </c>
      <c r="B407" s="1" t="s">
        <v>18</v>
      </c>
      <c r="C407" s="1">
        <v>2021</v>
      </c>
      <c r="D407" s="7">
        <v>2362</v>
      </c>
      <c r="E407" s="1">
        <v>8.8000000000000007</v>
      </c>
      <c r="F407" s="1">
        <v>63</v>
      </c>
      <c r="G407" s="1">
        <v>937189115</v>
      </c>
      <c r="H407" s="1">
        <v>85</v>
      </c>
      <c r="I407" s="1">
        <v>20.100000000000001</v>
      </c>
      <c r="J407" s="1">
        <v>95</v>
      </c>
      <c r="K407" s="1">
        <v>62</v>
      </c>
      <c r="L407" s="1" t="s">
        <v>18</v>
      </c>
    </row>
    <row r="408" spans="1:12" x14ac:dyDescent="0.25">
      <c r="A408" s="1" t="s">
        <v>24</v>
      </c>
      <c r="B408" s="1" t="s">
        <v>16</v>
      </c>
      <c r="C408" s="1">
        <v>2021</v>
      </c>
      <c r="D408" s="7">
        <v>42932</v>
      </c>
      <c r="E408" s="1">
        <v>13.2</v>
      </c>
      <c r="F408" s="1">
        <v>84</v>
      </c>
      <c r="G408" s="1">
        <v>1362571651</v>
      </c>
      <c r="H408" s="1">
        <v>78</v>
      </c>
      <c r="I408" s="1">
        <v>8.4</v>
      </c>
      <c r="J408" s="1">
        <v>76</v>
      </c>
      <c r="K408" s="1">
        <v>69</v>
      </c>
      <c r="L408" s="1" t="s">
        <v>16</v>
      </c>
    </row>
    <row r="409" spans="1:12" x14ac:dyDescent="0.25">
      <c r="A409" s="1" t="s">
        <v>25</v>
      </c>
      <c r="B409" s="1" t="s">
        <v>26</v>
      </c>
      <c r="C409" s="1">
        <v>2021</v>
      </c>
      <c r="D409" s="7">
        <v>16882</v>
      </c>
      <c r="E409" s="1">
        <v>3.3</v>
      </c>
      <c r="F409" s="1">
        <v>66</v>
      </c>
      <c r="G409" s="1">
        <v>11015019</v>
      </c>
      <c r="H409" s="1">
        <v>68</v>
      </c>
      <c r="I409" s="1">
        <v>11</v>
      </c>
      <c r="J409" s="1">
        <v>100</v>
      </c>
      <c r="K409" s="1">
        <v>52</v>
      </c>
      <c r="L409" s="1" t="s">
        <v>26</v>
      </c>
    </row>
    <row r="410" spans="1:12" x14ac:dyDescent="0.25">
      <c r="A410" s="1" t="s">
        <v>27</v>
      </c>
      <c r="B410" s="1" t="s">
        <v>22</v>
      </c>
      <c r="C410" s="1">
        <v>2021</v>
      </c>
      <c r="D410" s="7">
        <v>2094</v>
      </c>
      <c r="E410" s="1">
        <v>13.3</v>
      </c>
      <c r="F410" s="1">
        <v>82</v>
      </c>
      <c r="G410" s="1">
        <v>516523945</v>
      </c>
      <c r="H410" s="1">
        <v>89</v>
      </c>
      <c r="I410" s="1">
        <v>20.8</v>
      </c>
      <c r="J410" s="1">
        <v>81</v>
      </c>
      <c r="K410" s="1">
        <v>74</v>
      </c>
      <c r="L410" s="1" t="s">
        <v>14</v>
      </c>
    </row>
    <row r="411" spans="1:12" x14ac:dyDescent="0.25">
      <c r="A411" s="1" t="s">
        <v>28</v>
      </c>
      <c r="B411" s="1" t="s">
        <v>29</v>
      </c>
      <c r="C411" s="1">
        <v>2021</v>
      </c>
      <c r="D411" s="7">
        <v>22724</v>
      </c>
      <c r="E411" s="1">
        <v>8.1999999999999993</v>
      </c>
      <c r="F411" s="1">
        <v>79</v>
      </c>
      <c r="G411" s="1">
        <v>1382133853</v>
      </c>
      <c r="H411" s="1">
        <v>51</v>
      </c>
      <c r="I411" s="1">
        <v>13.3</v>
      </c>
      <c r="J411" s="1">
        <v>88</v>
      </c>
      <c r="K411" s="1">
        <v>38</v>
      </c>
      <c r="L411" s="1" t="s">
        <v>29</v>
      </c>
    </row>
    <row r="412" spans="1:12" x14ac:dyDescent="0.25">
      <c r="A412" s="1" t="s">
        <v>12</v>
      </c>
      <c r="B412" s="1" t="s">
        <v>13</v>
      </c>
      <c r="C412" s="1">
        <v>2020</v>
      </c>
      <c r="D412" s="7">
        <v>40243</v>
      </c>
      <c r="E412" s="1">
        <v>9</v>
      </c>
      <c r="F412" s="1">
        <v>66</v>
      </c>
      <c r="G412" s="1">
        <v>1434235431</v>
      </c>
      <c r="H412" s="1">
        <v>76</v>
      </c>
      <c r="I412" s="1">
        <v>15.8</v>
      </c>
      <c r="J412" s="1">
        <v>72</v>
      </c>
      <c r="K412" s="1">
        <v>53</v>
      </c>
      <c r="L412" s="1" t="s">
        <v>14</v>
      </c>
    </row>
    <row r="413" spans="1:12" x14ac:dyDescent="0.25">
      <c r="A413" s="1" t="s">
        <v>15</v>
      </c>
      <c r="B413" s="1" t="s">
        <v>16</v>
      </c>
      <c r="C413" s="1">
        <v>2021</v>
      </c>
      <c r="D413" s="7">
        <v>27636</v>
      </c>
      <c r="E413" s="1">
        <v>16.100000000000001</v>
      </c>
      <c r="F413" s="1">
        <v>65</v>
      </c>
      <c r="G413" s="1">
        <v>1405324045</v>
      </c>
      <c r="H413" s="1">
        <v>55</v>
      </c>
      <c r="I413" s="1">
        <v>2.4</v>
      </c>
      <c r="J413" s="1">
        <v>84</v>
      </c>
      <c r="K413" s="1">
        <v>69</v>
      </c>
      <c r="L413" s="1" t="s">
        <v>16</v>
      </c>
    </row>
    <row r="414" spans="1:12" x14ac:dyDescent="0.25">
      <c r="A414" s="1" t="s">
        <v>17</v>
      </c>
      <c r="B414" s="1" t="s">
        <v>18</v>
      </c>
      <c r="C414" s="1">
        <v>2021</v>
      </c>
      <c r="D414" s="7">
        <v>49245</v>
      </c>
      <c r="E414" s="1">
        <v>3.6</v>
      </c>
      <c r="F414" s="1">
        <v>72</v>
      </c>
      <c r="G414" s="1">
        <v>937058998</v>
      </c>
      <c r="H414" s="1">
        <v>72</v>
      </c>
      <c r="I414" s="1">
        <v>9.8000000000000007</v>
      </c>
      <c r="J414" s="1">
        <v>88</v>
      </c>
      <c r="K414" s="1">
        <v>36</v>
      </c>
      <c r="L414" s="1" t="s">
        <v>18</v>
      </c>
    </row>
    <row r="415" spans="1:12" x14ac:dyDescent="0.25">
      <c r="A415" s="1" t="s">
        <v>19</v>
      </c>
      <c r="B415" s="1" t="s">
        <v>20</v>
      </c>
      <c r="C415" s="1">
        <v>2021</v>
      </c>
      <c r="D415" s="7">
        <v>22576</v>
      </c>
      <c r="E415" s="1">
        <v>4.2</v>
      </c>
      <c r="F415" s="1">
        <v>78</v>
      </c>
      <c r="G415" s="1">
        <v>451150046</v>
      </c>
      <c r="H415" s="1">
        <v>56</v>
      </c>
      <c r="I415" s="1">
        <v>23.9</v>
      </c>
      <c r="J415" s="1">
        <v>86</v>
      </c>
      <c r="K415" s="1">
        <v>83</v>
      </c>
      <c r="L415" s="1" t="s">
        <v>20</v>
      </c>
    </row>
    <row r="416" spans="1:12" x14ac:dyDescent="0.25">
      <c r="A416" s="1" t="s">
        <v>21</v>
      </c>
      <c r="B416" s="1" t="s">
        <v>22</v>
      </c>
      <c r="C416" s="1">
        <v>2022</v>
      </c>
      <c r="D416" s="7">
        <v>51451</v>
      </c>
      <c r="E416" s="1">
        <v>16.7</v>
      </c>
      <c r="F416" s="1">
        <v>60</v>
      </c>
      <c r="G416" s="1">
        <v>936673231</v>
      </c>
      <c r="H416" s="1">
        <v>67</v>
      </c>
      <c r="I416" s="1">
        <v>18</v>
      </c>
      <c r="J416" s="1">
        <v>73</v>
      </c>
      <c r="K416" s="1">
        <v>56</v>
      </c>
      <c r="L416" s="1" t="s">
        <v>14</v>
      </c>
    </row>
    <row r="417" spans="1:12" x14ac:dyDescent="0.25">
      <c r="A417" s="1" t="s">
        <v>23</v>
      </c>
      <c r="B417" s="1" t="s">
        <v>18</v>
      </c>
      <c r="C417" s="1">
        <v>2022</v>
      </c>
      <c r="D417" s="7">
        <v>61512</v>
      </c>
      <c r="E417" s="1">
        <v>16.8</v>
      </c>
      <c r="F417" s="1">
        <v>61</v>
      </c>
      <c r="G417" s="1">
        <v>1155578411</v>
      </c>
      <c r="H417" s="1">
        <v>66</v>
      </c>
      <c r="I417" s="1">
        <v>5.7</v>
      </c>
      <c r="J417" s="1">
        <v>72</v>
      </c>
      <c r="K417" s="1">
        <v>41</v>
      </c>
      <c r="L417" s="1" t="s">
        <v>18</v>
      </c>
    </row>
    <row r="418" spans="1:12" x14ac:dyDescent="0.25">
      <c r="A418" s="1" t="s">
        <v>24</v>
      </c>
      <c r="B418" s="1" t="s">
        <v>16</v>
      </c>
      <c r="C418" s="1">
        <v>2020</v>
      </c>
      <c r="D418" s="7">
        <v>31218</v>
      </c>
      <c r="E418" s="1">
        <v>4.0999999999999996</v>
      </c>
      <c r="F418" s="1">
        <v>81</v>
      </c>
      <c r="G418" s="1">
        <v>1419675965</v>
      </c>
      <c r="H418" s="1">
        <v>54</v>
      </c>
      <c r="I418" s="1">
        <v>9.1</v>
      </c>
      <c r="J418" s="1">
        <v>73</v>
      </c>
      <c r="K418" s="1">
        <v>66</v>
      </c>
      <c r="L418" s="1" t="s">
        <v>16</v>
      </c>
    </row>
    <row r="419" spans="1:12" x14ac:dyDescent="0.25">
      <c r="A419" s="1" t="s">
        <v>25</v>
      </c>
      <c r="B419" s="1" t="s">
        <v>26</v>
      </c>
      <c r="C419" s="1">
        <v>2022</v>
      </c>
      <c r="D419" s="7">
        <v>8861</v>
      </c>
      <c r="E419" s="1">
        <v>15.2</v>
      </c>
      <c r="F419" s="1">
        <v>72</v>
      </c>
      <c r="G419" s="1">
        <v>936153328</v>
      </c>
      <c r="H419" s="1">
        <v>53</v>
      </c>
      <c r="I419" s="1">
        <v>7</v>
      </c>
      <c r="J419" s="1">
        <v>75</v>
      </c>
      <c r="K419" s="1">
        <v>62</v>
      </c>
      <c r="L419" s="1" t="s">
        <v>26</v>
      </c>
    </row>
    <row r="420" spans="1:12" x14ac:dyDescent="0.25">
      <c r="A420" s="1" t="s">
        <v>27</v>
      </c>
      <c r="B420" s="1" t="s">
        <v>22</v>
      </c>
      <c r="C420" s="1">
        <v>2020</v>
      </c>
      <c r="D420" s="7">
        <v>30208</v>
      </c>
      <c r="E420" s="1">
        <v>16.100000000000001</v>
      </c>
      <c r="F420" s="1">
        <v>61</v>
      </c>
      <c r="G420" s="1">
        <v>418676513</v>
      </c>
      <c r="H420" s="1">
        <v>71</v>
      </c>
      <c r="I420" s="1">
        <v>5</v>
      </c>
      <c r="J420" s="1">
        <v>87</v>
      </c>
      <c r="K420" s="1">
        <v>46</v>
      </c>
      <c r="L420" s="1" t="s">
        <v>14</v>
      </c>
    </row>
    <row r="421" spans="1:12" x14ac:dyDescent="0.25">
      <c r="A421" s="1" t="s">
        <v>28</v>
      </c>
      <c r="B421" s="1" t="s">
        <v>29</v>
      </c>
      <c r="C421" s="1">
        <v>2020</v>
      </c>
      <c r="D421" s="7">
        <v>2872</v>
      </c>
      <c r="E421" s="1">
        <v>11.4</v>
      </c>
      <c r="F421" s="1">
        <v>75</v>
      </c>
      <c r="G421" s="1">
        <v>573038213</v>
      </c>
      <c r="H421" s="1">
        <v>81</v>
      </c>
      <c r="I421" s="1">
        <v>24.7</v>
      </c>
      <c r="J421" s="1">
        <v>78</v>
      </c>
      <c r="K421" s="1">
        <v>41</v>
      </c>
      <c r="L421" s="1" t="s">
        <v>29</v>
      </c>
    </row>
    <row r="422" spans="1:12" x14ac:dyDescent="0.25">
      <c r="A422" s="1" t="s">
        <v>12</v>
      </c>
      <c r="B422" s="1" t="s">
        <v>13</v>
      </c>
      <c r="C422" s="1">
        <v>2022</v>
      </c>
      <c r="D422" s="7">
        <v>15391</v>
      </c>
      <c r="E422" s="1">
        <v>10.8</v>
      </c>
      <c r="F422" s="1">
        <v>85</v>
      </c>
      <c r="G422" s="1">
        <v>721289780</v>
      </c>
      <c r="H422" s="1">
        <v>94</v>
      </c>
      <c r="I422" s="1">
        <v>5.8</v>
      </c>
      <c r="J422" s="1">
        <v>82</v>
      </c>
      <c r="K422" s="1">
        <v>61</v>
      </c>
      <c r="L422" s="1" t="s">
        <v>14</v>
      </c>
    </row>
    <row r="423" spans="1:12" x14ac:dyDescent="0.25">
      <c r="A423" s="1" t="s">
        <v>15</v>
      </c>
      <c r="B423" s="1" t="s">
        <v>16</v>
      </c>
      <c r="C423" s="1">
        <v>2020</v>
      </c>
      <c r="D423" s="7">
        <v>48486</v>
      </c>
      <c r="E423" s="1">
        <v>5</v>
      </c>
      <c r="F423" s="1">
        <v>62</v>
      </c>
      <c r="G423" s="1">
        <v>963163747</v>
      </c>
      <c r="H423" s="1">
        <v>50</v>
      </c>
      <c r="I423" s="1">
        <v>6.8</v>
      </c>
      <c r="J423" s="1">
        <v>86</v>
      </c>
      <c r="K423" s="1">
        <v>85</v>
      </c>
      <c r="L423" s="1" t="s">
        <v>16</v>
      </c>
    </row>
    <row r="424" spans="1:12" x14ac:dyDescent="0.25">
      <c r="A424" s="1" t="s">
        <v>17</v>
      </c>
      <c r="B424" s="1" t="s">
        <v>18</v>
      </c>
      <c r="C424" s="1">
        <v>2020</v>
      </c>
      <c r="D424" s="7">
        <v>34752</v>
      </c>
      <c r="E424" s="1">
        <v>4.2</v>
      </c>
      <c r="F424" s="1">
        <v>73</v>
      </c>
      <c r="G424" s="1">
        <v>325689953</v>
      </c>
      <c r="H424" s="1">
        <v>61</v>
      </c>
      <c r="I424" s="1">
        <v>8.5</v>
      </c>
      <c r="J424" s="1">
        <v>73</v>
      </c>
      <c r="K424" s="1">
        <v>72</v>
      </c>
      <c r="L424" s="1" t="s">
        <v>18</v>
      </c>
    </row>
    <row r="425" spans="1:12" x14ac:dyDescent="0.25">
      <c r="A425" s="1" t="s">
        <v>19</v>
      </c>
      <c r="B425" s="1" t="s">
        <v>20</v>
      </c>
      <c r="C425" s="1">
        <v>2022</v>
      </c>
      <c r="D425" s="7">
        <v>5813</v>
      </c>
      <c r="E425" s="1">
        <v>8.6999999999999993</v>
      </c>
      <c r="F425" s="1">
        <v>79</v>
      </c>
      <c r="G425" s="1">
        <v>1139531638</v>
      </c>
      <c r="H425" s="1">
        <v>64</v>
      </c>
      <c r="I425" s="1">
        <v>14.2</v>
      </c>
      <c r="J425" s="1">
        <v>92</v>
      </c>
      <c r="K425" s="1">
        <v>74</v>
      </c>
      <c r="L425" s="1" t="s">
        <v>20</v>
      </c>
    </row>
    <row r="426" spans="1:12" x14ac:dyDescent="0.25">
      <c r="A426" s="1" t="s">
        <v>21</v>
      </c>
      <c r="B426" s="1" t="s">
        <v>22</v>
      </c>
      <c r="C426" s="1">
        <v>2021</v>
      </c>
      <c r="D426" s="7">
        <v>9162</v>
      </c>
      <c r="E426" s="1">
        <v>8.9</v>
      </c>
      <c r="F426" s="1">
        <v>83</v>
      </c>
      <c r="G426" s="1">
        <v>1299199653</v>
      </c>
      <c r="H426" s="1">
        <v>54</v>
      </c>
      <c r="I426" s="1">
        <v>20.3</v>
      </c>
      <c r="J426" s="1">
        <v>97</v>
      </c>
      <c r="K426" s="1">
        <v>79</v>
      </c>
      <c r="L426" s="1" t="s">
        <v>14</v>
      </c>
    </row>
    <row r="427" spans="1:12" x14ac:dyDescent="0.25">
      <c r="A427" s="1" t="s">
        <v>23</v>
      </c>
      <c r="B427" s="1" t="s">
        <v>18</v>
      </c>
      <c r="C427" s="1">
        <v>2021</v>
      </c>
      <c r="D427" s="7">
        <v>3412</v>
      </c>
      <c r="E427" s="1">
        <v>3.1</v>
      </c>
      <c r="F427" s="1">
        <v>73</v>
      </c>
      <c r="G427" s="1">
        <v>512589141</v>
      </c>
      <c r="H427" s="1">
        <v>55</v>
      </c>
      <c r="I427" s="1">
        <v>5.2</v>
      </c>
      <c r="J427" s="1">
        <v>87</v>
      </c>
      <c r="K427" s="1">
        <v>76</v>
      </c>
      <c r="L427" s="1" t="s">
        <v>18</v>
      </c>
    </row>
    <row r="428" spans="1:12" x14ac:dyDescent="0.25">
      <c r="A428" s="1" t="s">
        <v>24</v>
      </c>
      <c r="B428" s="1" t="s">
        <v>16</v>
      </c>
      <c r="C428" s="1">
        <v>2020</v>
      </c>
      <c r="D428" s="7">
        <v>69497</v>
      </c>
      <c r="E428" s="1">
        <v>10.6</v>
      </c>
      <c r="F428" s="1">
        <v>61</v>
      </c>
      <c r="G428" s="1">
        <v>709057763</v>
      </c>
      <c r="H428" s="1">
        <v>68</v>
      </c>
      <c r="I428" s="1">
        <v>6.7</v>
      </c>
      <c r="J428" s="1">
        <v>89</v>
      </c>
      <c r="K428" s="1">
        <v>36</v>
      </c>
      <c r="L428" s="1" t="s">
        <v>16</v>
      </c>
    </row>
    <row r="429" spans="1:12" x14ac:dyDescent="0.25">
      <c r="A429" s="1" t="s">
        <v>25</v>
      </c>
      <c r="B429" s="1" t="s">
        <v>26</v>
      </c>
      <c r="C429" s="1">
        <v>2022</v>
      </c>
      <c r="D429" s="7">
        <v>45330</v>
      </c>
      <c r="E429" s="1">
        <v>7.9</v>
      </c>
      <c r="F429" s="1">
        <v>80</v>
      </c>
      <c r="G429" s="1">
        <v>1071613692</v>
      </c>
      <c r="H429" s="1">
        <v>91</v>
      </c>
      <c r="I429" s="1">
        <v>24.3</v>
      </c>
      <c r="J429" s="1">
        <v>91</v>
      </c>
      <c r="K429" s="1">
        <v>82</v>
      </c>
      <c r="L429" s="1" t="s">
        <v>26</v>
      </c>
    </row>
    <row r="430" spans="1:12" x14ac:dyDescent="0.25">
      <c r="A430" s="1" t="s">
        <v>27</v>
      </c>
      <c r="B430" s="1" t="s">
        <v>22</v>
      </c>
      <c r="C430" s="1">
        <v>2020</v>
      </c>
      <c r="D430" s="7">
        <v>34002</v>
      </c>
      <c r="E430" s="1">
        <v>14.4</v>
      </c>
      <c r="F430" s="1">
        <v>62</v>
      </c>
      <c r="G430" s="1">
        <v>1072320280</v>
      </c>
      <c r="H430" s="1">
        <v>76</v>
      </c>
      <c r="I430" s="1">
        <v>5.9</v>
      </c>
      <c r="J430" s="1">
        <v>95</v>
      </c>
      <c r="K430" s="1">
        <v>60</v>
      </c>
      <c r="L430" s="1" t="s">
        <v>14</v>
      </c>
    </row>
    <row r="431" spans="1:12" x14ac:dyDescent="0.25">
      <c r="A431" s="1" t="s">
        <v>28</v>
      </c>
      <c r="B431" s="1" t="s">
        <v>29</v>
      </c>
      <c r="C431" s="1">
        <v>2021</v>
      </c>
      <c r="D431" s="7">
        <v>7322</v>
      </c>
      <c r="E431" s="1">
        <v>12.1</v>
      </c>
      <c r="F431" s="1">
        <v>64</v>
      </c>
      <c r="G431" s="1">
        <v>370861975</v>
      </c>
      <c r="H431" s="1">
        <v>55</v>
      </c>
      <c r="I431" s="1">
        <v>16.3</v>
      </c>
      <c r="J431" s="1">
        <v>90</v>
      </c>
      <c r="K431" s="1">
        <v>56</v>
      </c>
      <c r="L431" s="1" t="s">
        <v>29</v>
      </c>
    </row>
    <row r="432" spans="1:12" x14ac:dyDescent="0.25">
      <c r="A432" s="1" t="s">
        <v>12</v>
      </c>
      <c r="B432" s="1" t="s">
        <v>13</v>
      </c>
      <c r="C432" s="1">
        <v>2021</v>
      </c>
      <c r="D432" s="7">
        <v>59952</v>
      </c>
      <c r="E432" s="1">
        <v>10.199999999999999</v>
      </c>
      <c r="F432" s="1">
        <v>65</v>
      </c>
      <c r="G432" s="1">
        <v>655914665</v>
      </c>
      <c r="H432" s="1">
        <v>51</v>
      </c>
      <c r="I432" s="1">
        <v>16.100000000000001</v>
      </c>
      <c r="J432" s="1">
        <v>73</v>
      </c>
      <c r="K432" s="1">
        <v>57</v>
      </c>
      <c r="L432" s="1" t="s">
        <v>14</v>
      </c>
    </row>
    <row r="433" spans="1:12" x14ac:dyDescent="0.25">
      <c r="A433" s="1" t="s">
        <v>15</v>
      </c>
      <c r="B433" s="1" t="s">
        <v>16</v>
      </c>
      <c r="C433" s="1">
        <v>2022</v>
      </c>
      <c r="D433" s="7">
        <v>28346</v>
      </c>
      <c r="E433" s="1">
        <v>8.1</v>
      </c>
      <c r="F433" s="1">
        <v>65</v>
      </c>
      <c r="G433" s="1">
        <v>14816030</v>
      </c>
      <c r="H433" s="1">
        <v>63</v>
      </c>
      <c r="I433" s="1">
        <v>10.7</v>
      </c>
      <c r="J433" s="1">
        <v>94</v>
      </c>
      <c r="K433" s="1">
        <v>37</v>
      </c>
      <c r="L433" s="1" t="s">
        <v>16</v>
      </c>
    </row>
    <row r="434" spans="1:12" x14ac:dyDescent="0.25">
      <c r="A434" s="1" t="s">
        <v>17</v>
      </c>
      <c r="B434" s="1" t="s">
        <v>18</v>
      </c>
      <c r="C434" s="1">
        <v>2021</v>
      </c>
      <c r="D434" s="7">
        <v>50984</v>
      </c>
      <c r="E434" s="1">
        <v>3.1</v>
      </c>
      <c r="F434" s="1">
        <v>67</v>
      </c>
      <c r="G434" s="1">
        <v>1099068034</v>
      </c>
      <c r="H434" s="1">
        <v>74</v>
      </c>
      <c r="I434" s="1">
        <v>21.8</v>
      </c>
      <c r="J434" s="1">
        <v>95</v>
      </c>
      <c r="K434" s="1">
        <v>72</v>
      </c>
      <c r="L434" s="1" t="s">
        <v>18</v>
      </c>
    </row>
    <row r="435" spans="1:12" x14ac:dyDescent="0.25">
      <c r="A435" s="1" t="s">
        <v>19</v>
      </c>
      <c r="B435" s="1" t="s">
        <v>20</v>
      </c>
      <c r="C435" s="1">
        <v>2021</v>
      </c>
      <c r="D435" s="7">
        <v>56203</v>
      </c>
      <c r="E435" s="1">
        <v>10.9</v>
      </c>
      <c r="F435" s="1">
        <v>72</v>
      </c>
      <c r="G435" s="1">
        <v>1485235161</v>
      </c>
      <c r="H435" s="1">
        <v>89</v>
      </c>
      <c r="I435" s="1">
        <v>13.2</v>
      </c>
      <c r="J435" s="1">
        <v>70</v>
      </c>
      <c r="K435" s="1">
        <v>31</v>
      </c>
      <c r="L435" s="1" t="s">
        <v>20</v>
      </c>
    </row>
    <row r="436" spans="1:12" x14ac:dyDescent="0.25">
      <c r="A436" s="1" t="s">
        <v>21</v>
      </c>
      <c r="B436" s="1" t="s">
        <v>22</v>
      </c>
      <c r="C436" s="1">
        <v>2022</v>
      </c>
      <c r="D436" s="7">
        <v>39009</v>
      </c>
      <c r="E436" s="1">
        <v>7.8</v>
      </c>
      <c r="F436" s="1">
        <v>77</v>
      </c>
      <c r="G436" s="1">
        <v>1305127091</v>
      </c>
      <c r="H436" s="1">
        <v>59</v>
      </c>
      <c r="I436" s="1">
        <v>20.2</v>
      </c>
      <c r="J436" s="1">
        <v>89</v>
      </c>
      <c r="K436" s="1">
        <v>74</v>
      </c>
      <c r="L436" s="1" t="s">
        <v>14</v>
      </c>
    </row>
    <row r="437" spans="1:12" x14ac:dyDescent="0.25">
      <c r="A437" s="1" t="s">
        <v>23</v>
      </c>
      <c r="B437" s="1" t="s">
        <v>18</v>
      </c>
      <c r="C437" s="1">
        <v>2020</v>
      </c>
      <c r="D437" s="7">
        <v>31409</v>
      </c>
      <c r="E437" s="1">
        <v>11.3</v>
      </c>
      <c r="F437" s="1">
        <v>77</v>
      </c>
      <c r="G437" s="1">
        <v>1081171979</v>
      </c>
      <c r="H437" s="1">
        <v>52</v>
      </c>
      <c r="I437" s="1">
        <v>8.9</v>
      </c>
      <c r="J437" s="1">
        <v>80</v>
      </c>
      <c r="K437" s="1">
        <v>47</v>
      </c>
      <c r="L437" s="1" t="s">
        <v>18</v>
      </c>
    </row>
    <row r="438" spans="1:12" x14ac:dyDescent="0.25">
      <c r="A438" s="1" t="s">
        <v>24</v>
      </c>
      <c r="B438" s="1" t="s">
        <v>16</v>
      </c>
      <c r="C438" s="1">
        <v>2021</v>
      </c>
      <c r="D438" s="7">
        <v>7541</v>
      </c>
      <c r="E438" s="1">
        <v>4.5999999999999996</v>
      </c>
      <c r="F438" s="1">
        <v>68</v>
      </c>
      <c r="G438" s="1">
        <v>88977190</v>
      </c>
      <c r="H438" s="1">
        <v>81</v>
      </c>
      <c r="I438" s="1">
        <v>10.4</v>
      </c>
      <c r="J438" s="1">
        <v>90</v>
      </c>
      <c r="K438" s="1">
        <v>74</v>
      </c>
      <c r="L438" s="1" t="s">
        <v>16</v>
      </c>
    </row>
    <row r="439" spans="1:12" x14ac:dyDescent="0.25">
      <c r="A439" s="1" t="s">
        <v>25</v>
      </c>
      <c r="B439" s="1" t="s">
        <v>26</v>
      </c>
      <c r="C439" s="1">
        <v>2021</v>
      </c>
      <c r="D439" s="7">
        <v>51587</v>
      </c>
      <c r="E439" s="1">
        <v>4.9000000000000004</v>
      </c>
      <c r="F439" s="1">
        <v>74</v>
      </c>
      <c r="G439" s="1">
        <v>1237242876</v>
      </c>
      <c r="H439" s="1">
        <v>67</v>
      </c>
      <c r="I439" s="1">
        <v>23.1</v>
      </c>
      <c r="J439" s="1">
        <v>81</v>
      </c>
      <c r="K439" s="1">
        <v>68</v>
      </c>
      <c r="L439" s="1" t="s">
        <v>26</v>
      </c>
    </row>
    <row r="440" spans="1:12" x14ac:dyDescent="0.25">
      <c r="A440" s="1" t="s">
        <v>27</v>
      </c>
      <c r="B440" s="1" t="s">
        <v>22</v>
      </c>
      <c r="C440" s="1">
        <v>2022</v>
      </c>
      <c r="D440" s="7">
        <v>55077</v>
      </c>
      <c r="E440" s="1">
        <v>4</v>
      </c>
      <c r="F440" s="1">
        <v>69</v>
      </c>
      <c r="G440" s="1">
        <v>1138020658</v>
      </c>
      <c r="H440" s="1">
        <v>95</v>
      </c>
      <c r="I440" s="1">
        <v>15.4</v>
      </c>
      <c r="J440" s="1">
        <v>79</v>
      </c>
      <c r="K440" s="1">
        <v>54</v>
      </c>
      <c r="L440" s="1" t="s">
        <v>14</v>
      </c>
    </row>
    <row r="441" spans="1:12" x14ac:dyDescent="0.25">
      <c r="A441" s="1" t="s">
        <v>28</v>
      </c>
      <c r="B441" s="1" t="s">
        <v>29</v>
      </c>
      <c r="C441" s="1">
        <v>2021</v>
      </c>
      <c r="D441" s="7">
        <v>5962</v>
      </c>
      <c r="E441" s="1">
        <v>15.8</v>
      </c>
      <c r="F441" s="1">
        <v>74</v>
      </c>
      <c r="G441" s="1">
        <v>942036899</v>
      </c>
      <c r="H441" s="1">
        <v>72</v>
      </c>
      <c r="I441" s="1">
        <v>14.6</v>
      </c>
      <c r="J441" s="1">
        <v>78</v>
      </c>
      <c r="K441" s="1">
        <v>40</v>
      </c>
      <c r="L441" s="1" t="s">
        <v>29</v>
      </c>
    </row>
    <row r="442" spans="1:12" x14ac:dyDescent="0.25">
      <c r="A442" s="1" t="s">
        <v>12</v>
      </c>
      <c r="B442" s="1" t="s">
        <v>13</v>
      </c>
      <c r="C442" s="1">
        <v>2021</v>
      </c>
      <c r="D442" s="7">
        <v>11334</v>
      </c>
      <c r="E442" s="1">
        <v>3.7</v>
      </c>
      <c r="F442" s="1">
        <v>73</v>
      </c>
      <c r="G442" s="1">
        <v>81671426</v>
      </c>
      <c r="H442" s="1">
        <v>92</v>
      </c>
      <c r="I442" s="1">
        <v>18.7</v>
      </c>
      <c r="J442" s="1">
        <v>73</v>
      </c>
      <c r="K442" s="1">
        <v>65</v>
      </c>
      <c r="L442" s="1" t="s">
        <v>14</v>
      </c>
    </row>
    <row r="443" spans="1:12" x14ac:dyDescent="0.25">
      <c r="A443" s="1" t="s">
        <v>15</v>
      </c>
      <c r="B443" s="1" t="s">
        <v>16</v>
      </c>
      <c r="C443" s="1">
        <v>2020</v>
      </c>
      <c r="D443" s="7">
        <v>37761</v>
      </c>
      <c r="E443" s="1">
        <v>11.3</v>
      </c>
      <c r="F443" s="1">
        <v>74</v>
      </c>
      <c r="G443" s="1">
        <v>1464557244</v>
      </c>
      <c r="H443" s="1">
        <v>60</v>
      </c>
      <c r="I443" s="1">
        <v>21</v>
      </c>
      <c r="J443" s="1">
        <v>93</v>
      </c>
      <c r="K443" s="1">
        <v>50</v>
      </c>
      <c r="L443" s="1" t="s">
        <v>16</v>
      </c>
    </row>
    <row r="444" spans="1:12" x14ac:dyDescent="0.25">
      <c r="A444" s="1" t="s">
        <v>17</v>
      </c>
      <c r="B444" s="1" t="s">
        <v>18</v>
      </c>
      <c r="C444" s="1">
        <v>2022</v>
      </c>
      <c r="D444" s="7">
        <v>52212</v>
      </c>
      <c r="E444" s="1">
        <v>12.6</v>
      </c>
      <c r="F444" s="1">
        <v>77</v>
      </c>
      <c r="G444" s="1">
        <v>1214679924</v>
      </c>
      <c r="H444" s="1">
        <v>55</v>
      </c>
      <c r="I444" s="1">
        <v>10.6</v>
      </c>
      <c r="J444" s="1">
        <v>98</v>
      </c>
      <c r="K444" s="1">
        <v>47</v>
      </c>
      <c r="L444" s="1" t="s">
        <v>18</v>
      </c>
    </row>
    <row r="445" spans="1:12" x14ac:dyDescent="0.25">
      <c r="A445" s="1" t="s">
        <v>19</v>
      </c>
      <c r="B445" s="1" t="s">
        <v>20</v>
      </c>
      <c r="C445" s="1">
        <v>2020</v>
      </c>
      <c r="D445" s="7">
        <v>58248</v>
      </c>
      <c r="E445" s="1">
        <v>11.4</v>
      </c>
      <c r="F445" s="1">
        <v>79</v>
      </c>
      <c r="G445" s="1">
        <v>206197457</v>
      </c>
      <c r="H445" s="1">
        <v>93</v>
      </c>
      <c r="I445" s="1">
        <v>22.1</v>
      </c>
      <c r="J445" s="1">
        <v>84</v>
      </c>
      <c r="K445" s="1">
        <v>61</v>
      </c>
      <c r="L445" s="1" t="s">
        <v>20</v>
      </c>
    </row>
    <row r="446" spans="1:12" x14ac:dyDescent="0.25">
      <c r="A446" s="1" t="s">
        <v>21</v>
      </c>
      <c r="B446" s="1" t="s">
        <v>22</v>
      </c>
      <c r="C446" s="1">
        <v>2020</v>
      </c>
      <c r="D446" s="7">
        <v>61514</v>
      </c>
      <c r="E446" s="1">
        <v>8.6</v>
      </c>
      <c r="F446" s="1">
        <v>79</v>
      </c>
      <c r="G446" s="1">
        <v>1436796278</v>
      </c>
      <c r="H446" s="1">
        <v>61</v>
      </c>
      <c r="I446" s="1">
        <v>22.3</v>
      </c>
      <c r="J446" s="1">
        <v>83</v>
      </c>
      <c r="K446" s="1">
        <v>59</v>
      </c>
      <c r="L446" s="1" t="s">
        <v>14</v>
      </c>
    </row>
    <row r="447" spans="1:12" x14ac:dyDescent="0.25">
      <c r="A447" s="1" t="s">
        <v>23</v>
      </c>
      <c r="B447" s="1" t="s">
        <v>18</v>
      </c>
      <c r="C447" s="1">
        <v>2021</v>
      </c>
      <c r="D447" s="7">
        <v>69064</v>
      </c>
      <c r="E447" s="1">
        <v>13.8</v>
      </c>
      <c r="F447" s="1">
        <v>83</v>
      </c>
      <c r="G447" s="1">
        <v>5128754</v>
      </c>
      <c r="H447" s="1">
        <v>61</v>
      </c>
      <c r="I447" s="1">
        <v>20</v>
      </c>
      <c r="J447" s="1">
        <v>86</v>
      </c>
      <c r="K447" s="1">
        <v>50</v>
      </c>
      <c r="L447" s="1" t="s">
        <v>18</v>
      </c>
    </row>
    <row r="448" spans="1:12" x14ac:dyDescent="0.25">
      <c r="A448" s="1" t="s">
        <v>24</v>
      </c>
      <c r="B448" s="1" t="s">
        <v>16</v>
      </c>
      <c r="C448" s="1">
        <v>2022</v>
      </c>
      <c r="D448" s="7">
        <v>47653</v>
      </c>
      <c r="E448" s="1">
        <v>10</v>
      </c>
      <c r="F448" s="1">
        <v>77</v>
      </c>
      <c r="G448" s="1">
        <v>1080423577</v>
      </c>
      <c r="H448" s="1">
        <v>89</v>
      </c>
      <c r="I448" s="1">
        <v>24</v>
      </c>
      <c r="J448" s="1">
        <v>94</v>
      </c>
      <c r="K448" s="1">
        <v>50</v>
      </c>
      <c r="L448" s="1" t="s">
        <v>16</v>
      </c>
    </row>
    <row r="449" spans="1:12" x14ac:dyDescent="0.25">
      <c r="A449" s="1" t="s">
        <v>25</v>
      </c>
      <c r="B449" s="1" t="s">
        <v>26</v>
      </c>
      <c r="C449" s="1">
        <v>2022</v>
      </c>
      <c r="D449" s="7">
        <v>59263</v>
      </c>
      <c r="E449" s="1">
        <v>15.2</v>
      </c>
      <c r="F449" s="1">
        <v>64</v>
      </c>
      <c r="G449" s="1">
        <v>943214899</v>
      </c>
      <c r="H449" s="1">
        <v>74</v>
      </c>
      <c r="I449" s="1">
        <v>25</v>
      </c>
      <c r="J449" s="1">
        <v>70</v>
      </c>
      <c r="K449" s="1">
        <v>48</v>
      </c>
      <c r="L449" s="1" t="s">
        <v>26</v>
      </c>
    </row>
    <row r="450" spans="1:12" x14ac:dyDescent="0.25">
      <c r="A450" s="1" t="s">
        <v>27</v>
      </c>
      <c r="B450" s="1" t="s">
        <v>22</v>
      </c>
      <c r="C450" s="1">
        <v>2020</v>
      </c>
      <c r="D450" s="7">
        <v>7477</v>
      </c>
      <c r="E450" s="1">
        <v>10.1</v>
      </c>
      <c r="F450" s="1">
        <v>80</v>
      </c>
      <c r="G450" s="1">
        <v>727464879</v>
      </c>
      <c r="H450" s="1">
        <v>91</v>
      </c>
      <c r="I450" s="1">
        <v>15.8</v>
      </c>
      <c r="J450" s="1">
        <v>97</v>
      </c>
      <c r="K450" s="1">
        <v>44</v>
      </c>
      <c r="L450" s="1" t="s">
        <v>14</v>
      </c>
    </row>
    <row r="451" spans="1:12" x14ac:dyDescent="0.25">
      <c r="A451" s="1" t="s">
        <v>28</v>
      </c>
      <c r="B451" s="1" t="s">
        <v>29</v>
      </c>
      <c r="C451" s="1">
        <v>2021</v>
      </c>
      <c r="D451" s="7">
        <v>45743</v>
      </c>
      <c r="E451" s="1">
        <v>4.7</v>
      </c>
      <c r="F451" s="1">
        <v>60</v>
      </c>
      <c r="G451" s="1">
        <v>39464577</v>
      </c>
      <c r="H451" s="1">
        <v>69</v>
      </c>
      <c r="I451" s="1">
        <v>13.3</v>
      </c>
      <c r="J451" s="1">
        <v>80</v>
      </c>
      <c r="K451" s="1">
        <v>60</v>
      </c>
      <c r="L451" s="1" t="s">
        <v>29</v>
      </c>
    </row>
    <row r="452" spans="1:12" x14ac:dyDescent="0.25">
      <c r="A452" s="1" t="s">
        <v>12</v>
      </c>
      <c r="B452" s="1" t="s">
        <v>13</v>
      </c>
      <c r="C452" s="1">
        <v>2021</v>
      </c>
      <c r="D452" s="7">
        <v>61762</v>
      </c>
      <c r="E452" s="1">
        <v>8.1</v>
      </c>
      <c r="F452" s="1">
        <v>68</v>
      </c>
      <c r="G452" s="1">
        <v>940700308</v>
      </c>
      <c r="H452" s="1">
        <v>84</v>
      </c>
      <c r="I452" s="1">
        <v>4.5</v>
      </c>
      <c r="J452" s="1">
        <v>92</v>
      </c>
      <c r="K452" s="1">
        <v>60</v>
      </c>
      <c r="L452" s="1" t="s">
        <v>14</v>
      </c>
    </row>
    <row r="453" spans="1:12" x14ac:dyDescent="0.25">
      <c r="A453" s="1" t="s">
        <v>15</v>
      </c>
      <c r="B453" s="1" t="s">
        <v>16</v>
      </c>
      <c r="C453" s="1">
        <v>2021</v>
      </c>
      <c r="D453" s="7">
        <v>16721</v>
      </c>
      <c r="E453" s="1">
        <v>4</v>
      </c>
      <c r="F453" s="1">
        <v>69</v>
      </c>
      <c r="G453" s="1">
        <v>366599273</v>
      </c>
      <c r="H453" s="1">
        <v>65</v>
      </c>
      <c r="I453" s="1">
        <v>10.199999999999999</v>
      </c>
      <c r="J453" s="1">
        <v>91</v>
      </c>
      <c r="K453" s="1">
        <v>31</v>
      </c>
      <c r="L453" s="1" t="s">
        <v>16</v>
      </c>
    </row>
    <row r="454" spans="1:12" x14ac:dyDescent="0.25">
      <c r="A454" s="1" t="s">
        <v>17</v>
      </c>
      <c r="B454" s="1" t="s">
        <v>18</v>
      </c>
      <c r="C454" s="1">
        <v>2022</v>
      </c>
      <c r="D454" s="7">
        <v>47131</v>
      </c>
      <c r="E454" s="1">
        <v>6.2</v>
      </c>
      <c r="F454" s="1">
        <v>65</v>
      </c>
      <c r="G454" s="1">
        <v>601280347</v>
      </c>
      <c r="H454" s="1">
        <v>78</v>
      </c>
      <c r="I454" s="1">
        <v>9.9</v>
      </c>
      <c r="J454" s="1">
        <v>86</v>
      </c>
      <c r="K454" s="1">
        <v>80</v>
      </c>
      <c r="L454" s="1" t="s">
        <v>18</v>
      </c>
    </row>
    <row r="455" spans="1:12" x14ac:dyDescent="0.25">
      <c r="A455" s="1" t="s">
        <v>19</v>
      </c>
      <c r="B455" s="1" t="s">
        <v>20</v>
      </c>
      <c r="C455" s="1">
        <v>2022</v>
      </c>
      <c r="D455" s="7">
        <v>24488</v>
      </c>
      <c r="E455" s="1">
        <v>3.8</v>
      </c>
      <c r="F455" s="1">
        <v>64</v>
      </c>
      <c r="G455" s="1">
        <v>1426244731</v>
      </c>
      <c r="H455" s="1">
        <v>91</v>
      </c>
      <c r="I455" s="1">
        <v>3.5</v>
      </c>
      <c r="J455" s="1">
        <v>93</v>
      </c>
      <c r="K455" s="1">
        <v>43</v>
      </c>
      <c r="L455" s="1" t="s">
        <v>20</v>
      </c>
    </row>
    <row r="456" spans="1:12" x14ac:dyDescent="0.25">
      <c r="A456" s="1" t="s">
        <v>21</v>
      </c>
      <c r="B456" s="1" t="s">
        <v>22</v>
      </c>
      <c r="C456" s="1">
        <v>2020</v>
      </c>
      <c r="D456" s="7">
        <v>61427</v>
      </c>
      <c r="E456" s="1">
        <v>12.9</v>
      </c>
      <c r="F456" s="1">
        <v>81</v>
      </c>
      <c r="G456" s="1">
        <v>736445689</v>
      </c>
      <c r="H456" s="1">
        <v>73</v>
      </c>
      <c r="I456" s="1">
        <v>15.5</v>
      </c>
      <c r="J456" s="1">
        <v>87</v>
      </c>
      <c r="K456" s="1">
        <v>48</v>
      </c>
      <c r="L456" s="1" t="s">
        <v>14</v>
      </c>
    </row>
    <row r="457" spans="1:12" x14ac:dyDescent="0.25">
      <c r="A457" s="1" t="s">
        <v>23</v>
      </c>
      <c r="B457" s="1" t="s">
        <v>18</v>
      </c>
      <c r="C457" s="1">
        <v>2020</v>
      </c>
      <c r="D457" s="7">
        <v>69721</v>
      </c>
      <c r="E457" s="1">
        <v>15.7</v>
      </c>
      <c r="F457" s="1">
        <v>66</v>
      </c>
      <c r="G457" s="1">
        <v>833608980</v>
      </c>
      <c r="H457" s="1">
        <v>77</v>
      </c>
      <c r="I457" s="1">
        <v>21.7</v>
      </c>
      <c r="J457" s="1">
        <v>98</v>
      </c>
      <c r="K457" s="1">
        <v>86</v>
      </c>
      <c r="L457" s="1" t="s">
        <v>18</v>
      </c>
    </row>
    <row r="458" spans="1:12" x14ac:dyDescent="0.25">
      <c r="A458" s="1" t="s">
        <v>24</v>
      </c>
      <c r="B458" s="1" t="s">
        <v>16</v>
      </c>
      <c r="C458" s="1">
        <v>2022</v>
      </c>
      <c r="D458" s="7">
        <v>2266</v>
      </c>
      <c r="E458" s="1">
        <v>15.7</v>
      </c>
      <c r="F458" s="1">
        <v>75</v>
      </c>
      <c r="G458" s="1">
        <v>714151787</v>
      </c>
      <c r="H458" s="1">
        <v>50</v>
      </c>
      <c r="I458" s="1">
        <v>24.8</v>
      </c>
      <c r="J458" s="1">
        <v>99</v>
      </c>
      <c r="K458" s="1">
        <v>72</v>
      </c>
      <c r="L458" s="1" t="s">
        <v>16</v>
      </c>
    </row>
    <row r="459" spans="1:12" x14ac:dyDescent="0.25">
      <c r="A459" s="1" t="s">
        <v>25</v>
      </c>
      <c r="B459" s="1" t="s">
        <v>26</v>
      </c>
      <c r="C459" s="1">
        <v>2020</v>
      </c>
      <c r="D459" s="7">
        <v>45313</v>
      </c>
      <c r="E459" s="1">
        <v>3.6</v>
      </c>
      <c r="F459" s="1">
        <v>77</v>
      </c>
      <c r="G459" s="1">
        <v>880496248</v>
      </c>
      <c r="H459" s="1">
        <v>86</v>
      </c>
      <c r="I459" s="1">
        <v>20.9</v>
      </c>
      <c r="J459" s="1">
        <v>82</v>
      </c>
      <c r="K459" s="1">
        <v>35</v>
      </c>
      <c r="L459" s="1" t="s">
        <v>26</v>
      </c>
    </row>
    <row r="460" spans="1:12" x14ac:dyDescent="0.25">
      <c r="A460" s="1" t="s">
        <v>27</v>
      </c>
      <c r="B460" s="1" t="s">
        <v>22</v>
      </c>
      <c r="C460" s="1">
        <v>2021</v>
      </c>
      <c r="D460" s="7">
        <v>4935</v>
      </c>
      <c r="E460" s="1">
        <v>6.1</v>
      </c>
      <c r="F460" s="1">
        <v>71</v>
      </c>
      <c r="G460" s="1">
        <v>368441198</v>
      </c>
      <c r="H460" s="1">
        <v>83</v>
      </c>
      <c r="I460" s="1">
        <v>20.8</v>
      </c>
      <c r="J460" s="1">
        <v>88</v>
      </c>
      <c r="K460" s="1">
        <v>67</v>
      </c>
      <c r="L460" s="1" t="s">
        <v>14</v>
      </c>
    </row>
    <row r="461" spans="1:12" x14ac:dyDescent="0.25">
      <c r="A461" s="1" t="s">
        <v>28</v>
      </c>
      <c r="B461" s="1" t="s">
        <v>29</v>
      </c>
      <c r="C461" s="1">
        <v>2020</v>
      </c>
      <c r="D461" s="7">
        <v>22293</v>
      </c>
      <c r="E461" s="1">
        <v>9.1</v>
      </c>
      <c r="F461" s="1">
        <v>65</v>
      </c>
      <c r="G461" s="1">
        <v>1094174729</v>
      </c>
      <c r="H461" s="1">
        <v>67</v>
      </c>
      <c r="I461" s="1">
        <v>16.3</v>
      </c>
      <c r="J461" s="1">
        <v>79</v>
      </c>
      <c r="K461" s="1">
        <v>88</v>
      </c>
      <c r="L461" s="1" t="s">
        <v>29</v>
      </c>
    </row>
    <row r="462" spans="1:12" x14ac:dyDescent="0.25">
      <c r="A462" s="1" t="s">
        <v>12</v>
      </c>
      <c r="B462" s="1" t="s">
        <v>13</v>
      </c>
      <c r="C462" s="1">
        <v>2021</v>
      </c>
      <c r="D462" s="7">
        <v>57661</v>
      </c>
      <c r="E462" s="1">
        <v>3.6</v>
      </c>
      <c r="F462" s="1">
        <v>80</v>
      </c>
      <c r="G462" s="1">
        <v>1152089087</v>
      </c>
      <c r="H462" s="1">
        <v>76</v>
      </c>
      <c r="I462" s="1">
        <v>7.3</v>
      </c>
      <c r="J462" s="1">
        <v>75</v>
      </c>
      <c r="K462" s="1">
        <v>90</v>
      </c>
      <c r="L462" s="1" t="s">
        <v>14</v>
      </c>
    </row>
    <row r="463" spans="1:12" x14ac:dyDescent="0.25">
      <c r="A463" s="1" t="s">
        <v>15</v>
      </c>
      <c r="B463" s="1" t="s">
        <v>16</v>
      </c>
      <c r="C463" s="1">
        <v>2020</v>
      </c>
      <c r="D463" s="7">
        <v>41992</v>
      </c>
      <c r="E463" s="1">
        <v>12.8</v>
      </c>
      <c r="F463" s="1">
        <v>64</v>
      </c>
      <c r="G463" s="1">
        <v>243962397</v>
      </c>
      <c r="H463" s="1">
        <v>95</v>
      </c>
      <c r="I463" s="1">
        <v>16</v>
      </c>
      <c r="J463" s="1">
        <v>96</v>
      </c>
      <c r="K463" s="1">
        <v>49</v>
      </c>
      <c r="L463" s="1" t="s">
        <v>16</v>
      </c>
    </row>
    <row r="464" spans="1:12" x14ac:dyDescent="0.25">
      <c r="A464" s="1" t="s">
        <v>17</v>
      </c>
      <c r="B464" s="1" t="s">
        <v>18</v>
      </c>
      <c r="C464" s="1">
        <v>2021</v>
      </c>
      <c r="D464" s="7">
        <v>50031</v>
      </c>
      <c r="E464" s="1">
        <v>4.7</v>
      </c>
      <c r="F464" s="1">
        <v>73</v>
      </c>
      <c r="G464" s="1">
        <v>613243070</v>
      </c>
      <c r="H464" s="1">
        <v>77</v>
      </c>
      <c r="I464" s="1">
        <v>23.1</v>
      </c>
      <c r="J464" s="1">
        <v>89</v>
      </c>
      <c r="K464" s="1">
        <v>48</v>
      </c>
      <c r="L464" s="1" t="s">
        <v>18</v>
      </c>
    </row>
    <row r="465" spans="1:12" x14ac:dyDescent="0.25">
      <c r="A465" s="1" t="s">
        <v>19</v>
      </c>
      <c r="B465" s="1" t="s">
        <v>20</v>
      </c>
      <c r="C465" s="1">
        <v>2020</v>
      </c>
      <c r="D465" s="7">
        <v>34100</v>
      </c>
      <c r="E465" s="1">
        <v>10</v>
      </c>
      <c r="F465" s="1">
        <v>66</v>
      </c>
      <c r="G465" s="1">
        <v>653937643</v>
      </c>
      <c r="H465" s="1">
        <v>95</v>
      </c>
      <c r="I465" s="1">
        <v>21.5</v>
      </c>
      <c r="J465" s="1">
        <v>91</v>
      </c>
      <c r="K465" s="1">
        <v>41</v>
      </c>
      <c r="L465" s="1" t="s">
        <v>20</v>
      </c>
    </row>
    <row r="466" spans="1:12" x14ac:dyDescent="0.25">
      <c r="A466" s="1" t="s">
        <v>21</v>
      </c>
      <c r="B466" s="1" t="s">
        <v>22</v>
      </c>
      <c r="C466" s="1">
        <v>2022</v>
      </c>
      <c r="D466" s="7">
        <v>51105</v>
      </c>
      <c r="E466" s="1">
        <v>10.7</v>
      </c>
      <c r="F466" s="1">
        <v>62</v>
      </c>
      <c r="G466" s="1">
        <v>1302533436</v>
      </c>
      <c r="H466" s="1">
        <v>67</v>
      </c>
      <c r="I466" s="1">
        <v>5.3</v>
      </c>
      <c r="J466" s="1">
        <v>70</v>
      </c>
      <c r="K466" s="1">
        <v>63</v>
      </c>
      <c r="L466" s="1" t="s">
        <v>14</v>
      </c>
    </row>
    <row r="467" spans="1:12" x14ac:dyDescent="0.25">
      <c r="A467" s="1" t="s">
        <v>23</v>
      </c>
      <c r="B467" s="1" t="s">
        <v>18</v>
      </c>
      <c r="C467" s="1">
        <v>2022</v>
      </c>
      <c r="D467" s="7">
        <v>31852</v>
      </c>
      <c r="E467" s="1">
        <v>6.7</v>
      </c>
      <c r="F467" s="1">
        <v>63</v>
      </c>
      <c r="G467" s="1">
        <v>1329300454</v>
      </c>
      <c r="H467" s="1">
        <v>59</v>
      </c>
      <c r="I467" s="1">
        <v>17.7</v>
      </c>
      <c r="J467" s="1">
        <v>93</v>
      </c>
      <c r="K467" s="1">
        <v>78</v>
      </c>
      <c r="L467" s="1" t="s">
        <v>18</v>
      </c>
    </row>
    <row r="468" spans="1:12" x14ac:dyDescent="0.25">
      <c r="A468" s="1" t="s">
        <v>24</v>
      </c>
      <c r="B468" s="1" t="s">
        <v>16</v>
      </c>
      <c r="C468" s="1">
        <v>2021</v>
      </c>
      <c r="D468" s="7">
        <v>49526</v>
      </c>
      <c r="E468" s="1">
        <v>8.5</v>
      </c>
      <c r="F468" s="1">
        <v>78</v>
      </c>
      <c r="G468" s="1">
        <v>1333725790</v>
      </c>
      <c r="H468" s="1">
        <v>65</v>
      </c>
      <c r="I468" s="1">
        <v>19.2</v>
      </c>
      <c r="J468" s="1">
        <v>87</v>
      </c>
      <c r="K468" s="1">
        <v>84</v>
      </c>
      <c r="L468" s="1" t="s">
        <v>16</v>
      </c>
    </row>
    <row r="469" spans="1:12" x14ac:dyDescent="0.25">
      <c r="A469" s="1" t="s">
        <v>25</v>
      </c>
      <c r="B469" s="1" t="s">
        <v>26</v>
      </c>
      <c r="C469" s="1">
        <v>2021</v>
      </c>
      <c r="D469" s="7">
        <v>33043</v>
      </c>
      <c r="E469" s="1">
        <v>14.2</v>
      </c>
      <c r="F469" s="1">
        <v>74</v>
      </c>
      <c r="G469" s="1">
        <v>406966434</v>
      </c>
      <c r="H469" s="1">
        <v>81</v>
      </c>
      <c r="I469" s="1">
        <v>14</v>
      </c>
      <c r="J469" s="1">
        <v>85</v>
      </c>
      <c r="K469" s="1">
        <v>68</v>
      </c>
      <c r="L469" s="1" t="s">
        <v>26</v>
      </c>
    </row>
    <row r="470" spans="1:12" x14ac:dyDescent="0.25">
      <c r="A470" s="1" t="s">
        <v>27</v>
      </c>
      <c r="B470" s="1" t="s">
        <v>22</v>
      </c>
      <c r="C470" s="1">
        <v>2020</v>
      </c>
      <c r="D470" s="7">
        <v>9430</v>
      </c>
      <c r="E470" s="1">
        <v>4</v>
      </c>
      <c r="F470" s="1">
        <v>83</v>
      </c>
      <c r="G470" s="1">
        <v>1189693714</v>
      </c>
      <c r="H470" s="1">
        <v>50</v>
      </c>
      <c r="I470" s="1">
        <v>24.8</v>
      </c>
      <c r="J470" s="1">
        <v>75</v>
      </c>
      <c r="K470" s="1">
        <v>74</v>
      </c>
      <c r="L470" s="1" t="s">
        <v>14</v>
      </c>
    </row>
    <row r="471" spans="1:12" x14ac:dyDescent="0.25">
      <c r="A471" s="1" t="s">
        <v>28</v>
      </c>
      <c r="B471" s="1" t="s">
        <v>29</v>
      </c>
      <c r="C471" s="1">
        <v>2022</v>
      </c>
      <c r="D471" s="7">
        <v>63645</v>
      </c>
      <c r="E471" s="1">
        <v>15.2</v>
      </c>
      <c r="F471" s="1">
        <v>67</v>
      </c>
      <c r="G471" s="1">
        <v>455458389</v>
      </c>
      <c r="H471" s="1">
        <v>68</v>
      </c>
      <c r="I471" s="1">
        <v>6.8</v>
      </c>
      <c r="J471" s="1">
        <v>96</v>
      </c>
      <c r="K471" s="1">
        <v>79</v>
      </c>
      <c r="L471" s="1" t="s">
        <v>29</v>
      </c>
    </row>
    <row r="472" spans="1:12" x14ac:dyDescent="0.25">
      <c r="A472" s="1" t="s">
        <v>12</v>
      </c>
      <c r="B472" s="1" t="s">
        <v>13</v>
      </c>
      <c r="C472" s="1">
        <v>2020</v>
      </c>
      <c r="D472" s="7">
        <v>61989</v>
      </c>
      <c r="E472" s="1">
        <v>11</v>
      </c>
      <c r="F472" s="1">
        <v>73</v>
      </c>
      <c r="G472" s="1">
        <v>1102453617</v>
      </c>
      <c r="H472" s="1">
        <v>60</v>
      </c>
      <c r="I472" s="1">
        <v>21.4</v>
      </c>
      <c r="J472" s="1">
        <v>75</v>
      </c>
      <c r="K472" s="1">
        <v>64</v>
      </c>
      <c r="L472" s="1" t="s">
        <v>14</v>
      </c>
    </row>
    <row r="473" spans="1:12" x14ac:dyDescent="0.25">
      <c r="A473" s="1" t="s">
        <v>15</v>
      </c>
      <c r="B473" s="1" t="s">
        <v>16</v>
      </c>
      <c r="C473" s="1">
        <v>2021</v>
      </c>
      <c r="D473" s="7">
        <v>22156</v>
      </c>
      <c r="E473" s="1">
        <v>14.4</v>
      </c>
      <c r="F473" s="1">
        <v>69</v>
      </c>
      <c r="G473" s="1">
        <v>384942416</v>
      </c>
      <c r="H473" s="1">
        <v>65</v>
      </c>
      <c r="I473" s="1">
        <v>14</v>
      </c>
      <c r="J473" s="1">
        <v>75</v>
      </c>
      <c r="K473" s="1">
        <v>30</v>
      </c>
      <c r="L473" s="1" t="s">
        <v>16</v>
      </c>
    </row>
    <row r="474" spans="1:12" x14ac:dyDescent="0.25">
      <c r="A474" s="1" t="s">
        <v>17</v>
      </c>
      <c r="B474" s="1" t="s">
        <v>18</v>
      </c>
      <c r="C474" s="1">
        <v>2021</v>
      </c>
      <c r="D474" s="7">
        <v>40419</v>
      </c>
      <c r="E474" s="1">
        <v>13.3</v>
      </c>
      <c r="F474" s="1">
        <v>71</v>
      </c>
      <c r="G474" s="1">
        <v>1208455098</v>
      </c>
      <c r="H474" s="1">
        <v>85</v>
      </c>
      <c r="I474" s="1">
        <v>7.3</v>
      </c>
      <c r="J474" s="1">
        <v>97</v>
      </c>
      <c r="K474" s="1">
        <v>90</v>
      </c>
      <c r="L474" s="1" t="s">
        <v>18</v>
      </c>
    </row>
    <row r="475" spans="1:12" x14ac:dyDescent="0.25">
      <c r="A475" s="1" t="s">
        <v>19</v>
      </c>
      <c r="B475" s="1" t="s">
        <v>20</v>
      </c>
      <c r="C475" s="1">
        <v>2020</v>
      </c>
      <c r="D475" s="7">
        <v>17314</v>
      </c>
      <c r="E475" s="1">
        <v>10.7</v>
      </c>
      <c r="F475" s="1">
        <v>84</v>
      </c>
      <c r="G475" s="1">
        <v>609840573</v>
      </c>
      <c r="H475" s="1">
        <v>70</v>
      </c>
      <c r="I475" s="1">
        <v>23.8</v>
      </c>
      <c r="J475" s="1">
        <v>79</v>
      </c>
      <c r="K475" s="1">
        <v>74</v>
      </c>
      <c r="L475" s="1" t="s">
        <v>20</v>
      </c>
    </row>
    <row r="476" spans="1:12" x14ac:dyDescent="0.25">
      <c r="A476" s="1" t="s">
        <v>21</v>
      </c>
      <c r="B476" s="1" t="s">
        <v>22</v>
      </c>
      <c r="C476" s="1">
        <v>2021</v>
      </c>
      <c r="D476" s="7">
        <v>43062</v>
      </c>
      <c r="E476" s="1">
        <v>8.5</v>
      </c>
      <c r="F476" s="1">
        <v>81</v>
      </c>
      <c r="G476" s="1">
        <v>898049481</v>
      </c>
      <c r="H476" s="1">
        <v>85</v>
      </c>
      <c r="I476" s="1">
        <v>12.3</v>
      </c>
      <c r="J476" s="1">
        <v>78</v>
      </c>
      <c r="K476" s="1">
        <v>76</v>
      </c>
      <c r="L476" s="1" t="s">
        <v>14</v>
      </c>
    </row>
    <row r="477" spans="1:12" x14ac:dyDescent="0.25">
      <c r="A477" s="1" t="s">
        <v>23</v>
      </c>
      <c r="B477" s="1" t="s">
        <v>18</v>
      </c>
      <c r="C477" s="1">
        <v>2022</v>
      </c>
      <c r="D477" s="7">
        <v>39095</v>
      </c>
      <c r="E477" s="1">
        <v>5.9</v>
      </c>
      <c r="F477" s="1">
        <v>61</v>
      </c>
      <c r="G477" s="1">
        <v>655564103</v>
      </c>
      <c r="H477" s="1">
        <v>92</v>
      </c>
      <c r="I477" s="1">
        <v>3.6</v>
      </c>
      <c r="J477" s="1">
        <v>82</v>
      </c>
      <c r="K477" s="1">
        <v>37</v>
      </c>
      <c r="L477" s="1" t="s">
        <v>18</v>
      </c>
    </row>
    <row r="478" spans="1:12" x14ac:dyDescent="0.25">
      <c r="A478" s="1" t="s">
        <v>24</v>
      </c>
      <c r="B478" s="1" t="s">
        <v>16</v>
      </c>
      <c r="C478" s="1">
        <v>2022</v>
      </c>
      <c r="D478" s="7">
        <v>26756</v>
      </c>
      <c r="E478" s="1">
        <v>6.8</v>
      </c>
      <c r="F478" s="1">
        <v>71</v>
      </c>
      <c r="G478" s="1">
        <v>1499990158</v>
      </c>
      <c r="H478" s="1">
        <v>59</v>
      </c>
      <c r="I478" s="1">
        <v>18.5</v>
      </c>
      <c r="J478" s="1">
        <v>81</v>
      </c>
      <c r="K478" s="1">
        <v>33</v>
      </c>
      <c r="L478" s="1" t="s">
        <v>16</v>
      </c>
    </row>
    <row r="479" spans="1:12" x14ac:dyDescent="0.25">
      <c r="A479" s="1" t="s">
        <v>25</v>
      </c>
      <c r="B479" s="1" t="s">
        <v>26</v>
      </c>
      <c r="C479" s="1">
        <v>2022</v>
      </c>
      <c r="D479" s="7">
        <v>68396</v>
      </c>
      <c r="E479" s="1">
        <v>6.9</v>
      </c>
      <c r="F479" s="1">
        <v>75</v>
      </c>
      <c r="G479" s="1">
        <v>594210994</v>
      </c>
      <c r="H479" s="1">
        <v>83</v>
      </c>
      <c r="I479" s="1">
        <v>20</v>
      </c>
      <c r="J479" s="1">
        <v>76</v>
      </c>
      <c r="K479" s="1">
        <v>89</v>
      </c>
      <c r="L479" s="1" t="s">
        <v>26</v>
      </c>
    </row>
    <row r="480" spans="1:12" x14ac:dyDescent="0.25">
      <c r="A480" s="1" t="s">
        <v>27</v>
      </c>
      <c r="B480" s="1" t="s">
        <v>22</v>
      </c>
      <c r="C480" s="1">
        <v>2021</v>
      </c>
      <c r="D480" s="7">
        <v>56526</v>
      </c>
      <c r="E480" s="1">
        <v>7.8</v>
      </c>
      <c r="F480" s="1">
        <v>80</v>
      </c>
      <c r="G480" s="1">
        <v>280171661</v>
      </c>
      <c r="H480" s="1">
        <v>74</v>
      </c>
      <c r="I480" s="1">
        <v>24.7</v>
      </c>
      <c r="J480" s="1">
        <v>78</v>
      </c>
      <c r="K480" s="1">
        <v>80</v>
      </c>
      <c r="L480" s="1" t="s">
        <v>14</v>
      </c>
    </row>
    <row r="481" spans="1:12" x14ac:dyDescent="0.25">
      <c r="A481" s="1" t="s">
        <v>28</v>
      </c>
      <c r="B481" s="1" t="s">
        <v>29</v>
      </c>
      <c r="C481" s="1">
        <v>2021</v>
      </c>
      <c r="D481" s="7">
        <v>32492</v>
      </c>
      <c r="E481" s="1">
        <v>4.9000000000000004</v>
      </c>
      <c r="F481" s="1">
        <v>68</v>
      </c>
      <c r="G481" s="1">
        <v>1321707077</v>
      </c>
      <c r="H481" s="1">
        <v>85</v>
      </c>
      <c r="I481" s="1">
        <v>4.5</v>
      </c>
      <c r="J481" s="1">
        <v>88</v>
      </c>
      <c r="K481" s="1">
        <v>35</v>
      </c>
      <c r="L481" s="1" t="s">
        <v>29</v>
      </c>
    </row>
    <row r="482" spans="1:12" x14ac:dyDescent="0.25">
      <c r="A482" s="1" t="s">
        <v>12</v>
      </c>
      <c r="B482" s="1" t="s">
        <v>13</v>
      </c>
      <c r="C482" s="1">
        <v>2022</v>
      </c>
      <c r="D482" s="7">
        <v>11255</v>
      </c>
      <c r="E482" s="1">
        <v>13.7</v>
      </c>
      <c r="F482" s="1">
        <v>64</v>
      </c>
      <c r="G482" s="1">
        <v>1404371911</v>
      </c>
      <c r="H482" s="1">
        <v>64</v>
      </c>
      <c r="I482" s="1">
        <v>5.7</v>
      </c>
      <c r="J482" s="1">
        <v>80</v>
      </c>
      <c r="K482" s="1">
        <v>82</v>
      </c>
      <c r="L482" s="1" t="s">
        <v>14</v>
      </c>
    </row>
    <row r="483" spans="1:12" x14ac:dyDescent="0.25">
      <c r="A483" s="1" t="s">
        <v>15</v>
      </c>
      <c r="B483" s="1" t="s">
        <v>16</v>
      </c>
      <c r="C483" s="1">
        <v>2020</v>
      </c>
      <c r="D483" s="7">
        <v>12092</v>
      </c>
      <c r="E483" s="1">
        <v>5.6</v>
      </c>
      <c r="F483" s="1">
        <v>76</v>
      </c>
      <c r="G483" s="1">
        <v>728503315</v>
      </c>
      <c r="H483" s="1">
        <v>53</v>
      </c>
      <c r="I483" s="1">
        <v>15.3</v>
      </c>
      <c r="J483" s="1">
        <v>96</v>
      </c>
      <c r="K483" s="1">
        <v>61</v>
      </c>
      <c r="L483" s="1" t="s">
        <v>16</v>
      </c>
    </row>
    <row r="484" spans="1:12" x14ac:dyDescent="0.25">
      <c r="A484" s="1" t="s">
        <v>17</v>
      </c>
      <c r="B484" s="1" t="s">
        <v>18</v>
      </c>
      <c r="C484" s="1">
        <v>2020</v>
      </c>
      <c r="D484" s="7">
        <v>28685</v>
      </c>
      <c r="E484" s="1">
        <v>6.9</v>
      </c>
      <c r="F484" s="1">
        <v>67</v>
      </c>
      <c r="G484" s="1">
        <v>553857175</v>
      </c>
      <c r="H484" s="1">
        <v>83</v>
      </c>
      <c r="I484" s="1">
        <v>21.1</v>
      </c>
      <c r="J484" s="1">
        <v>97</v>
      </c>
      <c r="K484" s="1">
        <v>67</v>
      </c>
      <c r="L484" s="1" t="s">
        <v>18</v>
      </c>
    </row>
    <row r="485" spans="1:12" x14ac:dyDescent="0.25">
      <c r="A485" s="1" t="s">
        <v>19</v>
      </c>
      <c r="B485" s="1" t="s">
        <v>20</v>
      </c>
      <c r="C485" s="1">
        <v>2021</v>
      </c>
      <c r="D485" s="7">
        <v>67299</v>
      </c>
      <c r="E485" s="1">
        <v>10.3</v>
      </c>
      <c r="F485" s="1">
        <v>76</v>
      </c>
      <c r="G485" s="1">
        <v>666443325</v>
      </c>
      <c r="H485" s="1">
        <v>66</v>
      </c>
      <c r="I485" s="1">
        <v>16.5</v>
      </c>
      <c r="J485" s="1">
        <v>95</v>
      </c>
      <c r="K485" s="1">
        <v>53</v>
      </c>
      <c r="L485" s="1" t="s">
        <v>20</v>
      </c>
    </row>
    <row r="486" spans="1:12" x14ac:dyDescent="0.25">
      <c r="A486" s="1" t="s">
        <v>21</v>
      </c>
      <c r="B486" s="1" t="s">
        <v>22</v>
      </c>
      <c r="C486" s="1">
        <v>2022</v>
      </c>
      <c r="D486" s="7">
        <v>2082</v>
      </c>
      <c r="E486" s="1">
        <v>11.6</v>
      </c>
      <c r="F486" s="1">
        <v>71</v>
      </c>
      <c r="G486" s="1">
        <v>1481031812</v>
      </c>
      <c r="H486" s="1">
        <v>91</v>
      </c>
      <c r="I486" s="1">
        <v>18.399999999999999</v>
      </c>
      <c r="J486" s="1">
        <v>90</v>
      </c>
      <c r="K486" s="1">
        <v>82</v>
      </c>
      <c r="L486" s="1" t="s">
        <v>14</v>
      </c>
    </row>
    <row r="487" spans="1:12" x14ac:dyDescent="0.25">
      <c r="A487" s="1" t="s">
        <v>23</v>
      </c>
      <c r="B487" s="1" t="s">
        <v>18</v>
      </c>
      <c r="C487" s="1">
        <v>2020</v>
      </c>
      <c r="D487" s="7">
        <v>20870</v>
      </c>
      <c r="E487" s="1">
        <v>9.1</v>
      </c>
      <c r="F487" s="1">
        <v>84</v>
      </c>
      <c r="G487" s="1">
        <v>604185716</v>
      </c>
      <c r="H487" s="1">
        <v>73</v>
      </c>
      <c r="I487" s="1">
        <v>8.6999999999999993</v>
      </c>
      <c r="J487" s="1">
        <v>97</v>
      </c>
      <c r="K487" s="1">
        <v>46</v>
      </c>
      <c r="L487" s="1" t="s">
        <v>18</v>
      </c>
    </row>
    <row r="488" spans="1:12" x14ac:dyDescent="0.25">
      <c r="A488" s="1" t="s">
        <v>24</v>
      </c>
      <c r="B488" s="1" t="s">
        <v>16</v>
      </c>
      <c r="C488" s="1">
        <v>2021</v>
      </c>
      <c r="D488" s="7">
        <v>23678</v>
      </c>
      <c r="E488" s="1">
        <v>5.0999999999999996</v>
      </c>
      <c r="F488" s="1">
        <v>66</v>
      </c>
      <c r="G488" s="1">
        <v>1367456600</v>
      </c>
      <c r="H488" s="1">
        <v>62</v>
      </c>
      <c r="I488" s="1">
        <v>9.8000000000000007</v>
      </c>
      <c r="J488" s="1">
        <v>79</v>
      </c>
      <c r="K488" s="1">
        <v>62</v>
      </c>
      <c r="L488" s="1" t="s">
        <v>16</v>
      </c>
    </row>
    <row r="489" spans="1:12" x14ac:dyDescent="0.25">
      <c r="A489" s="1" t="s">
        <v>25</v>
      </c>
      <c r="B489" s="1" t="s">
        <v>26</v>
      </c>
      <c r="C489" s="1">
        <v>2021</v>
      </c>
      <c r="D489" s="7">
        <v>16381</v>
      </c>
      <c r="E489" s="1">
        <v>3</v>
      </c>
      <c r="F489" s="1">
        <v>81</v>
      </c>
      <c r="G489" s="1">
        <v>1357389161</v>
      </c>
      <c r="H489" s="1">
        <v>81</v>
      </c>
      <c r="I489" s="1">
        <v>20.5</v>
      </c>
      <c r="J489" s="1">
        <v>77</v>
      </c>
      <c r="K489" s="1">
        <v>35</v>
      </c>
      <c r="L489" s="1" t="s">
        <v>26</v>
      </c>
    </row>
    <row r="490" spans="1:12" x14ac:dyDescent="0.25">
      <c r="A490" s="1" t="s">
        <v>27</v>
      </c>
      <c r="B490" s="1" t="s">
        <v>22</v>
      </c>
      <c r="C490" s="1">
        <v>2021</v>
      </c>
      <c r="D490" s="7">
        <v>11700</v>
      </c>
      <c r="E490" s="1">
        <v>15.5</v>
      </c>
      <c r="F490" s="1">
        <v>79</v>
      </c>
      <c r="G490" s="1">
        <v>1273620927</v>
      </c>
      <c r="H490" s="1">
        <v>88</v>
      </c>
      <c r="I490" s="1">
        <v>2.9</v>
      </c>
      <c r="J490" s="1">
        <v>97</v>
      </c>
      <c r="K490" s="1">
        <v>30</v>
      </c>
      <c r="L490" s="1" t="s">
        <v>14</v>
      </c>
    </row>
    <row r="491" spans="1:12" x14ac:dyDescent="0.25">
      <c r="A491" s="1" t="s">
        <v>28</v>
      </c>
      <c r="B491" s="1" t="s">
        <v>29</v>
      </c>
      <c r="C491" s="1">
        <v>2022</v>
      </c>
      <c r="D491" s="7">
        <v>12967</v>
      </c>
      <c r="E491" s="1">
        <v>9.1</v>
      </c>
      <c r="F491" s="1">
        <v>84</v>
      </c>
      <c r="G491" s="1">
        <v>251745522</v>
      </c>
      <c r="H491" s="1">
        <v>76</v>
      </c>
      <c r="I491" s="1">
        <v>18.5</v>
      </c>
      <c r="J491" s="1">
        <v>86</v>
      </c>
      <c r="K491" s="1">
        <v>39</v>
      </c>
      <c r="L491" s="1" t="s">
        <v>29</v>
      </c>
    </row>
    <row r="492" spans="1:12" x14ac:dyDescent="0.25">
      <c r="A492" s="1" t="s">
        <v>12</v>
      </c>
      <c r="B492" s="1" t="s">
        <v>13</v>
      </c>
      <c r="C492" s="1">
        <v>2020</v>
      </c>
      <c r="D492" s="7">
        <v>66065</v>
      </c>
      <c r="E492" s="1">
        <v>6</v>
      </c>
      <c r="F492" s="1">
        <v>69</v>
      </c>
      <c r="G492" s="1">
        <v>906207894</v>
      </c>
      <c r="H492" s="1">
        <v>88</v>
      </c>
      <c r="I492" s="1">
        <v>9.1</v>
      </c>
      <c r="J492" s="1">
        <v>70</v>
      </c>
      <c r="K492" s="1">
        <v>79</v>
      </c>
      <c r="L492" s="1" t="s">
        <v>14</v>
      </c>
    </row>
    <row r="493" spans="1:12" x14ac:dyDescent="0.25">
      <c r="A493" s="1" t="s">
        <v>15</v>
      </c>
      <c r="B493" s="1" t="s">
        <v>16</v>
      </c>
      <c r="C493" s="1">
        <v>2020</v>
      </c>
      <c r="D493" s="7">
        <v>65194</v>
      </c>
      <c r="E493" s="1">
        <v>8.9</v>
      </c>
      <c r="F493" s="1">
        <v>66</v>
      </c>
      <c r="G493" s="1">
        <v>1294675280</v>
      </c>
      <c r="H493" s="1">
        <v>58</v>
      </c>
      <c r="I493" s="1">
        <v>22.9</v>
      </c>
      <c r="J493" s="1">
        <v>94</v>
      </c>
      <c r="K493" s="1">
        <v>71</v>
      </c>
      <c r="L493" s="1" t="s">
        <v>16</v>
      </c>
    </row>
    <row r="494" spans="1:12" x14ac:dyDescent="0.25">
      <c r="A494" s="1" t="s">
        <v>17</v>
      </c>
      <c r="B494" s="1" t="s">
        <v>18</v>
      </c>
      <c r="C494" s="1">
        <v>2022</v>
      </c>
      <c r="D494" s="7">
        <v>54167</v>
      </c>
      <c r="E494" s="1">
        <v>14.3</v>
      </c>
      <c r="F494" s="1">
        <v>64</v>
      </c>
      <c r="G494" s="1">
        <v>1443738440</v>
      </c>
      <c r="H494" s="1">
        <v>50</v>
      </c>
      <c r="I494" s="1">
        <v>15.4</v>
      </c>
      <c r="J494" s="1">
        <v>88</v>
      </c>
      <c r="K494" s="1">
        <v>85</v>
      </c>
      <c r="L494" s="1" t="s">
        <v>18</v>
      </c>
    </row>
    <row r="495" spans="1:12" x14ac:dyDescent="0.25">
      <c r="A495" s="1" t="s">
        <v>19</v>
      </c>
      <c r="B495" s="1" t="s">
        <v>20</v>
      </c>
      <c r="C495" s="1">
        <v>2021</v>
      </c>
      <c r="D495" s="7">
        <v>5215</v>
      </c>
      <c r="E495" s="1">
        <v>6.5</v>
      </c>
      <c r="F495" s="1">
        <v>69</v>
      </c>
      <c r="G495" s="1">
        <v>569600951</v>
      </c>
      <c r="H495" s="1">
        <v>94</v>
      </c>
      <c r="I495" s="1">
        <v>22.4</v>
      </c>
      <c r="J495" s="1">
        <v>93</v>
      </c>
      <c r="K495" s="1">
        <v>62</v>
      </c>
      <c r="L495" s="1" t="s">
        <v>20</v>
      </c>
    </row>
    <row r="496" spans="1:12" x14ac:dyDescent="0.25">
      <c r="A496" s="1" t="s">
        <v>21</v>
      </c>
      <c r="B496" s="1" t="s">
        <v>22</v>
      </c>
      <c r="C496" s="1">
        <v>2022</v>
      </c>
      <c r="D496" s="7">
        <v>43771</v>
      </c>
      <c r="E496" s="1">
        <v>4.3</v>
      </c>
      <c r="F496" s="1">
        <v>71</v>
      </c>
      <c r="G496" s="1">
        <v>1475110392</v>
      </c>
      <c r="H496" s="1">
        <v>58</v>
      </c>
      <c r="I496" s="1">
        <v>12.8</v>
      </c>
      <c r="J496" s="1">
        <v>70</v>
      </c>
      <c r="K496" s="1">
        <v>59</v>
      </c>
      <c r="L496" s="1" t="s">
        <v>14</v>
      </c>
    </row>
    <row r="497" spans="1:12" x14ac:dyDescent="0.25">
      <c r="A497" s="1" t="s">
        <v>23</v>
      </c>
      <c r="B497" s="1" t="s">
        <v>18</v>
      </c>
      <c r="C497" s="1">
        <v>2021</v>
      </c>
      <c r="D497" s="7">
        <v>50360</v>
      </c>
      <c r="E497" s="1">
        <v>15.4</v>
      </c>
      <c r="F497" s="1">
        <v>78</v>
      </c>
      <c r="G497" s="1">
        <v>1173779390</v>
      </c>
      <c r="H497" s="1">
        <v>58</v>
      </c>
      <c r="I497" s="1">
        <v>20.5</v>
      </c>
      <c r="J497" s="1">
        <v>85</v>
      </c>
      <c r="K497" s="1">
        <v>52</v>
      </c>
      <c r="L497" s="1" t="s">
        <v>18</v>
      </c>
    </row>
    <row r="498" spans="1:12" x14ac:dyDescent="0.25">
      <c r="A498" s="1" t="s">
        <v>24</v>
      </c>
      <c r="B498" s="1" t="s">
        <v>16</v>
      </c>
      <c r="C498" s="1">
        <v>2022</v>
      </c>
      <c r="D498" s="7">
        <v>45389</v>
      </c>
      <c r="E498" s="1">
        <v>7.9</v>
      </c>
      <c r="F498" s="1">
        <v>69</v>
      </c>
      <c r="G498" s="1">
        <v>10172880</v>
      </c>
      <c r="H498" s="1">
        <v>70</v>
      </c>
      <c r="I498" s="1">
        <v>19.899999999999999</v>
      </c>
      <c r="J498" s="1">
        <v>94</v>
      </c>
      <c r="K498" s="1">
        <v>42</v>
      </c>
      <c r="L498" s="1" t="s">
        <v>16</v>
      </c>
    </row>
    <row r="499" spans="1:12" x14ac:dyDescent="0.25">
      <c r="A499" s="1" t="s">
        <v>25</v>
      </c>
      <c r="B499" s="1" t="s">
        <v>26</v>
      </c>
      <c r="C499" s="1">
        <v>2021</v>
      </c>
      <c r="D499" s="7">
        <v>10166</v>
      </c>
      <c r="E499" s="1">
        <v>4.9000000000000004</v>
      </c>
      <c r="F499" s="1">
        <v>67</v>
      </c>
      <c r="G499" s="1">
        <v>1045842962</v>
      </c>
      <c r="H499" s="1">
        <v>89</v>
      </c>
      <c r="I499" s="1">
        <v>15.2</v>
      </c>
      <c r="J499" s="1">
        <v>92</v>
      </c>
      <c r="K499" s="1">
        <v>45</v>
      </c>
      <c r="L499" s="1" t="s">
        <v>26</v>
      </c>
    </row>
    <row r="500" spans="1:12" x14ac:dyDescent="0.25">
      <c r="A500" s="1" t="s">
        <v>27</v>
      </c>
      <c r="B500" s="1" t="s">
        <v>22</v>
      </c>
      <c r="C500" s="1">
        <v>2020</v>
      </c>
      <c r="D500" s="7">
        <v>67116</v>
      </c>
      <c r="E500" s="1">
        <v>15.6</v>
      </c>
      <c r="F500" s="1">
        <v>72</v>
      </c>
      <c r="G500" s="1">
        <v>1227974417</v>
      </c>
      <c r="H500" s="1">
        <v>76</v>
      </c>
      <c r="I500" s="1">
        <v>7.4</v>
      </c>
      <c r="J500" s="1">
        <v>92</v>
      </c>
      <c r="K500" s="1">
        <v>86</v>
      </c>
      <c r="L500" s="1" t="s">
        <v>14</v>
      </c>
    </row>
    <row r="501" spans="1:12" x14ac:dyDescent="0.25">
      <c r="A501" s="1" t="s">
        <v>28</v>
      </c>
      <c r="B501" s="1" t="s">
        <v>29</v>
      </c>
      <c r="C501" s="1">
        <v>2020</v>
      </c>
      <c r="D501" s="7">
        <v>51044</v>
      </c>
      <c r="E501" s="1">
        <v>15.9</v>
      </c>
      <c r="F501" s="1">
        <v>82</v>
      </c>
      <c r="G501" s="1">
        <v>476370662</v>
      </c>
      <c r="H501" s="1">
        <v>94</v>
      </c>
      <c r="I501" s="1">
        <v>21.9</v>
      </c>
      <c r="J501" s="1">
        <v>87</v>
      </c>
      <c r="K501" s="1">
        <v>44</v>
      </c>
      <c r="L501" s="1" t="s">
        <v>29</v>
      </c>
    </row>
  </sheetData>
  <conditionalFormatting sqref="A2:L501">
    <cfRule type="expression" dxfId="1" priority="1">
      <formula>$D2:$D501&gt;50000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>
      <selection activeCell="D13" sqref="D13"/>
    </sheetView>
  </sheetViews>
  <sheetFormatPr defaultRowHeight="15" x14ac:dyDescent="0.25"/>
  <cols>
    <col min="1" max="1" width="14" bestFit="1" customWidth="1"/>
    <col min="2" max="2" width="14.42578125" bestFit="1" customWidth="1"/>
    <col min="3" max="3" width="9.28515625" bestFit="1" customWidth="1"/>
    <col min="4" max="4" width="15.85546875" bestFit="1" customWidth="1"/>
  </cols>
  <sheetData>
    <row r="1" spans="1:4" ht="15.75" x14ac:dyDescent="0.25">
      <c r="A1" s="4" t="s">
        <v>0</v>
      </c>
      <c r="B1" s="4" t="s">
        <v>40</v>
      </c>
      <c r="C1" s="4" t="s">
        <v>41</v>
      </c>
      <c r="D1" s="4" t="s">
        <v>42</v>
      </c>
    </row>
    <row r="2" spans="1:4" x14ac:dyDescent="0.25">
      <c r="A2" s="1" t="s">
        <v>12</v>
      </c>
      <c r="B2" s="1">
        <f>AVERAGEIF(Clean_Data!A:A,A2,Clean_Data!D:D)</f>
        <v>35770.980000000003</v>
      </c>
      <c r="C2" s="1">
        <f>AVERAGEIF(Clean_Data!A:A,A2,Clean_Data!F:F)</f>
        <v>71.7</v>
      </c>
      <c r="D2" s="1">
        <f>AVERAGEIF(Clean_Data!A:A,A2,Clean_Data!E:E)</f>
        <v>8.8379999999999992</v>
      </c>
    </row>
    <row r="3" spans="1:4" x14ac:dyDescent="0.25">
      <c r="A3" s="1" t="s">
        <v>15</v>
      </c>
      <c r="B3" s="1">
        <f>AVERAGEIF(Clean_Data!A:A,A3,Clean_Data!D:D)</f>
        <v>37589.82</v>
      </c>
      <c r="C3" s="1">
        <f>AVERAGEIF(Clean_Data!A:A,A3,Clean_Data!F:F)</f>
        <v>70.14</v>
      </c>
      <c r="D3" s="1">
        <f>AVERAGEIF(Clean_Data!A:A,A3,Clean_Data!E:E)</f>
        <v>10.532</v>
      </c>
    </row>
    <row r="4" spans="1:4" x14ac:dyDescent="0.25">
      <c r="A4" s="1" t="s">
        <v>17</v>
      </c>
      <c r="B4" s="1">
        <f>AVERAGEIF(Clean_Data!A:A,A4,Clean_Data!D:D)</f>
        <v>39469.599999999999</v>
      </c>
      <c r="C4" s="1">
        <f>AVERAGEIF(Clean_Data!A:A,A4,Clean_Data!F:F)</f>
        <v>71.959999999999994</v>
      </c>
      <c r="D4" s="1">
        <f>AVERAGEIF(Clean_Data!A:A,A4,Clean_Data!E:E)</f>
        <v>9.0500000000000007</v>
      </c>
    </row>
    <row r="5" spans="1:4" x14ac:dyDescent="0.25">
      <c r="A5" s="1" t="s">
        <v>19</v>
      </c>
      <c r="B5" s="1">
        <f>AVERAGEIF(Clean_Data!A:A,A5,Clean_Data!D:D)</f>
        <v>34413.360000000001</v>
      </c>
      <c r="C5" s="1">
        <f>AVERAGEIF(Clean_Data!A:A,A5,Clean_Data!F:F)</f>
        <v>73.58</v>
      </c>
      <c r="D5" s="1">
        <f>AVERAGEIF(Clean_Data!A:A,A5,Clean_Data!E:E)</f>
        <v>9.4320000000000004</v>
      </c>
    </row>
    <row r="6" spans="1:4" x14ac:dyDescent="0.25">
      <c r="A6" s="1" t="s">
        <v>21</v>
      </c>
      <c r="B6" s="1">
        <f>AVERAGEIF(Clean_Data!A:A,A6,Clean_Data!D:D)</f>
        <v>37636.9</v>
      </c>
      <c r="C6" s="1">
        <f>AVERAGEIF(Clean_Data!A:A,A6,Clean_Data!F:F)</f>
        <v>72.22</v>
      </c>
      <c r="D6" s="1">
        <f>AVERAGEIF(Clean_Data!A:A,A6,Clean_Data!E:E)</f>
        <v>10.505999999999998</v>
      </c>
    </row>
    <row r="8" spans="1:4" ht="15.75" x14ac:dyDescent="0.25">
      <c r="A8" s="23" t="s">
        <v>1</v>
      </c>
      <c r="B8" s="23" t="s">
        <v>54</v>
      </c>
    </row>
    <row r="9" spans="1:4" x14ac:dyDescent="0.25">
      <c r="A9" s="6" t="s">
        <v>29</v>
      </c>
      <c r="B9" s="6">
        <f>AVERAGEIFS(Main_Data!D:D,Main_Data!L:L,A9)</f>
        <v>35281.68</v>
      </c>
    </row>
    <row r="10" spans="1:4" x14ac:dyDescent="0.25">
      <c r="A10" s="6" t="s">
        <v>14</v>
      </c>
      <c r="B10" s="6">
        <f>AVERAGEIFS(Main_Data!D:D,Main_Data!L:L,A10)</f>
        <v>36245.72</v>
      </c>
    </row>
    <row r="11" spans="1:4" x14ac:dyDescent="0.25">
      <c r="A11" s="6" t="s">
        <v>18</v>
      </c>
      <c r="B11" s="6">
        <f>AVERAGEIFS(Main_Data!D:D,Main_Data!L:L,A11)</f>
        <v>38347.440000000002</v>
      </c>
    </row>
    <row r="12" spans="1:4" x14ac:dyDescent="0.25">
      <c r="A12" s="6" t="s">
        <v>16</v>
      </c>
      <c r="B12" s="6">
        <f>AVERAGEIFS(Main_Data!D:D,Main_Data!L:L,A12)</f>
        <v>37229.07</v>
      </c>
    </row>
    <row r="13" spans="1:4" x14ac:dyDescent="0.25">
      <c r="A13" s="6" t="s">
        <v>26</v>
      </c>
      <c r="B13" s="6">
        <f>AVERAGEIFS(Main_Data!D:D,Main_Data!L:L,A13)</f>
        <v>34481.5</v>
      </c>
    </row>
    <row r="14" spans="1:4" x14ac:dyDescent="0.25">
      <c r="A14" s="6" t="s">
        <v>20</v>
      </c>
      <c r="B14" s="6">
        <f>AVERAGEIFS(Main_Data!D:D,Main_Data!L:L,A14)</f>
        <v>34413.360000000001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1"/>
  <sheetViews>
    <sheetView workbookViewId="0">
      <selection activeCell="E10" sqref="E10"/>
    </sheetView>
  </sheetViews>
  <sheetFormatPr defaultRowHeight="15" x14ac:dyDescent="0.25"/>
  <cols>
    <col min="1" max="1" width="13.5703125" bestFit="1" customWidth="1"/>
    <col min="2" max="2" width="22.42578125" bestFit="1" customWidth="1"/>
  </cols>
  <sheetData>
    <row r="1" spans="1:2" x14ac:dyDescent="0.25">
      <c r="A1" s="8" t="s">
        <v>43</v>
      </c>
      <c r="B1" s="9" t="s">
        <v>45</v>
      </c>
    </row>
    <row r="2" spans="1:2" x14ac:dyDescent="0.25">
      <c r="A2" s="10" t="s">
        <v>25</v>
      </c>
      <c r="B2" s="11"/>
    </row>
    <row r="3" spans="1:2" x14ac:dyDescent="0.25">
      <c r="A3" s="12">
        <v>2020</v>
      </c>
      <c r="B3" s="11">
        <v>492919</v>
      </c>
    </row>
    <row r="4" spans="1:2" x14ac:dyDescent="0.25">
      <c r="A4" s="12">
        <v>2021</v>
      </c>
      <c r="B4" s="11">
        <v>573910</v>
      </c>
    </row>
    <row r="5" spans="1:2" x14ac:dyDescent="0.25">
      <c r="A5" s="12">
        <v>2022</v>
      </c>
      <c r="B5" s="11">
        <v>657246</v>
      </c>
    </row>
    <row r="6" spans="1:2" x14ac:dyDescent="0.25">
      <c r="A6" s="10" t="s">
        <v>19</v>
      </c>
      <c r="B6" s="11"/>
    </row>
    <row r="7" spans="1:2" x14ac:dyDescent="0.25">
      <c r="A7" s="12">
        <v>2020</v>
      </c>
      <c r="B7" s="11">
        <v>441583</v>
      </c>
    </row>
    <row r="8" spans="1:2" x14ac:dyDescent="0.25">
      <c r="A8" s="12">
        <v>2021</v>
      </c>
      <c r="B8" s="11">
        <v>644737</v>
      </c>
    </row>
    <row r="9" spans="1:2" x14ac:dyDescent="0.25">
      <c r="A9" s="12">
        <v>2022</v>
      </c>
      <c r="B9" s="11">
        <v>634348</v>
      </c>
    </row>
    <row r="10" spans="1:2" x14ac:dyDescent="0.25">
      <c r="A10" s="10" t="s">
        <v>24</v>
      </c>
      <c r="B10" s="11"/>
    </row>
    <row r="11" spans="1:2" x14ac:dyDescent="0.25">
      <c r="A11" s="12">
        <v>2020</v>
      </c>
      <c r="B11" s="11">
        <v>728199</v>
      </c>
    </row>
    <row r="12" spans="1:2" x14ac:dyDescent="0.25">
      <c r="A12" s="12">
        <v>2021</v>
      </c>
      <c r="B12" s="11">
        <v>511629</v>
      </c>
    </row>
    <row r="13" spans="1:2" x14ac:dyDescent="0.25">
      <c r="A13" s="12">
        <v>2022</v>
      </c>
      <c r="B13" s="11">
        <v>603588</v>
      </c>
    </row>
    <row r="14" spans="1:2" x14ac:dyDescent="0.25">
      <c r="A14" s="10" t="s">
        <v>21</v>
      </c>
      <c r="B14" s="11"/>
    </row>
    <row r="15" spans="1:2" x14ac:dyDescent="0.25">
      <c r="A15" s="12">
        <v>2020</v>
      </c>
      <c r="B15" s="11">
        <v>625711</v>
      </c>
    </row>
    <row r="16" spans="1:2" x14ac:dyDescent="0.25">
      <c r="A16" s="12">
        <v>2021</v>
      </c>
      <c r="B16" s="11">
        <v>661898</v>
      </c>
    </row>
    <row r="17" spans="1:2" x14ac:dyDescent="0.25">
      <c r="A17" s="12">
        <v>2022</v>
      </c>
      <c r="B17" s="11">
        <v>594236</v>
      </c>
    </row>
    <row r="18" spans="1:2" x14ac:dyDescent="0.25">
      <c r="A18" s="10" t="s">
        <v>17</v>
      </c>
      <c r="B18" s="11"/>
    </row>
    <row r="19" spans="1:2" x14ac:dyDescent="0.25">
      <c r="A19" s="12">
        <v>2020</v>
      </c>
      <c r="B19" s="11">
        <v>695658</v>
      </c>
    </row>
    <row r="20" spans="1:2" x14ac:dyDescent="0.25">
      <c r="A20" s="12">
        <v>2021</v>
      </c>
      <c r="B20" s="11">
        <v>636996</v>
      </c>
    </row>
    <row r="21" spans="1:2" x14ac:dyDescent="0.25">
      <c r="A21" s="12">
        <v>2022</v>
      </c>
      <c r="B21" s="11">
        <v>640826</v>
      </c>
    </row>
    <row r="22" spans="1:2" x14ac:dyDescent="0.25">
      <c r="A22" s="10" t="s">
        <v>12</v>
      </c>
      <c r="B22" s="11"/>
    </row>
    <row r="23" spans="1:2" x14ac:dyDescent="0.25">
      <c r="A23" s="12">
        <v>2020</v>
      </c>
      <c r="B23" s="11">
        <v>598330</v>
      </c>
    </row>
    <row r="24" spans="1:2" x14ac:dyDescent="0.25">
      <c r="A24" s="12">
        <v>2021</v>
      </c>
      <c r="B24" s="11">
        <v>776896</v>
      </c>
    </row>
    <row r="25" spans="1:2" x14ac:dyDescent="0.25">
      <c r="A25" s="12">
        <v>2022</v>
      </c>
      <c r="B25" s="11">
        <v>413323</v>
      </c>
    </row>
    <row r="26" spans="1:2" x14ac:dyDescent="0.25">
      <c r="A26" s="10" t="s">
        <v>27</v>
      </c>
      <c r="B26" s="11"/>
    </row>
    <row r="27" spans="1:2" x14ac:dyDescent="0.25">
      <c r="A27" s="12">
        <v>2020</v>
      </c>
      <c r="B27" s="11">
        <v>887602</v>
      </c>
    </row>
    <row r="28" spans="1:2" x14ac:dyDescent="0.25">
      <c r="A28" s="12">
        <v>2021</v>
      </c>
      <c r="B28" s="11">
        <v>426357</v>
      </c>
    </row>
    <row r="29" spans="1:2" x14ac:dyDescent="0.25">
      <c r="A29" s="12">
        <v>2022</v>
      </c>
      <c r="B29" s="11">
        <v>452505</v>
      </c>
    </row>
    <row r="30" spans="1:2" x14ac:dyDescent="0.25">
      <c r="A30" s="10" t="s">
        <v>28</v>
      </c>
      <c r="B30" s="11"/>
    </row>
    <row r="31" spans="1:2" x14ac:dyDescent="0.25">
      <c r="A31" s="12">
        <v>2020</v>
      </c>
      <c r="B31" s="11">
        <v>897526</v>
      </c>
    </row>
    <row r="32" spans="1:2" x14ac:dyDescent="0.25">
      <c r="A32" s="12">
        <v>2021</v>
      </c>
      <c r="B32" s="11">
        <v>413466</v>
      </c>
    </row>
    <row r="33" spans="1:2" x14ac:dyDescent="0.25">
      <c r="A33" s="12">
        <v>2022</v>
      </c>
      <c r="B33" s="11">
        <v>453092</v>
      </c>
    </row>
    <row r="34" spans="1:2" x14ac:dyDescent="0.25">
      <c r="A34" s="10" t="s">
        <v>23</v>
      </c>
      <c r="B34" s="11"/>
    </row>
    <row r="35" spans="1:2" x14ac:dyDescent="0.25">
      <c r="A35" s="12">
        <v>2020</v>
      </c>
      <c r="B35" s="11">
        <v>649718</v>
      </c>
    </row>
    <row r="36" spans="1:2" x14ac:dyDescent="0.25">
      <c r="A36" s="12">
        <v>2021</v>
      </c>
      <c r="B36" s="11">
        <v>477606</v>
      </c>
    </row>
    <row r="37" spans="1:2" x14ac:dyDescent="0.25">
      <c r="A37" s="12">
        <v>2022</v>
      </c>
      <c r="B37" s="11">
        <v>733940</v>
      </c>
    </row>
    <row r="38" spans="1:2" x14ac:dyDescent="0.25">
      <c r="A38" s="10" t="s">
        <v>15</v>
      </c>
      <c r="B38" s="11"/>
    </row>
    <row r="39" spans="1:2" x14ac:dyDescent="0.25">
      <c r="A39" s="12">
        <v>2020</v>
      </c>
      <c r="B39" s="11">
        <v>936614</v>
      </c>
    </row>
    <row r="40" spans="1:2" x14ac:dyDescent="0.25">
      <c r="A40" s="12">
        <v>2021</v>
      </c>
      <c r="B40" s="11">
        <v>605308</v>
      </c>
    </row>
    <row r="41" spans="1:2" ht="15.75" thickBot="1" x14ac:dyDescent="0.3">
      <c r="A41" s="13">
        <v>2022</v>
      </c>
      <c r="B41" s="14">
        <v>337569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2"/>
  <sheetViews>
    <sheetView workbookViewId="0">
      <selection activeCell="E5" sqref="E5"/>
    </sheetView>
  </sheetViews>
  <sheetFormatPr defaultRowHeight="15" x14ac:dyDescent="0.25"/>
  <cols>
    <col min="1" max="1" width="17.7109375" bestFit="1" customWidth="1"/>
    <col min="2" max="2" width="19.85546875" bestFit="1" customWidth="1"/>
    <col min="3" max="3" width="8.7109375" bestFit="1" customWidth="1"/>
    <col min="4" max="4" width="7.28515625" bestFit="1" customWidth="1"/>
    <col min="5" max="5" width="14" bestFit="1" customWidth="1"/>
    <col min="6" max="6" width="8.140625" bestFit="1" customWidth="1"/>
    <col min="7" max="7" width="14" bestFit="1" customWidth="1"/>
    <col min="8" max="8" width="10.28515625" bestFit="1" customWidth="1"/>
    <col min="9" max="9" width="11.28515625" bestFit="1" customWidth="1"/>
  </cols>
  <sheetData>
    <row r="1" spans="1:2" x14ac:dyDescent="0.25">
      <c r="A1" s="15" t="s">
        <v>43</v>
      </c>
      <c r="B1" s="16" t="s">
        <v>10</v>
      </c>
    </row>
    <row r="2" spans="1:2" x14ac:dyDescent="0.25">
      <c r="A2" s="17" t="s">
        <v>25</v>
      </c>
      <c r="B2" s="18"/>
    </row>
    <row r="3" spans="1:2" x14ac:dyDescent="0.25">
      <c r="A3" s="17" t="s">
        <v>26</v>
      </c>
      <c r="B3" s="18">
        <v>3025</v>
      </c>
    </row>
    <row r="4" spans="1:2" x14ac:dyDescent="0.25">
      <c r="A4" s="17" t="s">
        <v>19</v>
      </c>
      <c r="B4" s="18"/>
    </row>
    <row r="5" spans="1:2" x14ac:dyDescent="0.25">
      <c r="A5" s="17" t="s">
        <v>20</v>
      </c>
      <c r="B5" s="18">
        <v>3129</v>
      </c>
    </row>
    <row r="6" spans="1:2" x14ac:dyDescent="0.25">
      <c r="A6" s="17" t="s">
        <v>24</v>
      </c>
      <c r="B6" s="18"/>
    </row>
    <row r="7" spans="1:2" x14ac:dyDescent="0.25">
      <c r="A7" s="17" t="s">
        <v>16</v>
      </c>
      <c r="B7" s="18">
        <v>3005</v>
      </c>
    </row>
    <row r="8" spans="1:2" x14ac:dyDescent="0.25">
      <c r="A8" s="17" t="s">
        <v>21</v>
      </c>
      <c r="B8" s="18"/>
    </row>
    <row r="9" spans="1:2" x14ac:dyDescent="0.25">
      <c r="A9" s="17" t="s">
        <v>22</v>
      </c>
      <c r="B9" s="18">
        <v>3040</v>
      </c>
    </row>
    <row r="10" spans="1:2" x14ac:dyDescent="0.25">
      <c r="A10" s="17" t="s">
        <v>17</v>
      </c>
      <c r="B10" s="18"/>
    </row>
    <row r="11" spans="1:2" x14ac:dyDescent="0.25">
      <c r="A11" s="17" t="s">
        <v>18</v>
      </c>
      <c r="B11" s="18">
        <v>3081</v>
      </c>
    </row>
    <row r="12" spans="1:2" x14ac:dyDescent="0.25">
      <c r="A12" s="17" t="s">
        <v>12</v>
      </c>
      <c r="B12" s="18"/>
    </row>
    <row r="13" spans="1:2" x14ac:dyDescent="0.25">
      <c r="A13" s="17" t="s">
        <v>13</v>
      </c>
      <c r="B13" s="18">
        <v>2942</v>
      </c>
    </row>
    <row r="14" spans="1:2" x14ac:dyDescent="0.25">
      <c r="A14" s="17" t="s">
        <v>27</v>
      </c>
      <c r="B14" s="18"/>
    </row>
    <row r="15" spans="1:2" x14ac:dyDescent="0.25">
      <c r="A15" s="17" t="s">
        <v>22</v>
      </c>
      <c r="B15" s="18">
        <v>2981</v>
      </c>
    </row>
    <row r="16" spans="1:2" x14ac:dyDescent="0.25">
      <c r="A16" s="17" t="s">
        <v>28</v>
      </c>
      <c r="B16" s="18"/>
    </row>
    <row r="17" spans="1:2" x14ac:dyDescent="0.25">
      <c r="A17" s="17" t="s">
        <v>29</v>
      </c>
      <c r="B17" s="18">
        <v>2835</v>
      </c>
    </row>
    <row r="18" spans="1:2" x14ac:dyDescent="0.25">
      <c r="A18" s="17" t="s">
        <v>23</v>
      </c>
      <c r="B18" s="18"/>
    </row>
    <row r="19" spans="1:2" x14ac:dyDescent="0.25">
      <c r="A19" s="17" t="s">
        <v>18</v>
      </c>
      <c r="B19" s="18">
        <v>2998</v>
      </c>
    </row>
    <row r="20" spans="1:2" x14ac:dyDescent="0.25">
      <c r="A20" s="17" t="s">
        <v>15</v>
      </c>
      <c r="B20" s="18"/>
    </row>
    <row r="21" spans="1:2" x14ac:dyDescent="0.25">
      <c r="A21" s="17" t="s">
        <v>16</v>
      </c>
      <c r="B21" s="18">
        <v>3062</v>
      </c>
    </row>
    <row r="22" spans="1:2" ht="15.75" thickBot="1" x14ac:dyDescent="0.3">
      <c r="A22" s="19" t="s">
        <v>44</v>
      </c>
      <c r="B22" s="20">
        <v>30098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22BF-DF4E-4FC2-8271-5367B18CBA2E}">
  <dimension ref="A1:B8"/>
  <sheetViews>
    <sheetView workbookViewId="0">
      <selection activeCell="B2" sqref="B2"/>
    </sheetView>
  </sheetViews>
  <sheetFormatPr defaultRowHeight="15" x14ac:dyDescent="0.25"/>
  <cols>
    <col min="1" max="1" width="14" bestFit="1" customWidth="1"/>
    <col min="2" max="2" width="10" bestFit="1" customWidth="1"/>
  </cols>
  <sheetData>
    <row r="1" spans="1:2" ht="15.75" x14ac:dyDescent="0.25">
      <c r="A1" s="4" t="s">
        <v>1</v>
      </c>
      <c r="B1" s="4" t="s">
        <v>40</v>
      </c>
    </row>
    <row r="2" spans="1:2" x14ac:dyDescent="0.25">
      <c r="A2" s="1" t="s">
        <v>22</v>
      </c>
      <c r="B2" s="1">
        <f>AVERAGEIF(Main_Data!B:B,A2,Main_Data!D:D)</f>
        <v>36483.089999999997</v>
      </c>
    </row>
    <row r="3" spans="1:2" x14ac:dyDescent="0.25">
      <c r="A3" s="1" t="s">
        <v>13</v>
      </c>
      <c r="B3" s="1">
        <f>AVERAGEIF(Main_Data!B:B,A3,Main_Data!D:D)</f>
        <v>35770.980000000003</v>
      </c>
    </row>
    <row r="4" spans="1:2" x14ac:dyDescent="0.25">
      <c r="A4" s="1" t="s">
        <v>18</v>
      </c>
      <c r="B4" s="1">
        <f>AVERAGEIF(Main_Data!B:B,A4,Main_Data!D:D)</f>
        <v>38347.440000000002</v>
      </c>
    </row>
    <row r="5" spans="1:2" x14ac:dyDescent="0.25">
      <c r="A5" s="1" t="s">
        <v>29</v>
      </c>
      <c r="B5" s="1">
        <f>AVERAGEIF(Main_Data!B:B,A5,Main_Data!D:D)</f>
        <v>35281.68</v>
      </c>
    </row>
    <row r="6" spans="1:2" x14ac:dyDescent="0.25">
      <c r="A6" s="1" t="s">
        <v>16</v>
      </c>
      <c r="B6" s="1">
        <f>AVERAGEIF(Main_Data!B:B,A6,Main_Data!D:D)</f>
        <v>37229.07</v>
      </c>
    </row>
    <row r="7" spans="1:2" x14ac:dyDescent="0.25">
      <c r="A7" s="1" t="s">
        <v>20</v>
      </c>
      <c r="B7" s="1">
        <f>AVERAGEIF(Main_Data!B:B,A7,Main_Data!D:D)</f>
        <v>34413.360000000001</v>
      </c>
    </row>
    <row r="8" spans="1:2" x14ac:dyDescent="0.25">
      <c r="A8" s="1" t="s">
        <v>26</v>
      </c>
      <c r="B8" s="1">
        <f>AVERAGEIF(Main_Data!B:B,A8,Main_Data!D:D)</f>
        <v>34481.5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4"/>
  <sheetViews>
    <sheetView tabSelected="1" topLeftCell="A33" zoomScale="85" zoomScaleNormal="85" workbookViewId="0">
      <selection activeCell="N46" sqref="N46"/>
    </sheetView>
  </sheetViews>
  <sheetFormatPr defaultRowHeight="15" x14ac:dyDescent="0.25"/>
  <cols>
    <col min="1" max="2" width="10" bestFit="1" customWidth="1"/>
    <col min="3" max="3" width="18.5703125" bestFit="1" customWidth="1"/>
    <col min="4" max="4" width="15.7109375" bestFit="1" customWidth="1"/>
    <col min="5" max="5" width="9.140625" bestFit="1" customWidth="1"/>
  </cols>
  <sheetData>
    <row r="1" spans="1:17" ht="26.25" x14ac:dyDescent="0.4">
      <c r="A1" s="22" t="s">
        <v>49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3" spans="1:17" x14ac:dyDescent="0.25">
      <c r="B3" s="21" t="s">
        <v>50</v>
      </c>
      <c r="C3" s="21" t="s">
        <v>51</v>
      </c>
      <c r="D3" s="21" t="s">
        <v>52</v>
      </c>
      <c r="E3" s="21" t="s">
        <v>53</v>
      </c>
    </row>
    <row r="4" spans="1:17" x14ac:dyDescent="0.25">
      <c r="B4" s="1">
        <f>AVERAGE(Clean_Data!D:D)</f>
        <v>36406.671999999999</v>
      </c>
      <c r="C4" s="1">
        <f>AVERAGE(Clean_Data!F:F)</f>
        <v>72.286000000000001</v>
      </c>
      <c r="D4" s="7">
        <f>SUM(Clean_Data!G:G)</f>
        <v>388443294685</v>
      </c>
      <c r="E4" s="1">
        <f>MAX(Clean_Data!D:D)</f>
        <v>69904</v>
      </c>
    </row>
  </sheetData>
  <mergeCells count="1">
    <mergeCell ref="A1:Q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Main_Data</vt:lpstr>
      <vt:lpstr>Clean_Data</vt:lpstr>
      <vt:lpstr>Validation</vt:lpstr>
      <vt:lpstr>VLookup_Tables</vt:lpstr>
      <vt:lpstr>HLookup_Tables</vt:lpstr>
      <vt:lpstr>Shorting</vt:lpstr>
      <vt:lpstr>Filtering</vt:lpstr>
      <vt:lpstr>Conditional Formating</vt:lpstr>
      <vt:lpstr>Analysis</vt:lpstr>
      <vt:lpstr>Pivot_Health_GDP</vt:lpstr>
      <vt:lpstr>Pivot_Region</vt:lpstr>
      <vt:lpstr>Pivot Chart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JIT DEY</cp:lastModifiedBy>
  <dcterms:created xsi:type="dcterms:W3CDTF">2026-03-23T08:56:49Z</dcterms:created>
  <dcterms:modified xsi:type="dcterms:W3CDTF">2026-03-23T15:02:14Z</dcterms:modified>
</cp:coreProperties>
</file>