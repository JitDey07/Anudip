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13_ncr:1_{E25FBAB7-9405-4874-80F4-C1C6C6455AF2}" xr6:coauthVersionLast="47" xr6:coauthVersionMax="47" xr10:uidLastSave="{00000000-0000-0000-0000-000000000000}"/>
  <bookViews>
    <workbookView xWindow="-120" yWindow="-120" windowWidth="20730" windowHeight="11160" firstSheet="3" activeTab="16" xr2:uid="{51EF9ABA-A2CB-45F4-B210-6954C272625E}"/>
  </bookViews>
  <sheets>
    <sheet name="Data Set &amp; Questions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  <sheet name="Q14" sheetId="15" r:id="rId15"/>
    <sheet name="Q15" sheetId="16" r:id="rId16"/>
    <sheet name="Q16" sheetId="17" r:id="rId17"/>
  </sheets>
  <definedNames>
    <definedName name="_xlnm._FilterDatabase" localSheetId="2" hidden="1">'Q2'!$A$2:$I$12</definedName>
    <definedName name="_xlnm._FilterDatabase" localSheetId="3" hidden="1">'Q3'!$A$2:$I$12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13" l="1"/>
  <c r="K9" i="14"/>
  <c r="K9" i="12"/>
  <c r="K9" i="11"/>
  <c r="K9" i="10"/>
  <c r="K9" i="9"/>
  <c r="K9" i="8"/>
  <c r="K9" i="7"/>
  <c r="K9" i="6"/>
  <c r="K9" i="5"/>
  <c r="I13" i="5"/>
  <c r="K11" i="17"/>
  <c r="I13" i="14"/>
  <c r="I13" i="13"/>
  <c r="I13" i="12"/>
  <c r="I13" i="11"/>
  <c r="F13" i="10"/>
  <c r="A13" i="9"/>
  <c r="G13" i="8"/>
  <c r="I13" i="7"/>
  <c r="G13" i="6"/>
</calcChain>
</file>

<file path=xl/sharedStrings.xml><?xml version="1.0" encoding="utf-8"?>
<sst xmlns="http://schemas.openxmlformats.org/spreadsheetml/2006/main" count="958" uniqueCount="87">
  <si>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</si>
  <si>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</si>
  <si>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</si>
  <si>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</si>
  <si>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</si>
  <si>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</si>
  <si>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</si>
  <si>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</si>
  <si>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</si>
  <si>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</si>
  <si>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</si>
  <si>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</si>
  <si>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</si>
  <si>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</si>
  <si>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</si>
  <si>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</si>
  <si>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</si>
  <si>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</si>
  <si>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</si>
  <si>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</si>
  <si>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</si>
  <si>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</si>
  <si>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</si>
  <si>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</si>
  <si>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DATA SET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</si>
  <si>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</si>
  <si>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</si>
  <si>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</si>
  <si>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</si>
  <si>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</si>
  <si>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</si>
  <si>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</si>
  <si>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</si>
  <si>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</si>
  <si>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</si>
  <si>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</si>
  <si>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</si>
  <si>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</si>
  <si>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</si>
  <si>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</si>
  <si>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</si>
  <si>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</si>
  <si>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</si>
  <si>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QUESTIONS</t>
  </si>
  <si>
    <t>ANALYTICAL RESULTS Q1</t>
  </si>
  <si>
    <t>Question</t>
  </si>
  <si>
    <t>Formula / Steps</t>
  </si>
  <si>
    <t>Data → Sort → Sort by Total_Sales → Largest to Smallest</t>
  </si>
  <si>
    <t>ANALYTICAL RESULTS Q2</t>
  </si>
  <si>
    <t>Use Filter: Category="Electronics"</t>
  </si>
  <si>
    <t>ANALYTICAL RESULTS Q3</t>
  </si>
  <si>
    <t>Q3 Filter sales done by Amit in East region.</t>
  </si>
  <si>
    <t>Q1.Sort Total_Sales from Highest to Lowest.</t>
  </si>
  <si>
    <t>Q2.Filter data to show only "Electronics" category.</t>
  </si>
  <si>
    <t>Use Filter: Salesperson="Amit" AND Region="East"</t>
  </si>
  <si>
    <t>ANALYTICAL RESULTS Q4</t>
  </si>
  <si>
    <t>=SUM(I3:I12)</t>
  </si>
  <si>
    <t>=SUM(G3:G12)</t>
  </si>
  <si>
    <t>=AVERAGE(I3:I12)</t>
  </si>
  <si>
    <t>ANALYTICAL RESULTS Q5</t>
  </si>
  <si>
    <t>ANALYTICAL RESULTS Q6</t>
  </si>
  <si>
    <t>ANALYTICAL RESULTS Q7</t>
  </si>
  <si>
    <t>=AVERAGE(G3:G12)</t>
  </si>
  <si>
    <t>ANALYTICAL RESULTS Q8</t>
  </si>
  <si>
    <t>=COUNT(A3:A12)</t>
  </si>
  <si>
    <t>ANALYTICAL RESULTS Q9</t>
  </si>
  <si>
    <t>=COUNTIF(F3:F12,"Furniture")</t>
  </si>
  <si>
    <t>ANALYTICAL RESULTS Q10</t>
  </si>
  <si>
    <t>=SUMIF(F3:F12,"Electronics",I3:I12)</t>
  </si>
  <si>
    <t>ANALYTICAL RESULTS Q11</t>
  </si>
  <si>
    <t>=SUMIF(D3:D12,"Amit",I3:I12))</t>
  </si>
  <si>
    <t>ANALYTICAL RESULTS Q12</t>
  </si>
  <si>
    <t>=SUMIFS(I3:I12,F3:F12,"Electronics",C3:C12,"East")</t>
  </si>
  <si>
    <t>ANALYTICAL RESULTS Q13</t>
  </si>
  <si>
    <t>=SUMIFS(I3:I12,D3:D12,"Priya",C3:C12,"West")</t>
  </si>
  <si>
    <t>ANALYTICAL RESULTS Q14</t>
  </si>
  <si>
    <t>=COUNTIFS(F3:F12,"Electronics",G3:G12,"&gt;3")</t>
  </si>
  <si>
    <t>Answer</t>
  </si>
  <si>
    <t>ANALYTICAL RESULTS Q16</t>
  </si>
  <si>
    <t>ANALYTICAL RESULTS Q15</t>
  </si>
  <si>
    <t>1.DataSet Select(A3:I12)</t>
  </si>
  <si>
    <t>2.Conditional Formatting --&gt; New Rule</t>
  </si>
  <si>
    <t>3.Use a formula to determine which cells to format</t>
  </si>
  <si>
    <t>5.Fill Colour</t>
  </si>
  <si>
    <t>6.Apply</t>
  </si>
  <si>
    <t>4.write down formula =$I3&gt;100000</t>
  </si>
  <si>
    <t>4.write down formula =$G3&lt;3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</si>
</sst>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0" fontId="0" fillId="0" borderId="0" xfId="0" quotePrefix="1"/>
    <xf numFmtId="0" fontId="3" fillId="4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4" fontId="1" fillId="0" borderId="28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0" fillId="0" borderId="12" xfId="0" applyBorder="1"/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4" fontId="1" fillId="0" borderId="14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14" fontId="1" fillId="0" borderId="31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6" xfId="0" applyBorder="1"/>
    <xf numFmtId="0" fontId="5" fillId="5" borderId="5" xfId="0" applyFont="1" applyFill="1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3" fillId="3" borderId="16" xfId="0" applyFont="1" applyFill="1" applyBorder="1" applyAlignment="1">
      <alignment horizontal="center" vertical="top" wrapText="1"/>
    </xf>
    <xf numFmtId="0" fontId="3" fillId="3" borderId="17" xfId="0" applyFont="1" applyFill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14" fontId="1" fillId="0" borderId="28" xfId="0" applyNumberFormat="1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6" borderId="16" xfId="0" applyFont="1" applyFill="1" applyBorder="1"/>
    <xf numFmtId="0" fontId="1" fillId="6" borderId="1" xfId="0" applyFont="1" applyFill="1" applyBorder="1"/>
    <xf numFmtId="0" fontId="1" fillId="6" borderId="17" xfId="0" applyFont="1" applyFill="1" applyBorder="1"/>
    <xf numFmtId="0" fontId="1" fillId="6" borderId="24" xfId="0" applyFont="1" applyFill="1" applyBorder="1" applyAlignment="1">
      <alignment horizontal="left" vertical="center" indent="3"/>
    </xf>
    <xf numFmtId="0" fontId="1" fillId="6" borderId="25" xfId="0" applyFont="1" applyFill="1" applyBorder="1" applyAlignment="1">
      <alignment horizontal="left" vertical="center" indent="3"/>
    </xf>
    <xf numFmtId="0" fontId="1" fillId="6" borderId="26" xfId="0" applyFont="1" applyFill="1" applyBorder="1" applyAlignment="1">
      <alignment horizontal="left" vertical="center" indent="3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1" fillId="6" borderId="18" xfId="0" applyFont="1" applyFill="1" applyBorder="1"/>
    <xf numFmtId="0" fontId="1" fillId="6" borderId="2" xfId="0" applyFont="1" applyFill="1" applyBorder="1"/>
    <xf numFmtId="0" fontId="1" fillId="6" borderId="19" xfId="0" applyFont="1" applyFill="1" applyBorder="1"/>
    <xf numFmtId="0" fontId="1" fillId="6" borderId="20" xfId="0" applyFont="1" applyFill="1" applyBorder="1" applyAlignment="1"/>
    <xf numFmtId="0" fontId="1" fillId="6" borderId="3" xfId="0" applyFont="1" applyFill="1" applyBorder="1" applyAlignment="1"/>
    <xf numFmtId="0" fontId="1" fillId="6" borderId="21" xfId="0" applyFont="1" applyFill="1" applyBorder="1" applyAlignment="1"/>
    <xf numFmtId="0" fontId="1" fillId="6" borderId="22" xfId="0" applyFont="1" applyFill="1" applyBorder="1" applyAlignment="1">
      <alignment horizontal="left" vertical="center" indent="3"/>
    </xf>
    <xf numFmtId="0" fontId="1" fillId="6" borderId="0" xfId="0" applyFont="1" applyFill="1" applyBorder="1" applyAlignment="1">
      <alignment horizontal="left" vertical="center" indent="3"/>
    </xf>
    <xf numFmtId="0" fontId="1" fillId="6" borderId="23" xfId="0" applyFont="1" applyFill="1" applyBorder="1" applyAlignment="1">
      <alignment horizontal="left" vertical="center" indent="3"/>
    </xf>
    <xf numFmtId="0" fontId="2" fillId="2" borderId="13" xfId="0" applyFont="1" applyFill="1" applyBorder="1" applyAlignment="1">
      <alignment horizontal="center" vertical="top"/>
    </xf>
    <xf numFmtId="0" fontId="2" fillId="2" borderId="14" xfId="0" applyFont="1" applyFill="1" applyBorder="1" applyAlignment="1">
      <alignment horizontal="center" vertical="top"/>
    </xf>
    <xf numFmtId="0" fontId="2" fillId="2" borderId="15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0352-A6E1-4708-8516-17A6BCA5B1CD}">
  <dimension ref="A1:O19"/>
  <sheetViews>
    <sheetView workbookViewId="0">
      <selection activeCell="F18" sqref="F18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</cols>
  <sheetData>
    <row r="1" spans="1:15" ht="18.75" x14ac:dyDescent="0.3">
      <c r="A1" s="56" t="s">
        <v>24</v>
      </c>
      <c r="B1" s="57"/>
      <c r="C1" s="57"/>
      <c r="D1" s="57"/>
      <c r="E1" s="57"/>
      <c r="F1" s="57"/>
      <c r="G1" s="57"/>
      <c r="H1" s="57"/>
      <c r="I1" s="58"/>
      <c r="K1" s="65" t="s">
        <v>43</v>
      </c>
      <c r="L1" s="66"/>
      <c r="M1" s="66"/>
      <c r="N1" s="66"/>
      <c r="O1" s="67"/>
    </row>
    <row r="2" spans="1:15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59" t="s">
        <v>25</v>
      </c>
      <c r="L2" s="60"/>
      <c r="M2" s="60"/>
      <c r="N2" s="60"/>
      <c r="O2" s="61"/>
    </row>
    <row r="3" spans="1:15" x14ac:dyDescent="0.25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59" t="s">
        <v>26</v>
      </c>
      <c r="L3" s="60"/>
      <c r="M3" s="60"/>
      <c r="N3" s="60"/>
      <c r="O3" s="61"/>
    </row>
    <row r="4" spans="1:15" x14ac:dyDescent="0.25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  <c r="K4" s="59" t="s">
        <v>27</v>
      </c>
      <c r="L4" s="60"/>
      <c r="M4" s="60"/>
      <c r="N4" s="60"/>
      <c r="O4" s="61"/>
    </row>
    <row r="5" spans="1:15" x14ac:dyDescent="0.25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59" t="s">
        <v>28</v>
      </c>
      <c r="L5" s="60"/>
      <c r="M5" s="60"/>
      <c r="N5" s="60"/>
      <c r="O5" s="61"/>
    </row>
    <row r="6" spans="1:15" x14ac:dyDescent="0.25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  <c r="K6" s="59" t="s">
        <v>29</v>
      </c>
      <c r="L6" s="60"/>
      <c r="M6" s="60"/>
      <c r="N6" s="60"/>
      <c r="O6" s="61"/>
    </row>
    <row r="7" spans="1:15" x14ac:dyDescent="0.25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  <c r="K7" s="59" t="s">
        <v>30</v>
      </c>
      <c r="L7" s="60"/>
      <c r="M7" s="60"/>
      <c r="N7" s="60"/>
      <c r="O7" s="61"/>
    </row>
    <row r="8" spans="1:15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59" t="s">
        <v>31</v>
      </c>
      <c r="L8" s="60"/>
      <c r="M8" s="60"/>
      <c r="N8" s="60"/>
      <c r="O8" s="61"/>
    </row>
    <row r="9" spans="1:15" x14ac:dyDescent="0.25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  <c r="K9" s="59" t="s">
        <v>32</v>
      </c>
      <c r="L9" s="60"/>
      <c r="M9" s="60"/>
      <c r="N9" s="60"/>
      <c r="O9" s="61"/>
    </row>
    <row r="10" spans="1:15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  <c r="K10" s="59" t="s">
        <v>33</v>
      </c>
      <c r="L10" s="60"/>
      <c r="M10" s="60"/>
      <c r="N10" s="60"/>
      <c r="O10" s="61"/>
    </row>
    <row r="11" spans="1:15" x14ac:dyDescent="0.25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  <c r="K11" s="59" t="s">
        <v>34</v>
      </c>
      <c r="L11" s="60"/>
      <c r="M11" s="60"/>
      <c r="N11" s="60"/>
      <c r="O11" s="61"/>
    </row>
    <row r="12" spans="1:15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  <c r="K12" s="59" t="s">
        <v>35</v>
      </c>
      <c r="L12" s="60"/>
      <c r="M12" s="60"/>
      <c r="N12" s="60"/>
      <c r="O12" s="61"/>
    </row>
    <row r="13" spans="1:15" x14ac:dyDescent="0.25">
      <c r="K13" s="59" t="s">
        <v>36</v>
      </c>
      <c r="L13" s="60"/>
      <c r="M13" s="60"/>
      <c r="N13" s="60"/>
      <c r="O13" s="61"/>
    </row>
    <row r="14" spans="1:15" x14ac:dyDescent="0.25">
      <c r="K14" s="59" t="s">
        <v>37</v>
      </c>
      <c r="L14" s="60"/>
      <c r="M14" s="60"/>
      <c r="N14" s="60"/>
      <c r="O14" s="61"/>
    </row>
    <row r="15" spans="1:15" x14ac:dyDescent="0.25">
      <c r="K15" s="59" t="s">
        <v>38</v>
      </c>
      <c r="L15" s="60"/>
      <c r="M15" s="60"/>
      <c r="N15" s="60"/>
      <c r="O15" s="61"/>
    </row>
    <row r="16" spans="1:15" x14ac:dyDescent="0.25">
      <c r="K16" s="68" t="s">
        <v>39</v>
      </c>
      <c r="L16" s="69"/>
      <c r="M16" s="69"/>
      <c r="N16" s="69"/>
      <c r="O16" s="70"/>
    </row>
    <row r="17" spans="11:15" x14ac:dyDescent="0.25">
      <c r="K17" s="71" t="s">
        <v>40</v>
      </c>
      <c r="L17" s="72"/>
      <c r="M17" s="72"/>
      <c r="N17" s="72"/>
      <c r="O17" s="73"/>
    </row>
    <row r="18" spans="11:15" x14ac:dyDescent="0.25">
      <c r="K18" s="74" t="s">
        <v>41</v>
      </c>
      <c r="L18" s="75"/>
      <c r="M18" s="75"/>
      <c r="N18" s="75"/>
      <c r="O18" s="76"/>
    </row>
    <row r="19" spans="11:15" ht="15.75" thickBot="1" x14ac:dyDescent="0.3">
      <c r="K19" s="62" t="s">
        <v>42</v>
      </c>
      <c r="L19" s="63"/>
      <c r="M19" s="63"/>
      <c r="N19" s="63"/>
      <c r="O19" s="64"/>
    </row>
  </sheetData>
  <mergeCells count="20">
    <mergeCell ref="K19:O19"/>
    <mergeCell ref="K1:O1"/>
    <mergeCell ref="K13:O13"/>
    <mergeCell ref="K14:O14"/>
    <mergeCell ref="K15:O15"/>
    <mergeCell ref="K16:O16"/>
    <mergeCell ref="K17:O17"/>
    <mergeCell ref="K18:O18"/>
    <mergeCell ref="K7:O7"/>
    <mergeCell ref="K8:O8"/>
    <mergeCell ref="K9:O9"/>
    <mergeCell ref="K10:O10"/>
    <mergeCell ref="K11:O11"/>
    <mergeCell ref="K12:O12"/>
    <mergeCell ref="K6:O6"/>
    <mergeCell ref="A1:I1"/>
    <mergeCell ref="K2:O2"/>
    <mergeCell ref="K3:O3"/>
    <mergeCell ref="K4:O4"/>
    <mergeCell ref="K5:O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7C57-EFCC-4861-8898-761148042DC5}">
  <dimension ref="A1:K12"/>
  <sheetViews>
    <sheetView topLeftCell="A2" zoomScaleNormal="100" workbookViewId="0">
      <selection activeCell="K22" sqref="K22"/>
    </sheetView>
  </sheetViews>
  <sheetFormatPr defaultRowHeight="15" x14ac:dyDescent="0.25"/>
  <cols>
    <col min="1" max="1" width="10" bestFit="1" customWidth="1"/>
    <col min="2" max="2" width="13.140625" bestFit="1" customWidth="1"/>
    <col min="3" max="3" width="7.85546875" bestFit="1" customWidth="1"/>
    <col min="4" max="4" width="12.5703125" bestFit="1" customWidth="1"/>
    <col min="5" max="5" width="8.85546875" bestFit="1" customWidth="1"/>
    <col min="6" max="6" width="11.7109375" bestFit="1" customWidth="1"/>
    <col min="7" max="7" width="9.7109375" bestFit="1" customWidth="1"/>
    <col min="8" max="8" width="11.42578125" bestFit="1" customWidth="1"/>
    <col min="9" max="9" width="12" bestFit="1" customWidth="1"/>
    <col min="11" max="11" width="48.85546875" bestFit="1" customWidth="1"/>
  </cols>
  <sheetData>
    <row r="1" spans="1:11" ht="19.5" thickBot="1" x14ac:dyDescent="0.35">
      <c r="A1" s="56" t="s">
        <v>44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27" t="s">
        <v>45</v>
      </c>
    </row>
    <row r="3" spans="1:11" ht="15.75" thickBot="1" x14ac:dyDescent="0.3">
      <c r="A3" s="21">
        <v>1008</v>
      </c>
      <c r="B3" s="2">
        <v>45319</v>
      </c>
      <c r="C3" s="1" t="s">
        <v>20</v>
      </c>
      <c r="D3" s="1" t="s">
        <v>21</v>
      </c>
      <c r="E3" s="1" t="s">
        <v>15</v>
      </c>
      <c r="F3" s="1" t="s">
        <v>12</v>
      </c>
      <c r="G3" s="1">
        <v>6</v>
      </c>
      <c r="H3" s="1">
        <v>20000</v>
      </c>
      <c r="I3" s="22">
        <v>120000</v>
      </c>
      <c r="K3" s="18" t="s">
        <v>52</v>
      </c>
    </row>
    <row r="4" spans="1:11" ht="15.75" thickBot="1" x14ac:dyDescent="0.3">
      <c r="A4" s="21">
        <v>1001</v>
      </c>
      <c r="B4" s="2">
        <v>45296</v>
      </c>
      <c r="C4" s="1" t="s">
        <v>9</v>
      </c>
      <c r="D4" s="1" t="s">
        <v>10</v>
      </c>
      <c r="E4" s="1" t="s">
        <v>11</v>
      </c>
      <c r="F4" s="1" t="s">
        <v>12</v>
      </c>
      <c r="G4" s="1">
        <v>2</v>
      </c>
      <c r="H4" s="1">
        <v>50000</v>
      </c>
      <c r="I4" s="22">
        <v>100000</v>
      </c>
    </row>
    <row r="5" spans="1:11" ht="15.75" x14ac:dyDescent="0.25">
      <c r="A5" s="21">
        <v>1002</v>
      </c>
      <c r="B5" s="2">
        <v>45299</v>
      </c>
      <c r="C5" s="1" t="s">
        <v>13</v>
      </c>
      <c r="D5" s="1" t="s">
        <v>14</v>
      </c>
      <c r="E5" s="1" t="s">
        <v>15</v>
      </c>
      <c r="F5" s="1" t="s">
        <v>12</v>
      </c>
      <c r="G5" s="1">
        <v>5</v>
      </c>
      <c r="H5" s="1">
        <v>20000</v>
      </c>
      <c r="I5" s="22">
        <v>100000</v>
      </c>
      <c r="K5" s="28" t="s">
        <v>46</v>
      </c>
    </row>
    <row r="6" spans="1:11" ht="15.75" thickBot="1" x14ac:dyDescent="0.3">
      <c r="A6" s="21">
        <v>1005</v>
      </c>
      <c r="B6" s="2">
        <v>45309</v>
      </c>
      <c r="C6" s="1" t="s">
        <v>9</v>
      </c>
      <c r="D6" s="1" t="s">
        <v>10</v>
      </c>
      <c r="E6" s="1" t="s">
        <v>15</v>
      </c>
      <c r="F6" s="1" t="s">
        <v>12</v>
      </c>
      <c r="G6" s="1">
        <v>4</v>
      </c>
      <c r="H6" s="1">
        <v>20000</v>
      </c>
      <c r="I6" s="22">
        <v>80000</v>
      </c>
      <c r="K6" s="18" t="s">
        <v>47</v>
      </c>
    </row>
    <row r="7" spans="1:11" x14ac:dyDescent="0.25">
      <c r="A7" s="21">
        <v>1006</v>
      </c>
      <c r="B7" s="2">
        <v>45311</v>
      </c>
      <c r="C7" s="1" t="s">
        <v>13</v>
      </c>
      <c r="D7" s="1" t="s">
        <v>14</v>
      </c>
      <c r="E7" s="1" t="s">
        <v>11</v>
      </c>
      <c r="F7" s="1" t="s">
        <v>12</v>
      </c>
      <c r="G7" s="1">
        <v>1</v>
      </c>
      <c r="H7" s="1">
        <v>50000</v>
      </c>
      <c r="I7" s="22">
        <v>50000</v>
      </c>
    </row>
    <row r="8" spans="1:11" x14ac:dyDescent="0.25">
      <c r="A8" s="21">
        <v>1009</v>
      </c>
      <c r="B8" s="2">
        <v>45324</v>
      </c>
      <c r="C8" s="1" t="s">
        <v>9</v>
      </c>
      <c r="D8" s="1" t="s">
        <v>10</v>
      </c>
      <c r="E8" s="1" t="s">
        <v>22</v>
      </c>
      <c r="F8" s="1" t="s">
        <v>19</v>
      </c>
      <c r="G8" s="1">
        <v>5</v>
      </c>
      <c r="H8" s="1">
        <v>7000</v>
      </c>
      <c r="I8" s="22">
        <v>35000</v>
      </c>
    </row>
    <row r="9" spans="1:11" x14ac:dyDescent="0.25">
      <c r="A9" s="21">
        <v>1003</v>
      </c>
      <c r="B9" s="2">
        <v>45303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10</v>
      </c>
      <c r="H9" s="1">
        <v>3000</v>
      </c>
      <c r="I9" s="22">
        <v>30000</v>
      </c>
    </row>
    <row r="10" spans="1:11" x14ac:dyDescent="0.25">
      <c r="A10" s="21">
        <v>1004</v>
      </c>
      <c r="B10" s="2">
        <v>45306</v>
      </c>
      <c r="C10" s="1" t="s">
        <v>20</v>
      </c>
      <c r="D10" s="1" t="s">
        <v>21</v>
      </c>
      <c r="E10" s="1" t="s">
        <v>22</v>
      </c>
      <c r="F10" s="1" t="s">
        <v>19</v>
      </c>
      <c r="G10" s="1">
        <v>3</v>
      </c>
      <c r="H10" s="1">
        <v>7000</v>
      </c>
      <c r="I10" s="22">
        <v>21000</v>
      </c>
    </row>
    <row r="11" spans="1:11" x14ac:dyDescent="0.25">
      <c r="A11" s="21">
        <v>1010</v>
      </c>
      <c r="B11" s="2">
        <v>45327</v>
      </c>
      <c r="C11" s="1" t="s">
        <v>13</v>
      </c>
      <c r="D11" s="1" t="s">
        <v>14</v>
      </c>
      <c r="E11" s="1" t="s">
        <v>18</v>
      </c>
      <c r="F11" s="1" t="s">
        <v>19</v>
      </c>
      <c r="G11" s="1">
        <v>7</v>
      </c>
      <c r="H11" s="1">
        <v>3000</v>
      </c>
      <c r="I11" s="22">
        <v>21000</v>
      </c>
    </row>
    <row r="12" spans="1:11" ht="15.75" thickBot="1" x14ac:dyDescent="0.3">
      <c r="A12" s="23">
        <v>1007</v>
      </c>
      <c r="B12" s="24">
        <v>45316</v>
      </c>
      <c r="C12" s="25" t="s">
        <v>16</v>
      </c>
      <c r="D12" s="25" t="s">
        <v>17</v>
      </c>
      <c r="E12" s="25" t="s">
        <v>23</v>
      </c>
      <c r="F12" s="25" t="s">
        <v>19</v>
      </c>
      <c r="G12" s="25">
        <v>2</v>
      </c>
      <c r="H12" s="25">
        <v>10000</v>
      </c>
      <c r="I12" s="26">
        <v>20000</v>
      </c>
    </row>
  </sheetData>
  <sortState xmlns:xlrd2="http://schemas.microsoft.com/office/spreadsheetml/2017/richdata2" ref="A3:I12">
    <sortCondition descending="1" ref="I3:I12"/>
  </sortState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805D-7575-40BE-A75E-7DD94E7ED206}">
  <sheetPr filterMode="1"/>
  <dimension ref="A1:K17"/>
  <sheetViews>
    <sheetView workbookViewId="0">
      <selection activeCell="H15" sqref="H15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customWidth="1"/>
    <col min="11" max="11" width="45.42578125" bestFit="1" customWidth="1"/>
  </cols>
  <sheetData>
    <row r="1" spans="1:11" ht="19.5" thickBot="1" x14ac:dyDescent="0.35">
      <c r="A1" s="56" t="s">
        <v>48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29" t="s">
        <v>53</v>
      </c>
    </row>
    <row r="4" spans="1:11" ht="15.75" thickBot="1" x14ac:dyDescent="0.3">
      <c r="A4" s="23">
        <v>1002</v>
      </c>
      <c r="B4" s="24">
        <v>45299</v>
      </c>
      <c r="C4" s="25" t="s">
        <v>13</v>
      </c>
      <c r="D4" s="25" t="s">
        <v>14</v>
      </c>
      <c r="E4" s="25" t="s">
        <v>15</v>
      </c>
      <c r="F4" s="25" t="s">
        <v>12</v>
      </c>
      <c r="G4" s="25">
        <v>5</v>
      </c>
      <c r="H4" s="25">
        <v>20000</v>
      </c>
      <c r="I4" s="26">
        <v>100000</v>
      </c>
    </row>
    <row r="5" spans="1:11" ht="15.75" hidden="1" x14ac:dyDescent="0.25">
      <c r="A5" s="33">
        <v>1003</v>
      </c>
      <c r="B5" s="34">
        <v>45303</v>
      </c>
      <c r="C5" s="33" t="s">
        <v>16</v>
      </c>
      <c r="D5" s="33" t="s">
        <v>17</v>
      </c>
      <c r="E5" s="33" t="s">
        <v>18</v>
      </c>
      <c r="F5" s="33" t="s">
        <v>19</v>
      </c>
      <c r="G5" s="33">
        <v>10</v>
      </c>
      <c r="H5" s="33">
        <v>3000</v>
      </c>
      <c r="I5" s="33">
        <v>30000</v>
      </c>
      <c r="K5" s="4" t="s">
        <v>46</v>
      </c>
    </row>
    <row r="6" spans="1:11" hidden="1" x14ac:dyDescent="0.25">
      <c r="A6" s="31">
        <v>1004</v>
      </c>
      <c r="B6" s="32">
        <v>45306</v>
      </c>
      <c r="C6" s="31" t="s">
        <v>20</v>
      </c>
      <c r="D6" s="31" t="s">
        <v>21</v>
      </c>
      <c r="E6" s="31" t="s">
        <v>22</v>
      </c>
      <c r="F6" s="31" t="s">
        <v>19</v>
      </c>
      <c r="G6" s="31">
        <v>3</v>
      </c>
      <c r="H6" s="31">
        <v>7000</v>
      </c>
      <c r="I6" s="31">
        <v>21000</v>
      </c>
      <c r="K6" s="30" t="s">
        <v>49</v>
      </c>
    </row>
    <row r="7" spans="1:11" ht="15.75" x14ac:dyDescent="0.25">
      <c r="A7" s="37">
        <v>1005</v>
      </c>
      <c r="B7" s="38">
        <v>45309</v>
      </c>
      <c r="C7" s="39" t="s">
        <v>9</v>
      </c>
      <c r="D7" s="39" t="s">
        <v>10</v>
      </c>
      <c r="E7" s="39" t="s">
        <v>15</v>
      </c>
      <c r="F7" s="39" t="s">
        <v>12</v>
      </c>
      <c r="G7" s="39">
        <v>4</v>
      </c>
      <c r="H7" s="39">
        <v>20000</v>
      </c>
      <c r="I7" s="40">
        <v>80000</v>
      </c>
      <c r="K7" s="28" t="s">
        <v>46</v>
      </c>
    </row>
    <row r="8" spans="1:11" ht="15.75" thickBot="1" x14ac:dyDescent="0.3">
      <c r="A8" s="23">
        <v>1006</v>
      </c>
      <c r="B8" s="24">
        <v>45311</v>
      </c>
      <c r="C8" s="25" t="s">
        <v>13</v>
      </c>
      <c r="D8" s="25" t="s">
        <v>14</v>
      </c>
      <c r="E8" s="25" t="s">
        <v>11</v>
      </c>
      <c r="F8" s="25" t="s">
        <v>12</v>
      </c>
      <c r="G8" s="25">
        <v>1</v>
      </c>
      <c r="H8" s="25">
        <v>50000</v>
      </c>
      <c r="I8" s="26">
        <v>50000</v>
      </c>
      <c r="K8" s="18" t="s">
        <v>49</v>
      </c>
    </row>
    <row r="9" spans="1:11" hidden="1" x14ac:dyDescent="0.25">
      <c r="A9" s="35">
        <v>1007</v>
      </c>
      <c r="B9" s="36">
        <v>45316</v>
      </c>
      <c r="C9" s="35" t="s">
        <v>16</v>
      </c>
      <c r="D9" s="35" t="s">
        <v>17</v>
      </c>
      <c r="E9" s="35" t="s">
        <v>23</v>
      </c>
      <c r="F9" s="35" t="s">
        <v>19</v>
      </c>
      <c r="G9" s="35">
        <v>2</v>
      </c>
      <c r="H9" s="35">
        <v>10000</v>
      </c>
      <c r="I9" s="35">
        <v>20000</v>
      </c>
    </row>
    <row r="10" spans="1:11" ht="15.75" thickBot="1" x14ac:dyDescent="0.3">
      <c r="A10" s="41">
        <v>1008</v>
      </c>
      <c r="B10" s="42">
        <v>45319</v>
      </c>
      <c r="C10" s="43" t="s">
        <v>20</v>
      </c>
      <c r="D10" s="43" t="s">
        <v>21</v>
      </c>
      <c r="E10" s="43" t="s">
        <v>15</v>
      </c>
      <c r="F10" s="43" t="s">
        <v>12</v>
      </c>
      <c r="G10" s="43">
        <v>6</v>
      </c>
      <c r="H10" s="43">
        <v>20000</v>
      </c>
      <c r="I10" s="44">
        <v>120000</v>
      </c>
    </row>
    <row r="11" spans="1:11" hidden="1" x14ac:dyDescent="0.25">
      <c r="A11" s="33">
        <v>1009</v>
      </c>
      <c r="B11" s="34">
        <v>45324</v>
      </c>
      <c r="C11" s="33" t="s">
        <v>9</v>
      </c>
      <c r="D11" s="33" t="s">
        <v>10</v>
      </c>
      <c r="E11" s="33" t="s">
        <v>22</v>
      </c>
      <c r="F11" s="33" t="s">
        <v>19</v>
      </c>
      <c r="G11" s="33">
        <v>5</v>
      </c>
      <c r="H11" s="33">
        <v>7000</v>
      </c>
      <c r="I11" s="33">
        <v>35000</v>
      </c>
    </row>
    <row r="12" spans="1:11" hidden="1" x14ac:dyDescent="0.25">
      <c r="A12" s="1">
        <v>1010</v>
      </c>
      <c r="B12" s="2">
        <v>45327</v>
      </c>
      <c r="C12" s="1" t="s">
        <v>13</v>
      </c>
      <c r="D12" s="1" t="s">
        <v>14</v>
      </c>
      <c r="E12" s="1" t="s">
        <v>18</v>
      </c>
      <c r="F12" s="1" t="s">
        <v>19</v>
      </c>
      <c r="G12" s="1">
        <v>7</v>
      </c>
      <c r="H12" s="1">
        <v>3000</v>
      </c>
      <c r="I12" s="1">
        <v>21000</v>
      </c>
    </row>
    <row r="16" spans="1:11" ht="15.75" thickBot="1" x14ac:dyDescent="0.3"/>
    <row r="17" spans="6:6" ht="15.75" thickBot="1" x14ac:dyDescent="0.3">
      <c r="F17" s="45"/>
    </row>
  </sheetData>
  <autoFilter ref="A2:I12" xr:uid="{D3EB805D-7575-40BE-A75E-7DD94E7ED206}">
    <filterColumn colId="5">
      <filters>
        <filter val="Electronics"/>
      </filters>
    </filterColumn>
  </autoFilter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589B-B897-4EF6-AC0D-A549D607F574}">
  <sheetPr filterMode="1"/>
  <dimension ref="A1:K14"/>
  <sheetViews>
    <sheetView workbookViewId="0">
      <selection activeCell="F21" sqref="F21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45.42578125" bestFit="1" customWidth="1"/>
  </cols>
  <sheetData>
    <row r="1" spans="1:11" ht="19.5" thickBot="1" x14ac:dyDescent="0.35">
      <c r="A1" s="56" t="s">
        <v>50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3">
        <v>1001</v>
      </c>
      <c r="B3" s="24">
        <v>45296</v>
      </c>
      <c r="C3" s="25" t="s">
        <v>9</v>
      </c>
      <c r="D3" s="25" t="s">
        <v>10</v>
      </c>
      <c r="E3" s="25" t="s">
        <v>11</v>
      </c>
      <c r="F3" s="25" t="s">
        <v>12</v>
      </c>
      <c r="G3" s="25">
        <v>2</v>
      </c>
      <c r="H3" s="25">
        <v>50000</v>
      </c>
      <c r="I3" s="26">
        <v>100000</v>
      </c>
      <c r="K3" s="18" t="s">
        <v>51</v>
      </c>
    </row>
    <row r="4" spans="1:11" hidden="1" x14ac:dyDescent="0.25">
      <c r="A4" s="33">
        <v>1002</v>
      </c>
      <c r="B4" s="34">
        <v>45299</v>
      </c>
      <c r="C4" s="33" t="s">
        <v>13</v>
      </c>
      <c r="D4" s="33" t="s">
        <v>14</v>
      </c>
      <c r="E4" s="33" t="s">
        <v>15</v>
      </c>
      <c r="F4" s="33" t="s">
        <v>12</v>
      </c>
      <c r="G4" s="33">
        <v>5</v>
      </c>
      <c r="H4" s="33">
        <v>20000</v>
      </c>
      <c r="I4" s="33">
        <v>100000</v>
      </c>
    </row>
    <row r="5" spans="1:11" hidden="1" x14ac:dyDescent="0.25">
      <c r="A5" s="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1">
        <v>30000</v>
      </c>
    </row>
    <row r="6" spans="1:11" hidden="1" x14ac:dyDescent="0.25">
      <c r="A6" s="31">
        <v>1004</v>
      </c>
      <c r="B6" s="32">
        <v>45306</v>
      </c>
      <c r="C6" s="31" t="s">
        <v>20</v>
      </c>
      <c r="D6" s="31" t="s">
        <v>21</v>
      </c>
      <c r="E6" s="31" t="s">
        <v>22</v>
      </c>
      <c r="F6" s="31" t="s">
        <v>19</v>
      </c>
      <c r="G6" s="31">
        <v>3</v>
      </c>
      <c r="H6" s="31">
        <v>7000</v>
      </c>
      <c r="I6" s="31">
        <v>21000</v>
      </c>
    </row>
    <row r="7" spans="1:11" ht="15.75" thickBot="1" x14ac:dyDescent="0.3">
      <c r="A7" s="41">
        <v>1005</v>
      </c>
      <c r="B7" s="42">
        <v>45309</v>
      </c>
      <c r="C7" s="43" t="s">
        <v>9</v>
      </c>
      <c r="D7" s="43" t="s">
        <v>10</v>
      </c>
      <c r="E7" s="43" t="s">
        <v>15</v>
      </c>
      <c r="F7" s="43" t="s">
        <v>12</v>
      </c>
      <c r="G7" s="43">
        <v>4</v>
      </c>
      <c r="H7" s="43">
        <v>20000</v>
      </c>
      <c r="I7" s="44">
        <v>80000</v>
      </c>
    </row>
    <row r="8" spans="1:11" hidden="1" x14ac:dyDescent="0.25">
      <c r="A8" s="33">
        <v>1006</v>
      </c>
      <c r="B8" s="34">
        <v>45311</v>
      </c>
      <c r="C8" s="33" t="s">
        <v>13</v>
      </c>
      <c r="D8" s="33" t="s">
        <v>14</v>
      </c>
      <c r="E8" s="33" t="s">
        <v>11</v>
      </c>
      <c r="F8" s="33" t="s">
        <v>12</v>
      </c>
      <c r="G8" s="33">
        <v>1</v>
      </c>
      <c r="H8" s="33">
        <v>50000</v>
      </c>
      <c r="I8" s="33">
        <v>50000</v>
      </c>
    </row>
    <row r="9" spans="1:11" hidden="1" x14ac:dyDescent="0.25">
      <c r="A9" s="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1">
        <v>20000</v>
      </c>
    </row>
    <row r="10" spans="1:11" hidden="1" x14ac:dyDescent="0.25">
      <c r="A10" s="31">
        <v>1008</v>
      </c>
      <c r="B10" s="32">
        <v>45319</v>
      </c>
      <c r="C10" s="31" t="s">
        <v>20</v>
      </c>
      <c r="D10" s="31" t="s">
        <v>21</v>
      </c>
      <c r="E10" s="31" t="s">
        <v>15</v>
      </c>
      <c r="F10" s="31" t="s">
        <v>12</v>
      </c>
      <c r="G10" s="31">
        <v>6</v>
      </c>
      <c r="H10" s="31">
        <v>20000</v>
      </c>
      <c r="I10" s="31">
        <v>120000</v>
      </c>
    </row>
    <row r="11" spans="1:11" ht="15.75" thickBot="1" x14ac:dyDescent="0.3">
      <c r="A11" s="41">
        <v>1009</v>
      </c>
      <c r="B11" s="42">
        <v>45324</v>
      </c>
      <c r="C11" s="43" t="s">
        <v>9</v>
      </c>
      <c r="D11" s="43" t="s">
        <v>10</v>
      </c>
      <c r="E11" s="43" t="s">
        <v>22</v>
      </c>
      <c r="F11" s="43" t="s">
        <v>19</v>
      </c>
      <c r="G11" s="43">
        <v>5</v>
      </c>
      <c r="H11" s="43">
        <v>7000</v>
      </c>
      <c r="I11" s="44">
        <v>35000</v>
      </c>
    </row>
    <row r="12" spans="1:11" hidden="1" x14ac:dyDescent="0.25">
      <c r="A12" s="33">
        <v>1010</v>
      </c>
      <c r="B12" s="34">
        <v>45327</v>
      </c>
      <c r="C12" s="33" t="s">
        <v>13</v>
      </c>
      <c r="D12" s="33" t="s">
        <v>14</v>
      </c>
      <c r="E12" s="33" t="s">
        <v>18</v>
      </c>
      <c r="F12" s="33" t="s">
        <v>19</v>
      </c>
      <c r="G12" s="33">
        <v>7</v>
      </c>
      <c r="H12" s="33">
        <v>3000</v>
      </c>
      <c r="I12" s="33">
        <v>21000</v>
      </c>
    </row>
    <row r="13" spans="1:11" ht="15.75" x14ac:dyDescent="0.25">
      <c r="K13" s="28" t="s">
        <v>46</v>
      </c>
    </row>
    <row r="14" spans="1:11" ht="15.75" thickBot="1" x14ac:dyDescent="0.3">
      <c r="K14" s="18" t="s">
        <v>54</v>
      </c>
    </row>
  </sheetData>
  <autoFilter ref="A2:I12" xr:uid="{F261589B-B897-4EF6-AC0D-A549D607F574}">
    <filterColumn colId="3">
      <filters>
        <filter val="Amit"/>
      </filters>
    </filterColumn>
  </autoFilter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56D2-863B-4D71-8FEA-26F77385DBD6}">
  <dimension ref="A1:K13"/>
  <sheetViews>
    <sheetView workbookViewId="0">
      <selection activeCell="I18" sqref="I18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39" bestFit="1" customWidth="1"/>
  </cols>
  <sheetData>
    <row r="1" spans="1:11" ht="19.5" thickBot="1" x14ac:dyDescent="0.35">
      <c r="A1" s="56" t="s">
        <v>55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18" t="s">
        <v>28</v>
      </c>
    </row>
    <row r="4" spans="1:11" ht="15.75" thickBot="1" x14ac:dyDescent="0.3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</row>
    <row r="5" spans="1:11" ht="15.75" x14ac:dyDescent="0.25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28" t="s">
        <v>46</v>
      </c>
    </row>
    <row r="6" spans="1:11" ht="15.75" thickBot="1" x14ac:dyDescent="0.3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  <c r="K6" s="47" t="s">
        <v>56</v>
      </c>
    </row>
    <row r="7" spans="1:11" ht="15.75" thickBot="1" x14ac:dyDescent="0.3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</row>
    <row r="8" spans="1:11" ht="15.75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28" t="s">
        <v>77</v>
      </c>
    </row>
    <row r="9" spans="1:11" ht="15.75" thickBot="1" x14ac:dyDescent="0.3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  <c r="K9" s="47">
        <f>SUM(I3:I12)</f>
        <v>577000</v>
      </c>
    </row>
    <row r="10" spans="1:11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</row>
    <row r="11" spans="1:11" x14ac:dyDescent="0.25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</row>
    <row r="12" spans="1:11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</row>
    <row r="13" spans="1:11" ht="15.75" x14ac:dyDescent="0.25">
      <c r="I13" s="46">
        <f>SUM(I3:I12)</f>
        <v>577000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5576-DB8C-44BD-AAA3-C206B527A589}">
  <dimension ref="A1:K13"/>
  <sheetViews>
    <sheetView workbookViewId="0">
      <selection activeCell="K8" sqref="K8:K9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30.140625" bestFit="1" customWidth="1"/>
  </cols>
  <sheetData>
    <row r="1" spans="1:11" ht="19.5" thickBot="1" x14ac:dyDescent="0.3">
      <c r="A1" s="77" t="s">
        <v>59</v>
      </c>
      <c r="B1" s="78"/>
      <c r="C1" s="78"/>
      <c r="D1" s="78"/>
      <c r="E1" s="78"/>
      <c r="F1" s="78"/>
      <c r="G1" s="78"/>
      <c r="H1" s="78"/>
      <c r="I1" s="79"/>
    </row>
    <row r="2" spans="1:11" ht="15.75" x14ac:dyDescent="0.25">
      <c r="A2" s="48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49" t="s">
        <v>8</v>
      </c>
      <c r="K2" s="17" t="s">
        <v>45</v>
      </c>
    </row>
    <row r="3" spans="1:11" ht="15.75" thickBot="1" x14ac:dyDescent="0.3">
      <c r="A3" s="50">
        <v>1001</v>
      </c>
      <c r="B3" s="9">
        <v>45296</v>
      </c>
      <c r="C3" s="8" t="s">
        <v>9</v>
      </c>
      <c r="D3" s="8" t="s">
        <v>10</v>
      </c>
      <c r="E3" s="8" t="s">
        <v>11</v>
      </c>
      <c r="F3" s="8" t="s">
        <v>12</v>
      </c>
      <c r="G3" s="8">
        <v>2</v>
      </c>
      <c r="H3" s="8">
        <v>50000</v>
      </c>
      <c r="I3" s="51">
        <v>100000</v>
      </c>
      <c r="K3" s="18" t="s">
        <v>29</v>
      </c>
    </row>
    <row r="4" spans="1:11" ht="15.75" thickBot="1" x14ac:dyDescent="0.3">
      <c r="A4" s="50">
        <v>1002</v>
      </c>
      <c r="B4" s="9">
        <v>45299</v>
      </c>
      <c r="C4" s="8" t="s">
        <v>13</v>
      </c>
      <c r="D4" s="8" t="s">
        <v>14</v>
      </c>
      <c r="E4" s="8" t="s">
        <v>15</v>
      </c>
      <c r="F4" s="8" t="s">
        <v>12</v>
      </c>
      <c r="G4" s="8">
        <v>5</v>
      </c>
      <c r="H4" s="8">
        <v>20000</v>
      </c>
      <c r="I4" s="51">
        <v>100000</v>
      </c>
    </row>
    <row r="5" spans="1:11" ht="15.75" x14ac:dyDescent="0.25">
      <c r="A5" s="50">
        <v>1003</v>
      </c>
      <c r="B5" s="9">
        <v>45303</v>
      </c>
      <c r="C5" s="8" t="s">
        <v>16</v>
      </c>
      <c r="D5" s="8" t="s">
        <v>17</v>
      </c>
      <c r="E5" s="8" t="s">
        <v>18</v>
      </c>
      <c r="F5" s="8" t="s">
        <v>19</v>
      </c>
      <c r="G5" s="8">
        <v>10</v>
      </c>
      <c r="H5" s="8">
        <v>3000</v>
      </c>
      <c r="I5" s="51">
        <v>30000</v>
      </c>
      <c r="K5" s="28" t="s">
        <v>46</v>
      </c>
    </row>
    <row r="6" spans="1:11" ht="15.75" thickBot="1" x14ac:dyDescent="0.3">
      <c r="A6" s="50">
        <v>1004</v>
      </c>
      <c r="B6" s="9">
        <v>45306</v>
      </c>
      <c r="C6" s="8" t="s">
        <v>20</v>
      </c>
      <c r="D6" s="8" t="s">
        <v>21</v>
      </c>
      <c r="E6" s="8" t="s">
        <v>22</v>
      </c>
      <c r="F6" s="8" t="s">
        <v>19</v>
      </c>
      <c r="G6" s="8">
        <v>3</v>
      </c>
      <c r="H6" s="8">
        <v>7000</v>
      </c>
      <c r="I6" s="51">
        <v>21000</v>
      </c>
      <c r="K6" s="47" t="s">
        <v>57</v>
      </c>
    </row>
    <row r="7" spans="1:11" ht="15.75" thickBot="1" x14ac:dyDescent="0.3">
      <c r="A7" s="50">
        <v>1005</v>
      </c>
      <c r="B7" s="9">
        <v>45309</v>
      </c>
      <c r="C7" s="8" t="s">
        <v>9</v>
      </c>
      <c r="D7" s="8" t="s">
        <v>10</v>
      </c>
      <c r="E7" s="8" t="s">
        <v>15</v>
      </c>
      <c r="F7" s="8" t="s">
        <v>12</v>
      </c>
      <c r="G7" s="8">
        <v>4</v>
      </c>
      <c r="H7" s="8">
        <v>20000</v>
      </c>
      <c r="I7" s="51">
        <v>80000</v>
      </c>
    </row>
    <row r="8" spans="1:11" ht="15.75" x14ac:dyDescent="0.25">
      <c r="A8" s="50">
        <v>1006</v>
      </c>
      <c r="B8" s="9">
        <v>45311</v>
      </c>
      <c r="C8" s="8" t="s">
        <v>13</v>
      </c>
      <c r="D8" s="8" t="s">
        <v>14</v>
      </c>
      <c r="E8" s="8" t="s">
        <v>11</v>
      </c>
      <c r="F8" s="8" t="s">
        <v>12</v>
      </c>
      <c r="G8" s="8">
        <v>1</v>
      </c>
      <c r="H8" s="8">
        <v>50000</v>
      </c>
      <c r="I8" s="51">
        <v>50000</v>
      </c>
      <c r="K8" s="28" t="s">
        <v>77</v>
      </c>
    </row>
    <row r="9" spans="1:11" ht="15.75" thickBot="1" x14ac:dyDescent="0.3">
      <c r="A9" s="50">
        <v>1007</v>
      </c>
      <c r="B9" s="9">
        <v>45316</v>
      </c>
      <c r="C9" s="8" t="s">
        <v>16</v>
      </c>
      <c r="D9" s="8" t="s">
        <v>17</v>
      </c>
      <c r="E9" s="8" t="s">
        <v>23</v>
      </c>
      <c r="F9" s="8" t="s">
        <v>19</v>
      </c>
      <c r="G9" s="8">
        <v>2</v>
      </c>
      <c r="H9" s="8">
        <v>10000</v>
      </c>
      <c r="I9" s="51">
        <v>20000</v>
      </c>
      <c r="K9" s="47">
        <f>SUM(G3:G12)</f>
        <v>45</v>
      </c>
    </row>
    <row r="10" spans="1:11" x14ac:dyDescent="0.25">
      <c r="A10" s="50">
        <v>1008</v>
      </c>
      <c r="B10" s="9">
        <v>45319</v>
      </c>
      <c r="C10" s="8" t="s">
        <v>20</v>
      </c>
      <c r="D10" s="8" t="s">
        <v>21</v>
      </c>
      <c r="E10" s="8" t="s">
        <v>15</v>
      </c>
      <c r="F10" s="8" t="s">
        <v>12</v>
      </c>
      <c r="G10" s="8">
        <v>6</v>
      </c>
      <c r="H10" s="8">
        <v>20000</v>
      </c>
      <c r="I10" s="51">
        <v>120000</v>
      </c>
    </row>
    <row r="11" spans="1:11" x14ac:dyDescent="0.25">
      <c r="A11" s="50">
        <v>1009</v>
      </c>
      <c r="B11" s="9">
        <v>45324</v>
      </c>
      <c r="C11" s="8" t="s">
        <v>9</v>
      </c>
      <c r="D11" s="8" t="s">
        <v>10</v>
      </c>
      <c r="E11" s="8" t="s">
        <v>22</v>
      </c>
      <c r="F11" s="8" t="s">
        <v>19</v>
      </c>
      <c r="G11" s="8">
        <v>5</v>
      </c>
      <c r="H11" s="8">
        <v>7000</v>
      </c>
      <c r="I11" s="51">
        <v>35000</v>
      </c>
    </row>
    <row r="12" spans="1:11" ht="15.75" thickBot="1" x14ac:dyDescent="0.3">
      <c r="A12" s="52">
        <v>1010</v>
      </c>
      <c r="B12" s="53">
        <v>45327</v>
      </c>
      <c r="C12" s="54" t="s">
        <v>13</v>
      </c>
      <c r="D12" s="54" t="s">
        <v>14</v>
      </c>
      <c r="E12" s="54" t="s">
        <v>18</v>
      </c>
      <c r="F12" s="54" t="s">
        <v>19</v>
      </c>
      <c r="G12" s="54">
        <v>7</v>
      </c>
      <c r="H12" s="54">
        <v>3000</v>
      </c>
      <c r="I12" s="55">
        <v>21000</v>
      </c>
    </row>
    <row r="13" spans="1:11" ht="15.75" x14ac:dyDescent="0.25">
      <c r="G13" s="46">
        <f>SUM(G3:G12)</f>
        <v>45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99C6-0DC2-45DC-9918-92B450E886EF}">
  <dimension ref="A1:K13"/>
  <sheetViews>
    <sheetView workbookViewId="0">
      <selection activeCell="K8" sqref="K8:K9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30.140625" bestFit="1" customWidth="1"/>
  </cols>
  <sheetData>
    <row r="1" spans="1:11" ht="19.5" thickBot="1" x14ac:dyDescent="0.35">
      <c r="A1" s="56" t="s">
        <v>60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18" t="s">
        <v>30</v>
      </c>
    </row>
    <row r="4" spans="1:11" ht="15.75" thickBot="1" x14ac:dyDescent="0.3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</row>
    <row r="5" spans="1:11" ht="15.75" x14ac:dyDescent="0.25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28" t="s">
        <v>46</v>
      </c>
    </row>
    <row r="6" spans="1:11" ht="15.75" thickBot="1" x14ac:dyDescent="0.3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  <c r="K6" s="47" t="s">
        <v>58</v>
      </c>
    </row>
    <row r="7" spans="1:11" ht="15.75" thickBot="1" x14ac:dyDescent="0.3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</row>
    <row r="8" spans="1:11" ht="15.75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28" t="s">
        <v>77</v>
      </c>
    </row>
    <row r="9" spans="1:11" ht="15.75" thickBot="1" x14ac:dyDescent="0.3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  <c r="K9" s="47">
        <f>AVERAGE(I3:I12)</f>
        <v>57700</v>
      </c>
    </row>
    <row r="10" spans="1:11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</row>
    <row r="11" spans="1:11" x14ac:dyDescent="0.25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</row>
    <row r="12" spans="1:11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</row>
    <row r="13" spans="1:11" ht="15.75" x14ac:dyDescent="0.25">
      <c r="I13" s="46">
        <f>AVERAGE(I3:I12)</f>
        <v>57700</v>
      </c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DD9C-A0E2-4FB3-9E6B-937F8DF2E836}">
  <dimension ref="A1:K13"/>
  <sheetViews>
    <sheetView workbookViewId="0">
      <selection activeCell="K9" sqref="K8:K9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37.28515625" bestFit="1" customWidth="1"/>
  </cols>
  <sheetData>
    <row r="1" spans="1:11" ht="19.5" thickBot="1" x14ac:dyDescent="0.35">
      <c r="A1" s="56" t="s">
        <v>61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18" t="s">
        <v>31</v>
      </c>
    </row>
    <row r="4" spans="1:11" ht="15.75" thickBot="1" x14ac:dyDescent="0.3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</row>
    <row r="5" spans="1:11" ht="15.75" x14ac:dyDescent="0.25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28" t="s">
        <v>46</v>
      </c>
    </row>
    <row r="6" spans="1:11" ht="15.75" thickBot="1" x14ac:dyDescent="0.3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  <c r="K6" s="47" t="s">
        <v>62</v>
      </c>
    </row>
    <row r="7" spans="1:11" ht="15.75" thickBot="1" x14ac:dyDescent="0.3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</row>
    <row r="8" spans="1:11" ht="15.75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28" t="s">
        <v>77</v>
      </c>
    </row>
    <row r="9" spans="1:11" ht="15.75" thickBot="1" x14ac:dyDescent="0.3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  <c r="K9" s="47">
        <f>AVERAGE(G3:G12)</f>
        <v>4.5</v>
      </c>
    </row>
    <row r="10" spans="1:11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</row>
    <row r="11" spans="1:11" x14ac:dyDescent="0.25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</row>
    <row r="12" spans="1:11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</row>
    <row r="13" spans="1:11" ht="15.75" x14ac:dyDescent="0.25">
      <c r="G13" s="46">
        <f>AVERAGE(G3:G12)</f>
        <v>4.5</v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E994-5626-40AE-8CE5-4F40128F13FF}">
  <dimension ref="A1:K13"/>
  <sheetViews>
    <sheetView workbookViewId="0">
      <selection activeCell="K8" sqref="K8:K9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37.28515625" bestFit="1" customWidth="1"/>
  </cols>
  <sheetData>
    <row r="1" spans="1:11" ht="19.5" thickBot="1" x14ac:dyDescent="0.35">
      <c r="A1" s="56" t="s">
        <v>63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18" t="s">
        <v>32</v>
      </c>
    </row>
    <row r="4" spans="1:11" ht="15.75" thickBot="1" x14ac:dyDescent="0.3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</row>
    <row r="5" spans="1:11" ht="15.75" x14ac:dyDescent="0.25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28" t="s">
        <v>46</v>
      </c>
    </row>
    <row r="6" spans="1:11" ht="15.75" thickBot="1" x14ac:dyDescent="0.3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  <c r="K6" s="47" t="s">
        <v>64</v>
      </c>
    </row>
    <row r="7" spans="1:11" ht="15.75" thickBot="1" x14ac:dyDescent="0.3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</row>
    <row r="8" spans="1:11" ht="15.75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28" t="s">
        <v>77</v>
      </c>
    </row>
    <row r="9" spans="1:11" ht="15.75" thickBot="1" x14ac:dyDescent="0.3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  <c r="K9" s="47">
        <f>COUNT(A3:A12)</f>
        <v>10</v>
      </c>
    </row>
    <row r="10" spans="1:11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</row>
    <row r="11" spans="1:11" x14ac:dyDescent="0.25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</row>
    <row r="12" spans="1:11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</row>
    <row r="13" spans="1:11" ht="15.75" x14ac:dyDescent="0.25">
      <c r="A13" s="46">
        <f>COUNT(A3:A12)</f>
        <v>10</v>
      </c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4647-6411-4201-8267-627F1D09A54C}">
  <dimension ref="A1:K13"/>
  <sheetViews>
    <sheetView workbookViewId="0">
      <selection activeCell="K8" sqref="K8:K9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35" bestFit="1" customWidth="1"/>
  </cols>
  <sheetData>
    <row r="1" spans="1:11" ht="19.5" thickBot="1" x14ac:dyDescent="0.35">
      <c r="A1" s="56" t="s">
        <v>65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18" t="s">
        <v>33</v>
      </c>
    </row>
    <row r="4" spans="1:11" ht="15.75" thickBot="1" x14ac:dyDescent="0.3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</row>
    <row r="5" spans="1:11" ht="15.75" x14ac:dyDescent="0.25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28" t="s">
        <v>46</v>
      </c>
    </row>
    <row r="6" spans="1:11" ht="15.75" thickBot="1" x14ac:dyDescent="0.3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  <c r="K6" s="47" t="s">
        <v>66</v>
      </c>
    </row>
    <row r="7" spans="1:11" ht="15.75" thickBot="1" x14ac:dyDescent="0.3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</row>
    <row r="8" spans="1:11" ht="15.75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28" t="s">
        <v>77</v>
      </c>
    </row>
    <row r="9" spans="1:11" ht="15.75" thickBot="1" x14ac:dyDescent="0.3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  <c r="K9" s="47">
        <f>COUNTIF(F3:F12,"Furniture")</f>
        <v>5</v>
      </c>
    </row>
    <row r="10" spans="1:11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</row>
    <row r="11" spans="1:11" x14ac:dyDescent="0.25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</row>
    <row r="12" spans="1:11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</row>
    <row r="13" spans="1:11" ht="15.75" x14ac:dyDescent="0.25">
      <c r="F13" s="46">
        <f>COUNTIF(F3:F12,"Furniture")</f>
        <v>5</v>
      </c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E2E0-1F4E-44A9-9445-FA89EFD01D6A}">
  <dimension ref="A1:K13"/>
  <sheetViews>
    <sheetView workbookViewId="0">
      <selection activeCell="K8" sqref="K8:K9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41.28515625" bestFit="1" customWidth="1"/>
  </cols>
  <sheetData>
    <row r="1" spans="1:11" ht="19.5" thickBot="1" x14ac:dyDescent="0.35">
      <c r="A1" s="56" t="s">
        <v>67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18" t="s">
        <v>34</v>
      </c>
    </row>
    <row r="4" spans="1:11" ht="15.75" thickBot="1" x14ac:dyDescent="0.3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</row>
    <row r="5" spans="1:11" ht="15.75" x14ac:dyDescent="0.25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28" t="s">
        <v>46</v>
      </c>
    </row>
    <row r="6" spans="1:11" ht="15.75" thickBot="1" x14ac:dyDescent="0.3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  <c r="K6" s="47" t="s">
        <v>68</v>
      </c>
    </row>
    <row r="7" spans="1:11" ht="15.75" thickBot="1" x14ac:dyDescent="0.3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</row>
    <row r="8" spans="1:11" ht="15.75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28" t="s">
        <v>77</v>
      </c>
    </row>
    <row r="9" spans="1:11" ht="15.75" thickBot="1" x14ac:dyDescent="0.3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  <c r="K9" s="47">
        <f>SUMIF(F3:F12,"Electronics",I3:I12)</f>
        <v>450000</v>
      </c>
    </row>
    <row r="10" spans="1:11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</row>
    <row r="11" spans="1:11" x14ac:dyDescent="0.25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</row>
    <row r="12" spans="1:11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</row>
    <row r="13" spans="1:11" ht="15.75" x14ac:dyDescent="0.25">
      <c r="I13" s="46">
        <f>SUMIF(F3:F12,"Electronics",I3:I12)</f>
        <v>450000</v>
      </c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CCF-D3ED-40E1-82B8-EF42F86D318B}">
  <dimension ref="A1:K13"/>
  <sheetViews>
    <sheetView workbookViewId="0">
      <selection activeCell="K9" sqref="K8:K9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41.28515625" bestFit="1" customWidth="1"/>
  </cols>
  <sheetData>
    <row r="1" spans="1:11" ht="19.5" thickBot="1" x14ac:dyDescent="0.35">
      <c r="A1" s="56" t="s">
        <v>69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18" t="s">
        <v>35</v>
      </c>
    </row>
    <row r="4" spans="1:11" ht="15.75" thickBot="1" x14ac:dyDescent="0.3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</row>
    <row r="5" spans="1:11" ht="15.75" x14ac:dyDescent="0.25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28" t="s">
        <v>46</v>
      </c>
    </row>
    <row r="6" spans="1:11" ht="15.75" thickBot="1" x14ac:dyDescent="0.3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  <c r="K6" s="47" t="s">
        <v>70</v>
      </c>
    </row>
    <row r="7" spans="1:11" ht="15.75" thickBot="1" x14ac:dyDescent="0.3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</row>
    <row r="8" spans="1:11" ht="15.75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28" t="s">
        <v>77</v>
      </c>
    </row>
    <row r="9" spans="1:11" ht="15.75" thickBot="1" x14ac:dyDescent="0.3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  <c r="K9" s="47">
        <f>SUMIF(D3:D12,"Amit",I3:I12)</f>
        <v>215000</v>
      </c>
    </row>
    <row r="10" spans="1:11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</row>
    <row r="11" spans="1:11" x14ac:dyDescent="0.25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</row>
    <row r="12" spans="1:11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</row>
    <row r="13" spans="1:11" ht="15.75" x14ac:dyDescent="0.25">
      <c r="I13" s="46">
        <f>SUMIF(D3:D12,"Amit",I3:I12)</f>
        <v>215000</v>
      </c>
    </row>
  </sheetData>
  <mergeCells count="1"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F096-B918-46F8-9B0A-437484D39F00}">
  <dimension ref="A1:K13"/>
  <sheetViews>
    <sheetView workbookViewId="0">
      <selection activeCell="K10" sqref="K10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45.7109375" bestFit="1" customWidth="1"/>
  </cols>
  <sheetData>
    <row r="1" spans="1:11" ht="19.5" thickBot="1" x14ac:dyDescent="0.35">
      <c r="A1" s="56" t="s">
        <v>71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18" t="s">
        <v>36</v>
      </c>
    </row>
    <row r="4" spans="1:11" ht="15.75" thickBot="1" x14ac:dyDescent="0.3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</row>
    <row r="5" spans="1:11" ht="15.75" x14ac:dyDescent="0.25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28" t="s">
        <v>46</v>
      </c>
    </row>
    <row r="6" spans="1:11" ht="15.75" thickBot="1" x14ac:dyDescent="0.3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  <c r="K6" s="47" t="s">
        <v>72</v>
      </c>
    </row>
    <row r="7" spans="1:11" ht="15.75" thickBot="1" x14ac:dyDescent="0.3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</row>
    <row r="8" spans="1:11" ht="15.75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28" t="s">
        <v>77</v>
      </c>
    </row>
    <row r="9" spans="1:11" ht="15.75" thickBot="1" x14ac:dyDescent="0.3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  <c r="K9" s="47">
        <f>SUMIFS(I3:I12,F3:F12,"Electronics",C3:C12,"East")</f>
        <v>180000</v>
      </c>
    </row>
    <row r="10" spans="1:11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</row>
    <row r="11" spans="1:11" x14ac:dyDescent="0.25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</row>
    <row r="12" spans="1:11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</row>
    <row r="13" spans="1:11" ht="15.75" x14ac:dyDescent="0.25">
      <c r="I13" s="46">
        <f>SUMIFS(I3:I12,F3:F12,"Electronics",C3:C12,"East")</f>
        <v>180000</v>
      </c>
    </row>
  </sheetData>
  <mergeCells count="1">
    <mergeCell ref="A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B3C8-0A98-4945-868B-086B5F369CD0}">
  <dimension ref="A1:K13"/>
  <sheetViews>
    <sheetView workbookViewId="0">
      <selection activeCell="K10" sqref="K10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45.7109375" bestFit="1" customWidth="1"/>
  </cols>
  <sheetData>
    <row r="1" spans="1:11" ht="19.5" thickBot="1" x14ac:dyDescent="0.35">
      <c r="A1" s="56" t="s">
        <v>73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18" t="s">
        <v>37</v>
      </c>
    </row>
    <row r="4" spans="1:11" ht="15.75" thickBot="1" x14ac:dyDescent="0.3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</row>
    <row r="5" spans="1:11" ht="15.75" x14ac:dyDescent="0.25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28" t="s">
        <v>46</v>
      </c>
    </row>
    <row r="6" spans="1:11" ht="15.75" thickBot="1" x14ac:dyDescent="0.3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  <c r="K6" s="47" t="s">
        <v>74</v>
      </c>
    </row>
    <row r="7" spans="1:11" ht="15.75" thickBot="1" x14ac:dyDescent="0.3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</row>
    <row r="8" spans="1:11" ht="15.75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28" t="s">
        <v>77</v>
      </c>
    </row>
    <row r="9" spans="1:11" ht="15.75" thickBot="1" x14ac:dyDescent="0.3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  <c r="K9" s="47">
        <f>SUMIFS(I3:I12,D3:D12,"Priya",C3:C12,"West")</f>
        <v>171000</v>
      </c>
    </row>
    <row r="10" spans="1:11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</row>
    <row r="11" spans="1:11" x14ac:dyDescent="0.25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</row>
    <row r="12" spans="1:11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</row>
    <row r="13" spans="1:11" ht="15.75" x14ac:dyDescent="0.25">
      <c r="I13" s="46">
        <f>SUMIFS(I3:I12,D3:D12,"Priya",C3:C12,"West")</f>
        <v>171000</v>
      </c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FC50-768D-4EAB-B718-FD3B934482AF}">
  <dimension ref="A1:K12"/>
  <sheetViews>
    <sheetView workbookViewId="0">
      <selection activeCell="J17" sqref="J17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46.28515625" bestFit="1" customWidth="1"/>
  </cols>
  <sheetData>
    <row r="1" spans="1:11" ht="19.5" thickBot="1" x14ac:dyDescent="0.35">
      <c r="A1" s="56" t="s">
        <v>75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18" t="s">
        <v>38</v>
      </c>
    </row>
    <row r="4" spans="1:11" x14ac:dyDescent="0.25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</row>
    <row r="5" spans="1:11" ht="15.75" x14ac:dyDescent="0.25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5" t="s">
        <v>46</v>
      </c>
    </row>
    <row r="6" spans="1:11" x14ac:dyDescent="0.25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  <c r="K6" s="16" t="s">
        <v>80</v>
      </c>
    </row>
    <row r="7" spans="1:11" x14ac:dyDescent="0.25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  <c r="K7" s="13" t="s">
        <v>81</v>
      </c>
    </row>
    <row r="8" spans="1:11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13" t="s">
        <v>82</v>
      </c>
    </row>
    <row r="9" spans="1:11" x14ac:dyDescent="0.25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  <c r="K9" s="13" t="s">
        <v>85</v>
      </c>
    </row>
    <row r="10" spans="1:11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  <c r="K10" s="13" t="s">
        <v>83</v>
      </c>
    </row>
    <row r="11" spans="1:11" ht="15.75" thickBot="1" x14ac:dyDescent="0.3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  <c r="K11" s="14" t="s">
        <v>84</v>
      </c>
    </row>
    <row r="12" spans="1:11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</row>
  </sheetData>
  <mergeCells count="1">
    <mergeCell ref="A1:I1"/>
  </mergeCells>
  <conditionalFormatting sqref="A3:I12">
    <cfRule type="expression" dxfId="1" priority="1">
      <formula>$I3&gt;100000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8C9E-022A-43D1-A5DE-54936670A127}">
  <dimension ref="A1:K12"/>
  <sheetViews>
    <sheetView workbookViewId="0">
      <selection activeCell="J17" sqref="J17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46.28515625" bestFit="1" customWidth="1"/>
  </cols>
  <sheetData>
    <row r="1" spans="1:11" ht="19.5" thickBot="1" x14ac:dyDescent="0.35">
      <c r="A1" s="56" t="s">
        <v>79</v>
      </c>
      <c r="B1" s="57"/>
      <c r="C1" s="57"/>
      <c r="D1" s="57"/>
      <c r="E1" s="57"/>
      <c r="F1" s="57"/>
      <c r="G1" s="57"/>
      <c r="H1" s="57"/>
      <c r="I1" s="58"/>
    </row>
    <row r="2" spans="1:11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7" t="s">
        <v>45</v>
      </c>
    </row>
    <row r="3" spans="1:11" ht="15.75" thickBot="1" x14ac:dyDescent="0.3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18" t="s">
        <v>39</v>
      </c>
    </row>
    <row r="4" spans="1:11" ht="15.75" thickBot="1" x14ac:dyDescent="0.3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</row>
    <row r="5" spans="1:11" ht="15.75" x14ac:dyDescent="0.25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15" t="s">
        <v>46</v>
      </c>
    </row>
    <row r="6" spans="1:11" x14ac:dyDescent="0.25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  <c r="K6" s="16" t="s">
        <v>80</v>
      </c>
    </row>
    <row r="7" spans="1:11" x14ac:dyDescent="0.25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  <c r="K7" s="13" t="s">
        <v>81</v>
      </c>
    </row>
    <row r="8" spans="1:11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13" t="s">
        <v>82</v>
      </c>
    </row>
    <row r="9" spans="1:11" x14ac:dyDescent="0.25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  <c r="K9" s="13" t="s">
        <v>86</v>
      </c>
    </row>
    <row r="10" spans="1:11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  <c r="K10" s="13" t="s">
        <v>83</v>
      </c>
    </row>
    <row r="11" spans="1:11" ht="15.75" thickBot="1" x14ac:dyDescent="0.3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  <c r="K11" s="14" t="s">
        <v>84</v>
      </c>
    </row>
    <row r="12" spans="1:11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</row>
  </sheetData>
  <mergeCells count="1">
    <mergeCell ref="A1:I1"/>
  </mergeCells>
  <conditionalFormatting sqref="A3:I12">
    <cfRule type="expression" dxfId="0" priority="1">
      <formula>$G3&lt;3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6BBD-0A4E-4C42-BA1B-6903FBBC787A}">
  <dimension ref="A1:P12"/>
  <sheetViews>
    <sheetView tabSelected="1" workbookViewId="0">
      <selection activeCell="K17" sqref="K17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7.7109375" bestFit="1" customWidth="1"/>
    <col min="4" max="4" width="12.5703125" bestFit="1" customWidth="1"/>
    <col min="5" max="5" width="8.85546875" bestFit="1" customWidth="1"/>
    <col min="6" max="6" width="10.5703125" bestFit="1" customWidth="1"/>
    <col min="7" max="7" width="9.7109375" bestFit="1" customWidth="1"/>
    <col min="8" max="8" width="11.140625" bestFit="1" customWidth="1"/>
    <col min="9" max="9" width="12" bestFit="1" customWidth="1"/>
    <col min="11" max="11" width="41.42578125" bestFit="1" customWidth="1"/>
  </cols>
  <sheetData>
    <row r="1" spans="1:16" ht="19.5" thickBot="1" x14ac:dyDescent="0.35">
      <c r="A1" s="56" t="s">
        <v>78</v>
      </c>
      <c r="B1" s="57"/>
      <c r="C1" s="57"/>
      <c r="D1" s="57"/>
      <c r="E1" s="57"/>
      <c r="F1" s="57"/>
      <c r="G1" s="57"/>
      <c r="H1" s="57"/>
      <c r="I1" s="58"/>
    </row>
    <row r="2" spans="1:16" ht="15.75" x14ac:dyDescent="0.25">
      <c r="A2" s="19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0" t="s">
        <v>8</v>
      </c>
      <c r="K2" s="11" t="s">
        <v>45</v>
      </c>
    </row>
    <row r="3" spans="1:16" x14ac:dyDescent="0.25">
      <c r="A3" s="21">
        <v>1001</v>
      </c>
      <c r="B3" s="2">
        <v>45296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  <c r="H3" s="1">
        <v>50000</v>
      </c>
      <c r="I3" s="22">
        <v>100000</v>
      </c>
      <c r="K3" s="12" t="s">
        <v>40</v>
      </c>
    </row>
    <row r="4" spans="1:16" x14ac:dyDescent="0.25">
      <c r="A4" s="21">
        <v>1002</v>
      </c>
      <c r="B4" s="2">
        <v>45299</v>
      </c>
      <c r="C4" s="1" t="s">
        <v>13</v>
      </c>
      <c r="D4" s="1" t="s">
        <v>14</v>
      </c>
      <c r="E4" s="1" t="s">
        <v>15</v>
      </c>
      <c r="F4" s="1" t="s">
        <v>12</v>
      </c>
      <c r="G4" s="1">
        <v>5</v>
      </c>
      <c r="H4" s="1">
        <v>20000</v>
      </c>
      <c r="I4" s="22">
        <v>100000</v>
      </c>
      <c r="K4" s="13" t="s">
        <v>41</v>
      </c>
      <c r="P4" s="10"/>
    </row>
    <row r="5" spans="1:16" ht="15.75" thickBot="1" x14ac:dyDescent="0.3">
      <c r="A5" s="21">
        <v>1003</v>
      </c>
      <c r="B5" s="2">
        <v>45303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10</v>
      </c>
      <c r="H5" s="1">
        <v>3000</v>
      </c>
      <c r="I5" s="22">
        <v>30000</v>
      </c>
      <c r="K5" s="14" t="s">
        <v>42</v>
      </c>
    </row>
    <row r="6" spans="1:16" x14ac:dyDescent="0.25">
      <c r="A6" s="21">
        <v>1004</v>
      </c>
      <c r="B6" s="2">
        <v>45306</v>
      </c>
      <c r="C6" s="1" t="s">
        <v>20</v>
      </c>
      <c r="D6" s="1" t="s">
        <v>21</v>
      </c>
      <c r="E6" s="1" t="s">
        <v>22</v>
      </c>
      <c r="F6" s="1" t="s">
        <v>19</v>
      </c>
      <c r="G6" s="1">
        <v>3</v>
      </c>
      <c r="H6" s="1">
        <v>7000</v>
      </c>
      <c r="I6" s="22">
        <v>21000</v>
      </c>
    </row>
    <row r="7" spans="1:16" ht="15.75" x14ac:dyDescent="0.25">
      <c r="A7" s="21">
        <v>1005</v>
      </c>
      <c r="B7" s="2">
        <v>45309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4</v>
      </c>
      <c r="H7" s="1">
        <v>20000</v>
      </c>
      <c r="I7" s="22">
        <v>80000</v>
      </c>
      <c r="K7" s="5" t="s">
        <v>46</v>
      </c>
    </row>
    <row r="8" spans="1:16" x14ac:dyDescent="0.25">
      <c r="A8" s="21">
        <v>1006</v>
      </c>
      <c r="B8" s="2">
        <v>45311</v>
      </c>
      <c r="C8" s="1" t="s">
        <v>13</v>
      </c>
      <c r="D8" s="1" t="s">
        <v>14</v>
      </c>
      <c r="E8" s="1" t="s">
        <v>11</v>
      </c>
      <c r="F8" s="1" t="s">
        <v>12</v>
      </c>
      <c r="G8" s="1">
        <v>1</v>
      </c>
      <c r="H8" s="1">
        <v>50000</v>
      </c>
      <c r="I8" s="22">
        <v>50000</v>
      </c>
      <c r="K8" s="6" t="s">
        <v>76</v>
      </c>
    </row>
    <row r="9" spans="1:16" ht="15.75" thickBot="1" x14ac:dyDescent="0.3">
      <c r="A9" s="21">
        <v>1007</v>
      </c>
      <c r="B9" s="2">
        <v>45316</v>
      </c>
      <c r="C9" s="1" t="s">
        <v>16</v>
      </c>
      <c r="D9" s="1" t="s">
        <v>17</v>
      </c>
      <c r="E9" s="1" t="s">
        <v>23</v>
      </c>
      <c r="F9" s="1" t="s">
        <v>19</v>
      </c>
      <c r="G9" s="1">
        <v>2</v>
      </c>
      <c r="H9" s="1">
        <v>10000</v>
      </c>
      <c r="I9" s="22">
        <v>20000</v>
      </c>
    </row>
    <row r="10" spans="1:16" ht="15.75" x14ac:dyDescent="0.25">
      <c r="A10" s="21">
        <v>1008</v>
      </c>
      <c r="B10" s="2">
        <v>45319</v>
      </c>
      <c r="C10" s="1" t="s">
        <v>20</v>
      </c>
      <c r="D10" s="1" t="s">
        <v>21</v>
      </c>
      <c r="E10" s="1" t="s">
        <v>15</v>
      </c>
      <c r="F10" s="1" t="s">
        <v>12</v>
      </c>
      <c r="G10" s="1">
        <v>6</v>
      </c>
      <c r="H10" s="1">
        <v>20000</v>
      </c>
      <c r="I10" s="22">
        <v>120000</v>
      </c>
      <c r="K10" s="28" t="s">
        <v>77</v>
      </c>
    </row>
    <row r="11" spans="1:16" ht="15.75" thickBot="1" x14ac:dyDescent="0.3">
      <c r="A11" s="21">
        <v>1009</v>
      </c>
      <c r="B11" s="2">
        <v>45324</v>
      </c>
      <c r="C11" s="1" t="s">
        <v>9</v>
      </c>
      <c r="D11" s="1" t="s">
        <v>10</v>
      </c>
      <c r="E11" s="1" t="s">
        <v>22</v>
      </c>
      <c r="F11" s="1" t="s">
        <v>19</v>
      </c>
      <c r="G11" s="1">
        <v>5</v>
      </c>
      <c r="H11" s="1">
        <v>7000</v>
      </c>
      <c r="I11" s="22">
        <v>35000</v>
      </c>
      <c r="K11" s="47">
        <f>COUNTIFS(F3:F12,"Electronics",G3:G12,"&gt;3")</f>
        <v>3</v>
      </c>
    </row>
    <row r="12" spans="1:16" ht="15.75" thickBot="1" x14ac:dyDescent="0.3">
      <c r="A12" s="23">
        <v>1010</v>
      </c>
      <c r="B12" s="24">
        <v>45327</v>
      </c>
      <c r="C12" s="25" t="s">
        <v>13</v>
      </c>
      <c r="D12" s="25" t="s">
        <v>14</v>
      </c>
      <c r="E12" s="25" t="s">
        <v>18</v>
      </c>
      <c r="F12" s="25" t="s">
        <v>19</v>
      </c>
      <c r="G12" s="25">
        <v>7</v>
      </c>
      <c r="H12" s="25">
        <v>3000</v>
      </c>
      <c r="I12" s="26">
        <v>21000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 Set &amp; Questions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</dc:creator>
  <cp:lastModifiedBy>jit</cp:lastModifiedBy>
  <dcterms:created xsi:type="dcterms:W3CDTF">2026-03-04T06:17:22Z</dcterms:created>
  <dcterms:modified xsi:type="dcterms:W3CDTF">2026-03-05T13:56:18Z</dcterms:modified>
</cp:coreProperties>
</file>